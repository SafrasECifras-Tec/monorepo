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ANCO DE DADOS" sheetId="1" state="visible" r:id="rId1"/>
    <sheet name="RECEITAS" sheetId="2" state="visible" r:id="rId2"/>
    <sheet name="CAPA" sheetId="3" state="hidden" r:id="rId3"/>
    <sheet name="DESPESAS" sheetId="4" state="visible" r:id="rId4"/>
    <sheet name="PARTICULAR" sheetId="5" state="visible" r:id="rId5"/>
    <sheet name="REC. NAO RURAIS" sheetId="6" state="visible" r:id="rId6"/>
    <sheet name="PARCERIA" sheetId="7" state="hidden" r:id="rId7"/>
    <sheet name="RESULTADO" sheetId="8" state="visible" r:id="rId8"/>
    <sheet name="RESULTADO DETALHADO" sheetId="9" state="visible" r:id="rId9"/>
    <sheet name="PJ" sheetId="10" state="visible" r:id="rId10"/>
    <sheet name="IRPFM" sheetId="11" state="visible" r:id="rId11"/>
    <sheet name="ECONOMIA" sheetId="12" state="visible" r:id="rId12"/>
    <sheet name="HISTORICO" sheetId="13" state="hidden" r:id="rId13"/>
    <sheet name="ESTOQUE" sheetId="14" state="hidden" r:id="rId14"/>
    <sheet name="QUITAÇÃO" sheetId="15" state="hidden" r:id="rId15"/>
    <sheet name="PJ-" sheetId="16" state="hidden" r:id="rId16"/>
    <sheet name="Cálculo Imposto PJ" sheetId="17" state="visible" r:id="rId17"/>
    <sheet name="Controle de Estoque" sheetId="18" state="hidden" r:id="rId18"/>
    <sheet name="IRPF" sheetId="19" state="hidden" r:id="rId19"/>
    <sheet name="PJ1" sheetId="20" state="hidden" r:id="rId20"/>
  </sheets>
  <definedNames>
    <definedName name="TítuloColuna12">#REF!</definedName>
    <definedName name="CategoriaDeOrçamento">#REF!</definedName>
    <definedName name="insumos">#REF!</definedName>
    <definedName name="aa">#REF!</definedName>
    <definedName name="TítuloColuna13">#REF!</definedName>
    <definedName name="rrr">#REF!</definedName>
    <definedName name="TítuloColuna11">#REF!</definedName>
    <definedName name="Pecuária">#REF!</definedName>
    <definedName name="Milho_Safrinha">#REF!</definedName>
    <definedName name="Cultura">#REF!</definedName>
    <definedName name="as">#REF!</definedName>
    <definedName name="Soja">#REF!</definedName>
    <definedName name="Arroz">#REF!</definedName>
    <definedName name="CategoriasDespesas">#REF!</definedName>
    <definedName name="PRINT_AREA">#REF!</definedName>
    <definedName name="Luiza">#REF!</definedName>
    <definedName name="Milho">#REF!</definedName>
    <definedName name="Feijão">#REF!</definedName>
    <definedName name="TítuloColuna6">#REF!</definedName>
    <definedName name="CC">#REF!</definedName>
    <definedName name="TítuloColuna8">#REF!</definedName>
    <definedName name="PGREC">#REF!</definedName>
    <definedName name="TítuloColuna10">#REF!</definedName>
    <definedName name="DOLAR">#REF!</definedName>
    <definedName name="LOTAÇAO2">#REF!</definedName>
    <definedName name="TítuloColuna7">#REF!</definedName>
    <definedName name="DOLAR_MES">#REF!</definedName>
    <definedName name="TítuloColuna2">#REF!</definedName>
    <definedName name="TítuloColuna4">#REF!</definedName>
    <definedName name="Jaim">#REF!</definedName>
    <definedName name="TítuloColuna5">#REF!</definedName>
    <definedName name="TítuloColuna3">#REF!</definedName>
    <definedName name="TítuloColuna9">#REF!</definedName>
    <definedName name="Feijão_Safrinha">#REF!</definedName>
    <definedName name="TítuloColuna14">#REF!</definedName>
    <definedName name="PRINT_AREA" localSheetId="17">#REF!</definedName>
    <definedName name="Pecuária" localSheetId="17">#REF!</definedName>
    <definedName name="LOTAÇAO2" localSheetId="17">#REF!</definedName>
    <definedName name="Cultura" localSheetId="17">#REF!</definedName>
    <definedName name="PGREC" localSheetId="17">#REF!</definedName>
    <definedName name="CC" localSheetId="17">#REF!</definedName>
    <definedName name="as" localSheetId="17">#REF!</definedName>
    <definedName name="Feijão" localSheetId="17">#REF!</definedName>
    <definedName name="Jaim" localSheetId="17">#REF!</definedName>
    <definedName name="Arroz" localSheetId="17">#REF!</definedName>
    <definedName name="Feijão_Safrinha" localSheetId="17">#REF!</definedName>
    <definedName name="Soja" localSheetId="17">#REF!</definedName>
    <definedName name="Milho" localSheetId="17">#REF!</definedName>
    <definedName name="Milho_Safrinha" localSheetId="17">#REF!</definedName>
  </definedNames>
  <calcPr calcId="124519" fullCalcOnLoad="1"/>
</workbook>
</file>

<file path=xl/styles.xml><?xml version="1.0" encoding="utf-8"?>
<styleSheet xmlns="http://schemas.openxmlformats.org/spreadsheetml/2006/main">
  <numFmts count="18">
    <numFmt numFmtId="164" formatCode="_(&quot;R$ &quot;* #,##0.00_);_(&quot;R$ &quot;* \(#,##0.00\);_(&quot;R$ &quot;* &quot;-&quot;??_);_(@_)"/>
    <numFmt numFmtId="165" formatCode="&quot;R$&quot;\ #,##0.00"/>
    <numFmt numFmtId="166" formatCode="dd/MM/yyyy"/>
    <numFmt numFmtId="167" formatCode="_-&quot;R$&quot;\ * #,##0.00_-;\-&quot;R$&quot;\ * #,##0.00_-;_-&quot;R$&quot;\ * &quot;-&quot;??_-;_-@"/>
    <numFmt numFmtId="168" formatCode="&quot;CPF:&quot;\ 000&quot;.&quot;000&quot;.&quot;000\-00"/>
    <numFmt numFmtId="169" formatCode="_-&quot;R$&quot;* #,##0.00_-;\-&quot;R$&quot;* #,##0.00_-;_-&quot;R$&quot;* &quot;-&quot;??_-;_-@"/>
    <numFmt numFmtId="170" formatCode="_(* #,##0_);_(* \(#,##0\);_(* &quot;-&quot;??_);_(@_)"/>
    <numFmt numFmtId="171" formatCode="_(&quot;R$ &quot;* #,##0.00_);[Red]&quot;R$ &quot;* \(#,##0.00\);_(&quot;R$ &quot;* &quot;-&quot;??_);_(@_)"/>
    <numFmt numFmtId="172" formatCode="\-"/>
    <numFmt numFmtId="173" formatCode="0\ &quot;Meses&quot;"/>
    <numFmt numFmtId="174" formatCode="[$R$ -416]#,##0.00"/>
    <numFmt numFmtId="175" formatCode="0.00%\ &quot;/Faturamento&quot;"/>
    <numFmt numFmtId="176" formatCode="dd/mm/yyyy"/>
    <numFmt numFmtId="177" formatCode="d/m/yyyy"/>
    <numFmt numFmtId="178" formatCode="#,##0.0000"/>
    <numFmt numFmtId="179" formatCode="_(* #,##0.0000_);_(* \(#,##0.0000\);_(* &quot;-&quot;??.00_);_(@_)"/>
    <numFmt numFmtId="180" formatCode="#,##0.00\ &quot;scs&quot;"/>
    <numFmt numFmtId="181" formatCode="_-[$R$-416]\ * #,##0.00_-;\-[$R$-416]\ * #,##0.00_-;_-[$R$-416]\ * &quot;-&quot;??_-;_-@"/>
  </numFmts>
  <fonts count="134">
    <font>
      <name val="Arial"/>
      <color rgb="FFA5A5A5"/>
      <sz val="10"/>
      <scheme val="minor"/>
    </font>
    <font>
      <name val="Avenir"/>
      <color theme="1"/>
      <sz val="12"/>
    </font>
    <font>
      <name val="Arial"/>
      <color rgb="FF6B9F25"/>
      <sz val="10"/>
      <u val="single"/>
    </font>
    <font>
      <name val="Avenir"/>
      <b val="1"/>
      <color rgb="FFFFFFFF"/>
      <sz val="12"/>
    </font>
    <font/>
    <font>
      <name val="Monospace"/>
      <color rgb="FFC4C7C5"/>
      <sz val="11"/>
    </font>
    <font>
      <name val="Arial"/>
      <color theme="1"/>
    </font>
    <font>
      <name val="Avenir"/>
      <b val="1"/>
      <color theme="1"/>
      <sz val="12"/>
    </font>
    <font>
      <name val="Avenir"/>
      <color theme="0"/>
      <sz val="12"/>
    </font>
    <font>
      <name val="Avenir"/>
      <color rgb="FFFFFFFF"/>
      <sz val="12"/>
    </font>
    <font>
      <name val="Avenir"/>
      <color rgb="FFA5A5A5"/>
      <sz val="12"/>
    </font>
    <font>
      <name val="Avenir"/>
      <color rgb="FF000000"/>
      <sz val="12"/>
    </font>
    <font>
      <name val="Arial"/>
      <color rgb="FFA5A5A5"/>
      <sz val="10"/>
    </font>
    <font>
      <name val="Avenir"/>
      <b val="1"/>
      <color rgb="FF333333"/>
      <sz val="12"/>
    </font>
    <font>
      <name val="Arial"/>
      <color theme="0"/>
      <sz val="10"/>
    </font>
    <font>
      <name val="Arial"/>
      <color theme="1"/>
      <sz val="10"/>
    </font>
    <font>
      <name val="Verdana"/>
      <color rgb="FFFF0000"/>
      <sz val="11"/>
    </font>
    <font>
      <name val="Verdana"/>
      <color rgb="FFA5A5A5"/>
      <sz val="12"/>
    </font>
    <font>
      <name val="Arial"/>
      <color rgb="FFFF0000"/>
    </font>
    <font>
      <name val="Verdana"/>
      <color rgb="FF7F7F7F"/>
      <sz val="12"/>
    </font>
    <font>
      <name val="Avenir"/>
      <color rgb="FF262626"/>
      <sz val="11"/>
    </font>
    <font>
      <name val="Verdana"/>
      <b val="1"/>
      <color rgb="FF7F7F7F"/>
      <sz val="14"/>
    </font>
    <font>
      <name val="Verdana"/>
      <color theme="1"/>
      <sz val="16"/>
    </font>
    <font>
      <name val="Arial"/>
      <color rgb="FFFF0000"/>
      <sz val="10"/>
    </font>
    <font>
      <name val="Verdana"/>
      <b val="1"/>
      <color rgb="FF00517A"/>
      <sz val="14"/>
    </font>
    <font>
      <name val="Verdana"/>
      <color rgb="FF7F7F7F"/>
      <sz val="11"/>
    </font>
    <font>
      <name val="Verdana"/>
      <color rgb="FF262626"/>
      <sz val="11"/>
    </font>
    <font>
      <name val="Verdana"/>
      <color rgb="FF514E65"/>
      <sz val="11"/>
    </font>
    <font>
      <name val="Verdana"/>
      <color theme="1"/>
      <sz val="11"/>
    </font>
    <font>
      <name val="Verdana"/>
      <color theme="1"/>
      <sz val="12"/>
    </font>
    <font>
      <name val="Arial"/>
      <color rgb="FF3F3F3F"/>
      <sz val="10"/>
    </font>
    <font>
      <name val="Arial"/>
      <color rgb="FF3F3F3F"/>
      <sz val="11"/>
    </font>
    <font>
      <name val="Verdana"/>
      <b val="1"/>
      <color rgb="FFFF0000"/>
      <sz val="16"/>
    </font>
    <font>
      <name val="Verdana"/>
      <b val="1"/>
      <color rgb="FF4A9B82"/>
      <sz val="16"/>
    </font>
    <font>
      <name val="Averta-Black"/>
      <b val="1"/>
      <color rgb="FF333F50"/>
      <sz val="36"/>
    </font>
    <font>
      <name val="Verdana"/>
      <b val="1"/>
      <color rgb="FFF97A07"/>
      <sz val="14"/>
    </font>
    <font>
      <name val="Verdana"/>
      <b val="1"/>
      <color rgb="FF595959"/>
      <sz val="14"/>
    </font>
    <font>
      <name val="Arial"/>
      <color theme="1"/>
      <scheme val="minor"/>
    </font>
    <font>
      <name val="Avenir"/>
      <b val="1"/>
      <color theme="1"/>
      <sz val="13"/>
    </font>
    <font>
      <name val="Avenir"/>
      <color theme="1"/>
    </font>
    <font>
      <name val="Verdana"/>
      <b val="1"/>
      <color rgb="FF7F7F7F"/>
      <sz val="11"/>
    </font>
    <font>
      <name val="Avenir"/>
      <b val="1"/>
      <color theme="1"/>
    </font>
    <font>
      <name val="Avenir"/>
      <color rgb="FFD8D8D8"/>
      <sz val="10"/>
    </font>
    <font>
      <name val="Avenir"/>
      <color theme="1"/>
      <sz val="10"/>
    </font>
    <font>
      <name val="Verdana"/>
      <b val="1"/>
      <color rgb="FF808080"/>
      <sz val="14"/>
    </font>
    <font>
      <name val="Avenir"/>
      <b val="1"/>
      <color rgb="FFFF0000"/>
      <sz val="10"/>
    </font>
    <font>
      <name val="Avenir"/>
      <b val="1"/>
      <color theme="1"/>
      <sz val="10"/>
    </font>
    <font>
      <name val="Avenir"/>
      <b val="1"/>
      <color rgb="FF265F65"/>
      <sz val="10"/>
    </font>
    <font>
      <name val="Avenir"/>
      <b val="1"/>
      <color rgb="FF1A4A5D"/>
      <sz val="10"/>
    </font>
    <font>
      <name val="Avenir"/>
      <b val="1"/>
      <color rgb="FFFFFFFF"/>
    </font>
    <font>
      <name val="Avenir"/>
      <color rgb="FFFFFFFF"/>
    </font>
    <font>
      <name val="Avenir"/>
      <color rgb="FFD8D8D8"/>
      <sz val="12"/>
    </font>
    <font>
      <name val="Avenir"/>
      <b val="1"/>
      <color rgb="FF265F65"/>
    </font>
    <font>
      <name val="Avenir"/>
      <b val="1"/>
      <color rgb="FF1A4A5D"/>
    </font>
    <font>
      <name val="Avenir"/>
      <color rgb="FFCC0000"/>
      <sz val="12"/>
    </font>
    <font>
      <name val="Avenir"/>
      <b val="1"/>
      <color theme="0"/>
      <sz val="11"/>
    </font>
    <font>
      <name val="Avenir"/>
      <color rgb="FF262626"/>
      <sz val="12"/>
    </font>
    <font>
      <name val="Avenir"/>
      <b val="1"/>
      <color rgb="FF262626"/>
      <sz val="12"/>
    </font>
    <font>
      <name val="Avenir"/>
      <color theme="1"/>
      <sz val="11"/>
    </font>
    <font>
      <name val="Avenir"/>
      <color theme="0"/>
      <sz val="11"/>
    </font>
    <font>
      <name val="Avenir"/>
      <color rgb="FF595959"/>
      <sz val="12"/>
    </font>
    <font>
      <name val="Avenir"/>
      <color rgb="FF5A696B"/>
      <sz val="12"/>
    </font>
    <font>
      <name val="Verdana"/>
      <color rgb="FF262626"/>
      <sz val="10"/>
    </font>
    <font>
      <name val="Google Sans"/>
      <b val="1"/>
      <color rgb="FFC7C7C7"/>
      <sz val="11"/>
    </font>
    <font>
      <name val="Google Sans"/>
      <color rgb="FFC7C7C7"/>
      <sz val="11"/>
    </font>
    <font>
      <name val="Avenir"/>
      <color rgb="FFA5A5A5"/>
      <sz val="10"/>
    </font>
    <font>
      <name val="Avenir"/>
      <color theme="1"/>
      <sz val="20"/>
    </font>
    <font>
      <name val="Avenir"/>
      <color rgb="FFFF0000"/>
      <sz val="12"/>
    </font>
    <font>
      <name val="Avenir"/>
      <b val="1"/>
      <color rgb="FF000000"/>
      <sz val="10"/>
    </font>
    <font>
      <name val="Verdana"/>
      <b val="1"/>
      <color rgb="FF595959"/>
      <sz val="11"/>
    </font>
    <font>
      <name val="Avenir"/>
      <b val="1"/>
      <color rgb="FF000000"/>
      <sz val="12"/>
    </font>
    <font>
      <name val="Verdana"/>
      <b val="1"/>
      <color rgb="FF7F7F7F"/>
      <sz val="12"/>
    </font>
    <font>
      <name val="Avenir"/>
      <b val="1"/>
      <color rgb="FF262626"/>
      <sz val="11"/>
    </font>
    <font>
      <name val="Avenir"/>
      <b val="1"/>
      <color theme="0"/>
      <sz val="12"/>
    </font>
    <font>
      <name val="Verdana"/>
      <b val="1"/>
      <color rgb="FF262626"/>
      <sz val="11"/>
    </font>
    <font>
      <name val="Avenir"/>
      <b val="1"/>
      <color rgb="FF7F7F7F"/>
      <sz val="18"/>
    </font>
    <font>
      <name val="Avenir"/>
      <b val="1"/>
      <color rgb="FF7F7F7F"/>
      <sz val="20"/>
    </font>
    <font>
      <name val="Verdana"/>
      <color theme="0"/>
      <sz val="12"/>
    </font>
    <font>
      <name val="Arial"/>
      <color rgb="FF262626"/>
      <sz val="10"/>
    </font>
    <font>
      <name val="Verdana"/>
      <b val="1"/>
      <color rgb="FF7F7F7F"/>
      <sz val="10"/>
    </font>
    <font>
      <name val="Avenir"/>
      <color rgb="FF3F3F3F"/>
      <sz val="11"/>
    </font>
    <font>
      <name val="Avenir"/>
      <b val="1"/>
      <color rgb="FF3F3F3F"/>
      <sz val="11"/>
    </font>
    <font>
      <name val="Verdana"/>
      <color rgb="FFA6A6A6"/>
      <sz val="12"/>
    </font>
    <font>
      <name val="Verdana"/>
      <color rgb="FF000000"/>
      <sz val="12"/>
    </font>
    <font>
      <name val="Verdana"/>
      <b val="1"/>
      <color rgb="FF266066"/>
      <sz val="12"/>
    </font>
    <font>
      <name val="Arial"/>
      <color rgb="FFA6A6A6"/>
    </font>
    <font>
      <name val="Verdana"/>
      <b val="1"/>
      <color rgb="FFFFFFFF"/>
      <sz val="12"/>
    </font>
    <font>
      <name val="Verdana"/>
      <b val="1"/>
      <color theme="1"/>
      <sz val="12"/>
    </font>
    <font>
      <name val="Verdana"/>
      <b val="1"/>
      <color rgb="FF000000"/>
      <sz val="9"/>
    </font>
    <font>
      <name val="Arial"/>
      <b val="1"/>
      <color theme="1"/>
    </font>
    <font>
      <name val="Arial"/>
      <b val="1"/>
      <color theme="1"/>
      <sz val="11"/>
    </font>
    <font>
      <name val="Verdana"/>
      <b val="1"/>
      <color rgb="FF5A696B"/>
      <sz val="12"/>
    </font>
    <font>
      <name val="Arial"/>
      <b val="1"/>
      <color rgb="FF000000"/>
      <sz val="11"/>
    </font>
    <font>
      <name val="Arial"/>
      <color rgb="FFFFFFFF"/>
      <sz val="11"/>
    </font>
    <font>
      <name val="Arial"/>
      <color rgb="FF000000"/>
      <sz val="11"/>
    </font>
    <font>
      <name val="Arial"/>
      <b val="1"/>
      <color theme="1"/>
      <sz val="14"/>
    </font>
    <font>
      <name val="Arial"/>
      <b val="1"/>
      <color theme="1"/>
      <sz val="12"/>
      <u val="single"/>
    </font>
    <font>
      <name val="Arial"/>
      <b val="1"/>
      <color theme="1"/>
      <sz val="14"/>
      <u val="single"/>
    </font>
    <font>
      <name val="Arial"/>
      <b val="1"/>
      <color theme="1"/>
      <sz val="14"/>
      <u val="single"/>
    </font>
    <font>
      <name val="Avenir"/>
      <b val="1"/>
      <color theme="1"/>
      <sz val="20"/>
    </font>
    <font>
      <name val="Avenir"/>
      <color rgb="FF398F98"/>
      <sz val="20"/>
    </font>
    <font>
      <name val="Avenir"/>
      <b val="1"/>
      <color rgb="FF3F3F3F"/>
      <sz val="22"/>
    </font>
    <font>
      <name val="Avenir"/>
      <b val="1"/>
      <color rgb="FF9AD3D9"/>
      <sz val="11"/>
    </font>
    <font>
      <name val="Avenir"/>
      <b val="1"/>
      <color rgb="FF7FC1DB"/>
      <sz val="11"/>
    </font>
    <font>
      <name val="Avenir"/>
      <b val="1"/>
      <color rgb="FFFFFFFF"/>
      <sz val="11"/>
    </font>
    <font>
      <name val="Avenir"/>
      <b val="1"/>
      <color rgb="FF595959"/>
      <sz val="11"/>
    </font>
    <font>
      <name val="Avenir"/>
      <color theme="1"/>
      <sz val="14"/>
    </font>
    <font>
      <name val="Avenir"/>
      <color theme="1"/>
      <sz val="18"/>
    </font>
    <font>
      <name val="Avenir"/>
      <color rgb="FF3F3F3F"/>
      <sz val="18"/>
    </font>
    <font>
      <name val="Avenir"/>
      <color theme="1"/>
      <sz val="22"/>
    </font>
    <font>
      <name val="Avenir"/>
      <b val="1"/>
      <color rgb="FF002060"/>
      <sz val="24"/>
    </font>
    <font>
      <name val="Avenir"/>
      <b val="1"/>
      <color rgb="FF3F3F3F"/>
      <sz val="24"/>
    </font>
    <font>
      <name val="Avenir"/>
      <b val="1"/>
      <color theme="1"/>
      <sz val="22"/>
    </font>
    <font>
      <name val="Verdana"/>
      <color rgb="FFD8D8D8"/>
      <sz val="9"/>
    </font>
    <font>
      <name val="Verdana"/>
      <b val="1"/>
      <color theme="1"/>
      <sz val="20"/>
    </font>
    <font>
      <name val="Verdana"/>
      <color theme="1"/>
      <sz val="20"/>
    </font>
    <font>
      <name val="Verdana"/>
      <color rgb="FF398F98"/>
      <sz val="20"/>
    </font>
    <font>
      <name val="Verdana"/>
      <color rgb="FFA5A5A5"/>
      <sz val="20"/>
    </font>
    <font>
      <name val="Verdana"/>
      <color theme="1"/>
      <sz val="22"/>
    </font>
    <font>
      <name val="Verdana"/>
      <b val="1"/>
      <color theme="1"/>
      <sz val="18"/>
    </font>
    <font>
      <name val="Verdana"/>
      <color rgb="FF4A9B82"/>
      <sz val="16"/>
    </font>
    <font>
      <name val="Verdana"/>
      <b val="1"/>
      <color rgb="FF265F65"/>
      <sz val="14"/>
    </font>
    <font>
      <name val="Verdana"/>
      <color rgb="FFBFBFBF"/>
      <sz val="12"/>
    </font>
    <font>
      <name val="Verdana"/>
      <color rgb="FFFF0000"/>
      <sz val="12"/>
    </font>
    <font>
      <name val="Verdana"/>
      <b val="1"/>
      <color rgb="FFD8D8D8"/>
      <sz val="9"/>
    </font>
    <font>
      <name val="Verdana"/>
      <b val="1"/>
      <color rgb="FFA5A5A5"/>
      <sz val="12"/>
    </font>
    <font>
      <name val="Verdana"/>
      <b val="1"/>
      <color rgb="FF1A4A5D"/>
      <sz val="14"/>
    </font>
    <font>
      <name val="Avenir"/>
      <b val="1"/>
      <color rgb="FFFF0000"/>
      <sz val="16"/>
    </font>
    <font>
      <name val="Avenir"/>
      <b val="1"/>
      <color rgb="FF265F65"/>
      <sz val="12"/>
    </font>
    <font>
      <name val="Avenir"/>
      <b val="1"/>
      <color rgb="FF1A4A5D"/>
      <sz val="12"/>
    </font>
    <font>
      <name val="Arial"/>
      <b val="1"/>
      <color theme="1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color rgb="FFFFFFFF"/>
      <sz val="10"/>
    </font>
  </fonts>
  <fills count="37">
    <fill>
      <patternFill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A5A5A5"/>
        <bgColor rgb="FFA5A5A5"/>
      </patternFill>
    </fill>
    <fill>
      <patternFill patternType="solid">
        <fgColor rgb="FF9AD3D9"/>
        <bgColor rgb="FF9AD3D9"/>
      </patternFill>
    </fill>
    <fill>
      <patternFill patternType="solid">
        <fgColor rgb="FF3F3F3F"/>
        <bgColor rgb="FF3F3F3F"/>
      </patternFill>
    </fill>
    <fill>
      <patternFill patternType="solid">
        <fgColor rgb="FF7FC1DB"/>
        <bgColor rgb="FF7FC1DB"/>
      </patternFill>
    </fill>
    <fill>
      <patternFill patternType="solid">
        <fgColor rgb="FF243748"/>
        <bgColor rgb="FF243748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99D5E3"/>
        <bgColor rgb="FF99D5E3"/>
      </patternFill>
    </fill>
    <fill>
      <patternFill patternType="solid">
        <fgColor rgb="FFDBF0F5"/>
        <bgColor rgb="FFDBF0F5"/>
      </patternFill>
    </fill>
    <fill>
      <patternFill patternType="solid">
        <fgColor rgb="FFFAEAB8"/>
        <bgColor rgb="FFFAEAB8"/>
      </patternFill>
    </fill>
    <fill>
      <patternFill patternType="solid">
        <fgColor rgb="FFF2F2F2"/>
        <bgColor rgb="FFF2F2F2"/>
      </patternFill>
    </fill>
    <fill>
      <patternFill patternType="solid">
        <fgColor rgb="FFFFDEBD"/>
        <bgColor rgb="FFFFDEBD"/>
      </patternFill>
    </fill>
    <fill>
      <patternFill patternType="solid">
        <fgColor rgb="FFFFCC99"/>
        <bgColor rgb="FFFFCC99"/>
      </patternFill>
    </fill>
    <fill>
      <patternFill patternType="solid">
        <fgColor rgb="FFFFE0C1"/>
        <bgColor rgb="FFFFE0C1"/>
      </patternFill>
    </fill>
    <fill>
      <patternFill patternType="solid">
        <fgColor rgb="FFB6D7A8"/>
        <bgColor rgb="FFB6D7A8"/>
      </patternFill>
    </fill>
    <fill>
      <patternFill patternType="solid">
        <fgColor rgb="FFD4EAF3"/>
        <bgColor rgb="FFD4EAF3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C7E7EF"/>
        <bgColor rgb="FFC7E7EF"/>
      </patternFill>
    </fill>
    <fill>
      <patternFill patternType="solid">
        <fgColor rgb="FF22262B"/>
        <bgColor rgb="FF22262B"/>
      </patternFill>
    </fill>
    <fill>
      <patternFill patternType="solid">
        <fgColor rgb="FFBCE1E5"/>
        <bgColor rgb="FFBCE1E5"/>
      </patternFill>
    </fill>
    <fill>
      <patternFill patternType="solid">
        <fgColor rgb="FFA2BBCF"/>
        <bgColor rgb="FFA2BBCF"/>
      </patternFill>
    </fill>
    <fill>
      <patternFill patternType="solid">
        <fgColor rgb="FFE6E6E6"/>
        <bgColor rgb="FFE6E6E6"/>
      </patternFill>
    </fill>
    <fill>
      <patternFill patternType="solid">
        <fgColor rgb="FFB1C5D7"/>
        <bgColor rgb="FFB1C5D7"/>
      </patternFill>
    </fill>
    <fill>
      <patternFill patternType="solid">
        <fgColor rgb="FFA7A7A7"/>
        <bgColor rgb="FFA7A7A7"/>
      </patternFill>
    </fill>
    <fill>
      <patternFill patternType="solid">
        <fgColor rgb="FFD9D9D9"/>
        <bgColor rgb="FFD9D9D9"/>
      </patternFill>
    </fill>
    <fill>
      <patternFill patternType="solid">
        <fgColor rgb="FF9AD3DA"/>
        <bgColor rgb="FF9AD3DA"/>
      </patternFill>
    </fill>
    <fill>
      <patternFill patternType="solid">
        <fgColor rgb="FFBED0DE"/>
        <bgColor rgb="FFBED0DE"/>
      </patternFill>
    </fill>
    <fill>
      <patternFill patternType="solid">
        <fgColor rgb="FFE3F1ED"/>
        <bgColor rgb="FFE3F1ED"/>
      </patternFill>
    </fill>
    <fill>
      <patternFill patternType="solid">
        <fgColor rgb="FFBFD0DE"/>
        <bgColor rgb="FFBFD0DE"/>
      </patternFill>
    </fill>
    <fill>
      <patternFill patternType="solid">
        <fgColor theme="1"/>
        <bgColor theme="1"/>
      </patternFill>
    </fill>
    <fill>
      <patternFill patternType="solid">
        <fgColor rgb="FFDDF0F2"/>
        <bgColor rgb="FFDDF0F2"/>
      </patternFill>
    </fill>
    <fill>
      <patternFill patternType="solid">
        <fgColor rgb="FFA9D5E7"/>
        <bgColor rgb="FFA9D5E7"/>
      </patternFill>
    </fill>
  </fills>
  <borders count="125">
    <border/>
    <border>
      <left/>
      <top/>
      <bottom/>
    </border>
    <border>
      <top/>
      <bottom/>
    </border>
    <border>
      <right/>
      <top/>
      <bottom/>
    </border>
    <border>
      <left/>
      <right style="thick">
        <color theme="0"/>
      </right>
      <top/>
      <bottom style="thick">
        <color theme="0"/>
      </bottom>
    </border>
    <border>
      <right style="thick">
        <color theme="0"/>
      </right>
      <top/>
      <bottom style="thick">
        <color theme="0"/>
      </bottom>
    </border>
    <border>
      <left style="thick">
        <color theme="0"/>
      </left>
      <right style="thick">
        <color theme="0"/>
      </right>
      <top/>
      <bottom style="thick">
        <color theme="0"/>
      </bottom>
    </border>
    <border>
      <left style="thick">
        <color theme="0"/>
      </left>
      <right/>
      <top/>
      <bottom style="thick">
        <color theme="0"/>
      </bottom>
    </border>
    <border>
      <left/>
      <right style="thick">
        <color theme="0"/>
      </right>
      <top style="thick">
        <color theme="0"/>
      </top>
      <bottom style="thick">
        <color theme="0"/>
      </bottom>
    </border>
    <border>
      <right style="thick">
        <color theme="0"/>
      </right>
      <top style="thick">
        <color theme="0"/>
      </top>
      <bottom style="thick">
        <color theme="0"/>
      </bottom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left style="thick">
        <color theme="0"/>
      </left>
      <right/>
      <top style="thick">
        <color theme="0"/>
      </top>
      <bottom style="thick">
        <color theme="0"/>
      </bottom>
    </border>
    <border>
      <left/>
      <right style="thick">
        <color theme="0"/>
      </right>
      <top style="thick">
        <color theme="0"/>
      </top>
      <bottom/>
    </border>
    <border>
      <right style="thick">
        <color theme="0"/>
      </right>
      <top style="thick">
        <color theme="0"/>
      </top>
      <bottom/>
    </border>
    <border>
      <left style="thick">
        <color theme="0"/>
      </left>
      <right style="thick">
        <color theme="0"/>
      </right>
      <top style="thick">
        <color theme="0"/>
      </top>
      <bottom/>
    </border>
    <border>
      <left style="thick">
        <color theme="0"/>
      </left>
      <right/>
      <top style="thick">
        <color theme="0"/>
      </top>
      <bottom/>
    </border>
    <border>
      <left/>
      <right/>
      <top/>
      <bottom/>
    </border>
    <border>
      <left/>
      <right/>
      <top/>
      <bottom style="thick">
        <color theme="0"/>
      </bottom>
    </border>
    <border>
      <left/>
      <top/>
      <bottom style="thick">
        <color theme="0"/>
      </bottom>
    </border>
    <border>
      <left/>
      <right/>
      <top style="thick">
        <color theme="0"/>
      </top>
      <bottom style="thick">
        <color theme="0"/>
      </bottom>
    </border>
    <border>
      <left/>
      <top style="thick">
        <color theme="0"/>
      </top>
      <bottom style="thick">
        <color theme="0"/>
      </bottom>
    </border>
    <border>
      <left/>
      <right/>
      <top style="thick">
        <color theme="0"/>
      </top>
      <bottom/>
    </border>
    <border>
      <left/>
      <top style="thick">
        <color theme="0"/>
      </top>
      <bottom/>
    </border>
    <border>
      <bottom style="medium">
        <color rgb="FF595959"/>
      </bottom>
    </border>
    <border>
      <left style="thick">
        <color theme="0"/>
      </left>
      <right style="thick">
        <color theme="0"/>
      </right>
      <top style="medium">
        <color rgb="FF595959"/>
      </top>
      <bottom style="thick">
        <color theme="0"/>
      </bottom>
    </border>
    <border>
      <top style="thick">
        <color theme="0"/>
      </top>
      <bottom style="thick">
        <color theme="0"/>
      </bottom>
    </border>
    <border>
      <left/>
      <right/>
      <top/>
      <bottom style="medium">
        <color rgb="FF595959"/>
      </bottom>
    </border>
    <border>
      <left/>
      <right/>
      <top/>
    </border>
    <border>
      <left/>
      <top/>
    </border>
    <border>
      <left style="medium">
        <color rgb="FFFFFFFF"/>
      </left>
      <top/>
    </border>
    <border>
      <left style="medium">
        <color rgb="FFFFFFFF"/>
      </left>
    </border>
    <border>
      <left style="medium">
        <color rgb="FFFFFFFF"/>
      </left>
      <right style="medium">
        <color rgb="FFFFFFFF"/>
      </right>
      <top style="medium">
        <color theme="5"/>
      </top>
    </border>
    <border>
      <right style="medium">
        <color rgb="FFFFFFFF"/>
      </right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left/>
      <right/>
      <bottom/>
    </border>
    <border>
      <left/>
      <top/>
      <bottom style="medium">
        <color rgb="FF595959"/>
      </bottom>
    </border>
    <border>
      <top/>
      <bottom style="medium">
        <color rgb="FF595959"/>
      </bottom>
    </border>
    <border>
      <right/>
      <top/>
      <bottom style="medium">
        <color rgb="FF595959"/>
      </bottom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right/>
      <top/>
      <bottom style="thick">
        <color theme="0"/>
      </bottom>
    </border>
    <border>
      <left/>
      <right/>
    </border>
    <border>
      <bottom style="thick">
        <color rgb="FF595959"/>
      </bottom>
    </border>
    <border>
      <left style="medium">
        <color theme="0"/>
      </left>
      <right style="medium">
        <color theme="0"/>
      </right>
      <top style="thick">
        <color theme="0"/>
      </top>
      <bottom style="thick">
        <color theme="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434343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bottom style="thick">
        <color rgb="FF625F7B"/>
      </bottom>
    </border>
    <border>
      <left/>
      <right/>
      <top style="medium">
        <color rgb="FFFFFFFF"/>
      </top>
      <bottom/>
    </border>
    <border>
      <top style="medium">
        <color rgb="FF434343"/>
      </top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/>
      <top/>
      <bottom style="medium">
        <color rgb="FF434343"/>
      </bottom>
    </border>
    <border>
      <right/>
      <top/>
      <bottom style="medium">
        <color rgb="FF434343"/>
      </bottom>
    </border>
    <border>
      <left/>
      <right/>
      <top/>
      <bottom style="medium">
        <color rgb="FF434343"/>
      </bottom>
    </border>
    <border>
      <left/>
      <top/>
      <bottom style="medium">
        <color rgb="FF808080"/>
      </bottom>
    </border>
    <border>
      <right/>
      <top/>
      <bottom style="medium">
        <color rgb="FF80808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top style="thin">
        <color rgb="FFFFFFFF"/>
      </top>
      <bottom style="medium">
        <color rgb="FFFFFFFF"/>
      </bottom>
    </border>
    <border>
      <right style="medium">
        <color rgb="FFFFFFFF"/>
      </right>
      <top style="thin">
        <color rgb="FFFFFFFF"/>
      </top>
      <bottom style="medium">
        <color rgb="FFFFFFFF"/>
      </bottom>
    </border>
    <border>
      <right style="thin">
        <color rgb="FFFFFFFF"/>
      </right>
      <bottom style="medium">
        <color rgb="FFFFFFFF"/>
      </bottom>
    </border>
    <border>
      <right style="thin">
        <color rgb="FFFFFFFF"/>
      </right>
      <bottom style="hair">
        <color rgb="FF5A696B"/>
      </bottom>
    </border>
    <border>
      <right style="thin">
        <color rgb="FFFFFFFF"/>
      </right>
    </border>
    <border>
      <left style="hair">
        <color rgb="FF5A696B"/>
      </left>
      <top style="hair">
        <color rgb="FF5A696B"/>
      </top>
    </border>
    <border>
      <right style="hair">
        <color rgb="FF5A696B"/>
      </right>
      <top style="hair">
        <color rgb="FF5A696B"/>
      </top>
    </border>
    <border>
      <right style="hair">
        <color rgb="FF5A696B"/>
      </right>
    </border>
    <border>
      <left style="hair">
        <color rgb="FF5A696B"/>
      </left>
      <bottom style="hair">
        <color rgb="FF5A696B"/>
      </bottom>
    </border>
    <border>
      <right style="hair">
        <color rgb="FF5A696B"/>
      </right>
      <bottom style="hair">
        <color rgb="FF5A696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ck">
        <color theme="0"/>
      </right>
      <top style="thick">
        <color rgb="FF595959"/>
      </top>
      <bottom style="thick">
        <color theme="0"/>
      </bottom>
    </border>
    <border>
      <left style="thick">
        <color theme="0"/>
      </left>
      <right style="thick">
        <color theme="0"/>
      </right>
      <top style="thick">
        <color rgb="FF595959"/>
      </top>
      <bottom style="thick">
        <color theme="0"/>
      </bottom>
    </border>
    <border>
      <left style="thick">
        <color theme="0"/>
      </left>
      <right/>
      <top style="thick">
        <color rgb="FF595959"/>
      </top>
      <bottom style="thick">
        <color theme="0"/>
      </bottom>
    </border>
    <border>
      <right style="thick">
        <color rgb="FFF2F2F2"/>
      </right>
      <top style="thick">
        <color rgb="FF595959"/>
      </top>
    </border>
    <border>
      <left style="thick">
        <color rgb="FFF2F2F2"/>
      </left>
      <right style="thick">
        <color rgb="FFF2F2F2"/>
      </right>
      <top style="thick">
        <color rgb="FF595959"/>
      </top>
    </border>
    <border>
      <right style="thick">
        <color rgb="FFF2F2F2"/>
      </right>
    </border>
    <border>
      <left style="thick">
        <color rgb="FFF2F2F2"/>
      </left>
      <right style="thick">
        <color rgb="FFF2F2F2"/>
      </right>
    </border>
    <border>
      <right style="thick">
        <color rgb="FFF2F2F2"/>
      </right>
      <bottom style="thick">
        <color rgb="FFF2F2F2"/>
      </bottom>
    </border>
    <border>
      <left style="thick">
        <color rgb="FFF2F2F2"/>
      </left>
      <right style="thick">
        <color rgb="FFF2F2F2"/>
      </right>
      <bottom style="thick">
        <color rgb="FFF2F2F2"/>
      </bottom>
    </border>
    <border>
      <left style="thick">
        <color rgb="FFF2F2F2"/>
      </left>
      <right style="thick">
        <color rgb="FFF2F2F2"/>
      </right>
      <top style="thick">
        <color rgb="FFF2F2F2"/>
      </top>
    </border>
    <border>
      <left/>
      <right/>
      <bottom style="thick">
        <color theme="0"/>
      </bottom>
    </border>
    <border>
      <left style="thick">
        <color theme="0"/>
      </left>
      <top style="thick">
        <color theme="0"/>
      </top>
      <bottom style="thick">
        <color theme="0"/>
      </bottom>
    </border>
    <border>
      <left/>
      <right style="thick">
        <color theme="0"/>
      </right>
      <top/>
      <bottom/>
    </border>
    <border>
      <left style="thick">
        <color theme="0"/>
      </left>
      <right style="thick">
        <color theme="0"/>
      </right>
      <top/>
      <bottom/>
    </border>
    <border>
      <left style="thick">
        <color theme="0"/>
      </left>
      <right/>
      <top/>
      <bottom/>
    </border>
    <border>
      <bottom style="thick">
        <color theme="0"/>
      </bottom>
    </border>
    <border>
      <top style="thick">
        <color theme="0"/>
      </top>
    </border>
    <border>
      <left style="thick">
        <color theme="0"/>
      </left>
      <right style="thick">
        <color theme="0"/>
      </right>
    </border>
    <border>
      <left style="thick">
        <color theme="0"/>
      </left>
    </border>
    <border>
      <left style="thin">
        <color rgb="FF000000"/>
      </left>
    </border>
    <border>
      <right style="thin">
        <color rgb="FF000000"/>
      </right>
    </border>
    <border>
      <bottom style="medium">
        <color rgb="FF434343"/>
      </bottom>
    </border>
    <border>
      <left/>
      <right/>
      <top/>
      <bottom style="medium">
        <color rgb="FF808080"/>
      </bottom>
    </border>
    <border>
      <bottom style="medium">
        <color rgb="FF808080"/>
      </bottom>
    </border>
    <border>
      <top style="thin">
        <color rgb="FFFFFFFF"/>
      </top>
    </border>
    <border>
      <right style="medium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ck">
        <color rgb="FFF2F2F2"/>
      </left>
      <right style="thick">
        <color rgb="FFF2F2F2"/>
      </right>
      <top style="thick">
        <color rgb="FFF2F2F2"/>
      </top>
      <bottom style="thick">
        <color rgb="FFF2F2F2"/>
      </bottom>
    </border>
    <border>
      <left style="thick">
        <color rgb="FFF2F2F2"/>
      </left>
    </border>
    <border>
      <right style="thick">
        <color rgb="FFF2F2F2"/>
      </right>
      <top style="thick">
        <color rgb="FF595959"/>
      </top>
      <bottom style="thick">
        <color rgb="FFF2F2F2"/>
      </bottom>
    </border>
    <border>
      <left style="thick">
        <color rgb="FFF2F2F2"/>
      </left>
      <right style="thick">
        <color rgb="FFF2F2F2"/>
      </right>
      <top style="thick">
        <color rgb="FF595959"/>
      </top>
      <bottom style="thick">
        <color rgb="FFF2F2F2"/>
      </bottom>
    </border>
    <border>
      <right style="thick">
        <color theme="0"/>
      </right>
      <top style="thick">
        <color theme="0"/>
      </top>
    </border>
  </borders>
  <cellStyleXfs count="1">
    <xf numFmtId="0" fontId="0" fillId="0" borderId="0"/>
  </cellStyleXfs>
  <cellXfs count="74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1" fillId="2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7" fillId="3" borderId="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4" borderId="8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4" borderId="10" applyAlignment="1" pivotButton="0" quotePrefix="0" xfId="0">
      <alignment vertical="center"/>
    </xf>
    <xf numFmtId="0" fontId="1" fillId="4" borderId="10" applyAlignment="1" pivotButton="0" quotePrefix="0" xfId="0">
      <alignment horizontal="center" vertical="center"/>
    </xf>
    <xf numFmtId="164" fontId="1" fillId="4" borderId="11" applyAlignment="1" pivotButton="0" quotePrefix="0" xfId="0">
      <alignment vertical="center"/>
    </xf>
    <xf numFmtId="4" fontId="6" fillId="0" borderId="0" applyAlignment="1" pivotButton="0" quotePrefix="0" xfId="0">
      <alignment vertical="center"/>
    </xf>
    <xf numFmtId="10" fontId="1" fillId="4" borderId="10" applyAlignment="1" pivotButton="0" quotePrefix="0" xfId="0">
      <alignment horizontal="center" vertical="center"/>
    </xf>
    <xf numFmtId="9" fontId="6" fillId="0" borderId="0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164" fontId="1" fillId="4" borderId="13" applyAlignment="1" pivotButton="0" quotePrefix="0" xfId="0">
      <alignment vertical="center"/>
    </xf>
    <xf numFmtId="164" fontId="1" fillId="4" borderId="14" applyAlignment="1" pivotButton="0" quotePrefix="0" xfId="0">
      <alignment vertical="center"/>
    </xf>
    <xf numFmtId="10" fontId="1" fillId="4" borderId="14" applyAlignment="1" pivotButton="0" quotePrefix="0" xfId="0">
      <alignment horizontal="center" vertical="center"/>
    </xf>
    <xf numFmtId="164" fontId="1" fillId="4" borderId="1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horizontal="center" vertical="center"/>
    </xf>
    <xf numFmtId="0" fontId="8" fillId="5" borderId="16" applyAlignment="1" pivotButton="0" quotePrefix="0" xfId="0">
      <alignment vertical="center"/>
    </xf>
    <xf numFmtId="164" fontId="8" fillId="5" borderId="16" applyAlignment="1" pivotButton="0" quotePrefix="0" xfId="0">
      <alignment vertical="center"/>
    </xf>
    <xf numFmtId="10" fontId="8" fillId="5" borderId="16" applyAlignment="1" pivotButton="0" quotePrefix="0" xfId="0">
      <alignment horizontal="center" vertical="center"/>
    </xf>
    <xf numFmtId="164" fontId="9" fillId="5" borderId="16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horizontal="center" vertical="bottom"/>
    </xf>
    <xf numFmtId="0" fontId="1" fillId="6" borderId="17" applyAlignment="1" pivotButton="0" quotePrefix="0" xfId="0">
      <alignment vertical="bottom"/>
    </xf>
    <xf numFmtId="0" fontId="7" fillId="6" borderId="18" applyAlignment="1" pivotButton="0" quotePrefix="0" xfId="0">
      <alignment vertical="bottom"/>
    </xf>
    <xf numFmtId="0" fontId="7" fillId="6" borderId="4" applyAlignment="1" pivotButton="0" quotePrefix="0" xfId="0">
      <alignment vertical="bottom"/>
    </xf>
    <xf numFmtId="0" fontId="1" fillId="6" borderId="6" applyAlignment="1" pivotButton="0" quotePrefix="0" xfId="0">
      <alignment horizontal="center" vertical="bottom"/>
    </xf>
    <xf numFmtId="164" fontId="1" fillId="6" borderId="7" applyAlignment="1" pivotButton="0" quotePrefix="0" xfId="0">
      <alignment horizontal="right" vertical="bottom"/>
    </xf>
    <xf numFmtId="0" fontId="1" fillId="6" borderId="19" applyAlignment="1" pivotButton="0" quotePrefix="0" xfId="0">
      <alignment vertical="bottom"/>
    </xf>
    <xf numFmtId="0" fontId="1" fillId="6" borderId="20" applyAlignment="1" pivotButton="0" quotePrefix="0" xfId="0">
      <alignment vertical="bottom"/>
    </xf>
    <xf numFmtId="0" fontId="1" fillId="6" borderId="8" applyAlignment="1" pivotButton="0" quotePrefix="0" xfId="0">
      <alignment vertical="bottom"/>
    </xf>
    <xf numFmtId="0" fontId="1" fillId="6" borderId="10" applyAlignment="1" pivotButton="0" quotePrefix="0" xfId="0">
      <alignment horizontal="center" vertical="bottom"/>
    </xf>
    <xf numFmtId="164" fontId="1" fillId="6" borderId="11" applyAlignment="1" pivotButton="0" quotePrefix="0" xfId="0">
      <alignment horizontal="right" vertical="bottom"/>
    </xf>
    <xf numFmtId="4" fontId="11" fillId="0" borderId="0" applyAlignment="1" pivotButton="0" quotePrefix="0" xfId="0">
      <alignment vertical="bottom"/>
    </xf>
    <xf numFmtId="0" fontId="7" fillId="6" borderId="20" applyAlignment="1" pivotButton="0" quotePrefix="0" xfId="0">
      <alignment vertical="bottom"/>
    </xf>
    <xf numFmtId="0" fontId="7" fillId="6" borderId="8" applyAlignment="1" pivotButton="0" quotePrefix="0" xfId="0">
      <alignment vertical="bottom"/>
    </xf>
    <xf numFmtId="10" fontId="1" fillId="6" borderId="11" applyAlignment="1" pivotButton="0" quotePrefix="0" xfId="0">
      <alignment horizontal="right" vertical="bottom"/>
    </xf>
    <xf numFmtId="0" fontId="12" fillId="0" borderId="0" applyAlignment="1" pivotButton="0" quotePrefix="0" xfId="0">
      <alignment vertical="bottom"/>
    </xf>
    <xf numFmtId="0" fontId="1" fillId="6" borderId="21" applyAlignment="1" pivotButton="0" quotePrefix="0" xfId="0">
      <alignment vertical="bottom"/>
    </xf>
    <xf numFmtId="0" fontId="7" fillId="6" borderId="22" applyAlignment="1" pivotButton="0" quotePrefix="0" xfId="0">
      <alignment vertical="bottom"/>
    </xf>
    <xf numFmtId="0" fontId="7" fillId="6" borderId="12" applyAlignment="1" pivotButton="0" quotePrefix="0" xfId="0">
      <alignment vertical="bottom"/>
    </xf>
    <xf numFmtId="0" fontId="1" fillId="6" borderId="14" applyAlignment="1" pivotButton="0" quotePrefix="0" xfId="0">
      <alignment horizontal="center" vertical="bottom"/>
    </xf>
    <xf numFmtId="10" fontId="1" fillId="6" borderId="15" applyAlignment="1" pivotButton="0" quotePrefix="0" xfId="0">
      <alignment horizontal="right" vertical="bottom"/>
    </xf>
    <xf numFmtId="0" fontId="1" fillId="0" borderId="0" applyAlignment="1" pivotButton="0" quotePrefix="0" xfId="0">
      <alignment horizontal="left" vertical="bottom" wrapText="1"/>
    </xf>
    <xf numFmtId="0" fontId="13" fillId="0" borderId="0" applyAlignment="1" pivotButton="0" quotePrefix="0" xfId="0">
      <alignment horizontal="center" vertical="bottom"/>
    </xf>
    <xf numFmtId="0" fontId="14" fillId="7" borderId="16" applyAlignment="1" pivotButton="0" quotePrefix="0" xfId="0">
      <alignment vertical="center"/>
    </xf>
    <xf numFmtId="0" fontId="14" fillId="7" borderId="16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1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6" fillId="0" borderId="23" applyAlignment="1" pivotButton="0" quotePrefix="0" xfId="0">
      <alignment horizontal="center" vertical="center"/>
    </xf>
    <xf numFmtId="0" fontId="4" fillId="0" borderId="23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2" fillId="8" borderId="16" applyAlignment="1" pivotButton="0" quotePrefix="0" xfId="0">
      <alignment vertical="center"/>
    </xf>
    <xf numFmtId="0" fontId="19" fillId="0" borderId="24" applyAlignment="1" pivotButton="0" quotePrefix="0" xfId="0">
      <alignment horizontal="center" vertical="center"/>
    </xf>
    <xf numFmtId="49" fontId="20" fillId="0" borderId="25" applyAlignment="1" pivotButton="0" quotePrefix="0" xfId="0">
      <alignment vertical="center"/>
    </xf>
    <xf numFmtId="165" fontId="20" fillId="0" borderId="10" applyAlignment="1" pivotButton="0" quotePrefix="0" xfId="0">
      <alignment horizontal="center" vertical="center"/>
    </xf>
    <xf numFmtId="0" fontId="21" fillId="8" borderId="26" applyAlignment="1" pivotButton="0" quotePrefix="0" xfId="0">
      <alignment vertical="center"/>
    </xf>
    <xf numFmtId="0" fontId="22" fillId="8" borderId="26" applyAlignment="1" pivotButton="0" quotePrefix="0" xfId="0">
      <alignment vertical="center"/>
    </xf>
    <xf numFmtId="0" fontId="23" fillId="8" borderId="16" applyAlignment="1" pivotButton="0" quotePrefix="0" xfId="0">
      <alignment vertical="center"/>
    </xf>
    <xf numFmtId="0" fontId="24" fillId="8" borderId="27" applyAlignment="1" pivotButton="0" quotePrefix="0" xfId="0">
      <alignment horizontal="left" vertical="center"/>
    </xf>
    <xf numFmtId="0" fontId="24" fillId="8" borderId="28" applyAlignment="1" pivotButton="0" quotePrefix="0" xfId="0">
      <alignment horizontal="left" vertical="center"/>
    </xf>
    <xf numFmtId="0" fontId="24" fillId="8" borderId="29" applyAlignment="1" pivotButton="0" quotePrefix="0" xfId="0">
      <alignment horizontal="left" vertical="center"/>
    </xf>
    <xf numFmtId="0" fontId="24" fillId="8" borderId="30" applyAlignment="1" pivotButton="0" quotePrefix="0" xfId="0">
      <alignment horizontal="left" vertical="center"/>
    </xf>
    <xf numFmtId="0" fontId="19" fillId="0" borderId="31" applyAlignment="1" pivotButton="0" quotePrefix="0" xfId="0">
      <alignment horizontal="center" vertical="center"/>
    </xf>
    <xf numFmtId="14" fontId="10" fillId="0" borderId="32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/>
    </xf>
    <xf numFmtId="0" fontId="12" fillId="8" borderId="1" applyAlignment="1" pivotButton="0" quotePrefix="0" xfId="0">
      <alignment vertical="center"/>
    </xf>
    <xf numFmtId="0" fontId="6" fillId="0" borderId="33" applyAlignment="1" pivotButton="0" quotePrefix="0" xfId="0">
      <alignment vertical="center"/>
    </xf>
    <xf numFmtId="0" fontId="22" fillId="8" borderId="33" applyAlignment="1" pivotButton="0" quotePrefix="0" xfId="0">
      <alignment vertical="center"/>
    </xf>
    <xf numFmtId="0" fontId="1" fillId="9" borderId="33" applyAlignment="1" pivotButton="0" quotePrefix="0" xfId="0">
      <alignment horizontal="center" vertical="center"/>
    </xf>
    <xf numFmtId="166" fontId="1" fillId="9" borderId="33" applyAlignment="1" pivotButton="0" quotePrefix="0" xfId="0">
      <alignment horizontal="center" vertical="center"/>
    </xf>
    <xf numFmtId="0" fontId="23" fillId="8" borderId="3" applyAlignment="1" pivotButton="0" quotePrefix="0" xfId="0">
      <alignment vertical="center"/>
    </xf>
    <xf numFmtId="0" fontId="23" fillId="8" borderId="33" applyAlignment="1" pivotButton="0" quotePrefix="0" xfId="0">
      <alignment vertical="center"/>
    </xf>
    <xf numFmtId="0" fontId="24" fillId="8" borderId="33" applyAlignment="1" pivotButton="0" quotePrefix="0" xfId="0">
      <alignment horizontal="left" vertical="center"/>
    </xf>
    <xf numFmtId="0" fontId="25" fillId="0" borderId="33" applyAlignment="1" pivotButton="0" quotePrefix="0" xfId="0">
      <alignment horizontal="left" vertical="top"/>
    </xf>
    <xf numFmtId="0" fontId="19" fillId="0" borderId="33" applyAlignment="1" pivotButton="0" quotePrefix="0" xfId="0">
      <alignment horizontal="center" vertical="center"/>
    </xf>
    <xf numFmtId="49" fontId="26" fillId="10" borderId="33" applyAlignment="1" pivotButton="0" quotePrefix="0" xfId="0">
      <alignment vertical="center"/>
    </xf>
    <xf numFmtId="49" fontId="26" fillId="11" borderId="33" applyAlignment="1" pivotButton="0" quotePrefix="0" xfId="0">
      <alignment horizontal="center" vertical="center"/>
    </xf>
    <xf numFmtId="4" fontId="26" fillId="12" borderId="33" applyAlignment="1" pivotButton="0" quotePrefix="0" xfId="0">
      <alignment horizontal="center" vertical="center"/>
    </xf>
    <xf numFmtId="165" fontId="26" fillId="12" borderId="33" applyAlignment="1" pivotButton="0" quotePrefix="0" xfId="0">
      <alignment horizontal="center" vertical="center"/>
    </xf>
    <xf numFmtId="165" fontId="26" fillId="13" borderId="33" applyAlignment="1" pivotButton="0" quotePrefix="0" xfId="0">
      <alignment horizontal="center" vertical="center"/>
    </xf>
    <xf numFmtId="0" fontId="27" fillId="9" borderId="33" applyAlignment="1" pivotButton="0" quotePrefix="0" xfId="0">
      <alignment horizontal="left" vertical="bottom"/>
    </xf>
    <xf numFmtId="0" fontId="26" fillId="9" borderId="33" applyAlignment="1" pivotButton="0" quotePrefix="0" xfId="0">
      <alignment horizontal="right" vertical="center"/>
    </xf>
    <xf numFmtId="165" fontId="28" fillId="9" borderId="33" applyAlignment="1" pivotButton="0" quotePrefix="0" xfId="0">
      <alignment horizontal="center" vertical="center"/>
    </xf>
    <xf numFmtId="0" fontId="12" fillId="8" borderId="33" applyAlignment="1" pivotButton="0" quotePrefix="0" xfId="0">
      <alignment vertical="center"/>
    </xf>
    <xf numFmtId="0" fontId="25" fillId="0" borderId="34" applyAlignment="1" pivotButton="0" quotePrefix="0" xfId="0">
      <alignment horizontal="right" vertical="top"/>
    </xf>
    <xf numFmtId="0" fontId="4" fillId="0" borderId="35" applyAlignment="1" pivotButton="0" quotePrefix="0" xfId="0">
      <alignment vertical="center"/>
    </xf>
    <xf numFmtId="165" fontId="27" fillId="9" borderId="33" applyAlignment="1" pivotButton="0" quotePrefix="0" xfId="0">
      <alignment horizontal="center" vertical="center"/>
    </xf>
    <xf numFmtId="49" fontId="12" fillId="8" borderId="33" applyAlignment="1" pivotButton="0" quotePrefix="0" xfId="0">
      <alignment vertical="center"/>
    </xf>
    <xf numFmtId="49" fontId="23" fillId="8" borderId="16" applyAlignment="1" pivotButton="0" quotePrefix="0" xfId="0">
      <alignment vertical="center"/>
    </xf>
    <xf numFmtId="10" fontId="26" fillId="11" borderId="33" applyAlignment="1" pivotButton="0" quotePrefix="0" xfId="0">
      <alignment horizontal="center" vertical="center"/>
    </xf>
    <xf numFmtId="167" fontId="26" fillId="11" borderId="33" applyAlignment="1" pivotButton="0" quotePrefix="0" xfId="0">
      <alignment horizontal="center" vertical="center"/>
    </xf>
    <xf numFmtId="0" fontId="26" fillId="9" borderId="33" applyAlignment="1" pivotButton="0" quotePrefix="0" xfId="0">
      <alignment horizontal="left" vertical="bottom"/>
    </xf>
    <xf numFmtId="9" fontId="23" fillId="8" borderId="3" applyAlignment="1" pivotButton="0" quotePrefix="0" xfId="0">
      <alignment vertical="center"/>
    </xf>
    <xf numFmtId="0" fontId="25" fillId="0" borderId="33" applyAlignment="1" pivotButton="0" quotePrefix="0" xfId="0">
      <alignment vertical="top"/>
    </xf>
    <xf numFmtId="0" fontId="25" fillId="0" borderId="33" applyAlignment="1" pivotButton="0" quotePrefix="0" xfId="0">
      <alignment horizontal="right" vertical="bottom"/>
    </xf>
    <xf numFmtId="165" fontId="26" fillId="11" borderId="33" applyAlignment="1" pivotButton="0" quotePrefix="0" xfId="0">
      <alignment horizontal="center" vertical="center"/>
    </xf>
    <xf numFmtId="0" fontId="19" fillId="0" borderId="34" applyAlignment="1" pivotButton="0" quotePrefix="0" xfId="0">
      <alignment horizontal="left" vertical="center"/>
    </xf>
    <xf numFmtId="0" fontId="19" fillId="0" borderId="34" applyAlignment="1" pivotButton="0" quotePrefix="0" xfId="0">
      <alignment horizontal="center" vertical="center"/>
    </xf>
    <xf numFmtId="0" fontId="29" fillId="4" borderId="34" applyAlignment="1" pivotButton="0" quotePrefix="0" xfId="0">
      <alignment horizontal="left" vertical="center"/>
    </xf>
    <xf numFmtId="49" fontId="26" fillId="11" borderId="34" applyAlignment="1" pivotButton="0" quotePrefix="0" xfId="0">
      <alignment horizontal="center" vertical="center"/>
    </xf>
    <xf numFmtId="49" fontId="6" fillId="11" borderId="33" applyAlignment="1" pivotButton="0" quotePrefix="0" xfId="0">
      <alignment vertical="center"/>
    </xf>
    <xf numFmtId="0" fontId="26" fillId="4" borderId="34" applyAlignment="1" pivotButton="0" quotePrefix="0" xfId="0">
      <alignment horizontal="left" vertical="center"/>
    </xf>
    <xf numFmtId="0" fontId="27" fillId="9" borderId="34" applyAlignment="1" pivotButton="0" quotePrefix="0" xfId="0">
      <alignment horizontal="left" vertical="center"/>
    </xf>
    <xf numFmtId="0" fontId="4" fillId="0" borderId="36" applyAlignment="1" pivotButton="0" quotePrefix="0" xfId="0">
      <alignment vertical="center"/>
    </xf>
    <xf numFmtId="0" fontId="27" fillId="9" borderId="33" applyAlignment="1" pivotButton="0" quotePrefix="0" xfId="0">
      <alignment horizontal="left" vertical="center"/>
    </xf>
    <xf numFmtId="0" fontId="25" fillId="0" borderId="33" applyAlignment="1" pivotButton="0" quotePrefix="0" xfId="0">
      <alignment horizontal="right" vertical="top"/>
    </xf>
    <xf numFmtId="0" fontId="19" fillId="0" borderId="33" applyAlignment="1" pivotButton="0" quotePrefix="0" xfId="0">
      <alignment vertical="center"/>
    </xf>
    <xf numFmtId="0" fontId="26" fillId="4" borderId="33" applyAlignment="1" pivotButton="0" quotePrefix="0" xfId="0">
      <alignment horizontal="left" vertical="center"/>
    </xf>
    <xf numFmtId="0" fontId="30" fillId="8" borderId="33" applyAlignment="1" pivotButton="0" quotePrefix="0" xfId="0">
      <alignment horizontal="right" vertical="center"/>
    </xf>
    <xf numFmtId="165" fontId="31" fillId="8" borderId="33" applyAlignment="1" pivotButton="0" quotePrefix="0" xfId="0">
      <alignment horizontal="center" vertical="center"/>
    </xf>
    <xf numFmtId="0" fontId="23" fillId="8" borderId="37" applyAlignment="1" pivotButton="0" quotePrefix="0" xfId="0">
      <alignment vertical="center"/>
    </xf>
    <xf numFmtId="0" fontId="32" fillId="8" borderId="16" applyAlignment="1" pivotButton="0" quotePrefix="0" xfId="0">
      <alignment vertical="center"/>
    </xf>
    <xf numFmtId="0" fontId="33" fillId="8" borderId="16" applyAlignment="1" pivotButton="0" quotePrefix="0" xfId="0">
      <alignment vertical="center"/>
    </xf>
    <xf numFmtId="0" fontId="17" fillId="8" borderId="16" applyAlignment="1" pivotButton="0" quotePrefix="0" xfId="0">
      <alignment vertical="center"/>
    </xf>
    <xf numFmtId="0" fontId="16" fillId="8" borderId="38" applyAlignment="1" pivotButton="0" quotePrefix="0" xfId="0">
      <alignment horizontal="center" vertical="center"/>
    </xf>
    <xf numFmtId="0" fontId="4" fillId="0" borderId="39" applyAlignment="1" pivotButton="0" quotePrefix="0" xfId="0">
      <alignment vertical="center"/>
    </xf>
    <xf numFmtId="0" fontId="4" fillId="0" borderId="40" applyAlignment="1" pivotButton="0" quotePrefix="0" xfId="0">
      <alignment vertical="center"/>
    </xf>
    <xf numFmtId="49" fontId="20" fillId="10" borderId="19" applyAlignment="1" pivotButton="0" quotePrefix="0" xfId="0">
      <alignment vertical="center"/>
    </xf>
    <xf numFmtId="165" fontId="20" fillId="11" borderId="10" applyAlignment="1" pivotButton="0" quotePrefix="0" xfId="0">
      <alignment horizontal="center" vertical="center"/>
    </xf>
    <xf numFmtId="0" fontId="34" fillId="8" borderId="28" applyAlignment="1" pivotButton="0" quotePrefix="0" xfId="0">
      <alignment horizontal="center" vertical="center"/>
    </xf>
    <xf numFmtId="0" fontId="4" fillId="0" borderId="41" applyAlignment="1" pivotButton="0" quotePrefix="0" xfId="0">
      <alignment vertical="center"/>
    </xf>
    <xf numFmtId="0" fontId="4" fillId="0" borderId="42" applyAlignment="1" pivotButton="0" quotePrefix="0" xfId="0">
      <alignment vertical="center"/>
    </xf>
    <xf numFmtId="0" fontId="4" fillId="0" borderId="43" applyAlignment="1" pivotButton="0" quotePrefix="0" xfId="0">
      <alignment vertical="center"/>
    </xf>
    <xf numFmtId="0" fontId="4" fillId="0" borderId="44" applyAlignment="1" pivotButton="0" quotePrefix="0" xfId="0">
      <alignment vertical="center"/>
    </xf>
    <xf numFmtId="0" fontId="4" fillId="0" borderId="45" applyAlignment="1" pivotButton="0" quotePrefix="0" xfId="0">
      <alignment vertical="center"/>
    </xf>
    <xf numFmtId="0" fontId="4" fillId="0" borderId="46" applyAlignment="1" pivotButton="0" quotePrefix="0" xfId="0">
      <alignment vertical="center"/>
    </xf>
    <xf numFmtId="0" fontId="4" fillId="0" borderId="47" applyAlignment="1" pivotButton="0" quotePrefix="0" xfId="0">
      <alignment vertical="center"/>
    </xf>
    <xf numFmtId="0" fontId="21" fillId="8" borderId="16" applyAlignment="1" pivotButton="0" quotePrefix="0" xfId="0">
      <alignment vertical="center"/>
    </xf>
    <xf numFmtId="9" fontId="23" fillId="8" borderId="16" applyAlignment="1" pivotButton="0" quotePrefix="0" xfId="0">
      <alignment vertical="center"/>
    </xf>
    <xf numFmtId="0" fontId="16" fillId="8" borderId="18" applyAlignment="1" pivotButton="0" quotePrefix="0" xfId="0">
      <alignment horizontal="center" vertical="center"/>
    </xf>
    <xf numFmtId="0" fontId="4" fillId="0" borderId="48" applyAlignment="1" pivotButton="0" quotePrefix="0" xfId="0">
      <alignment vertical="center"/>
    </xf>
    <xf numFmtId="0" fontId="25" fillId="0" borderId="25" applyAlignment="1" pivotButton="0" quotePrefix="0" xfId="0">
      <alignment horizontal="right" vertical="top"/>
    </xf>
    <xf numFmtId="165" fontId="20" fillId="14" borderId="10" applyAlignment="1" pivotButton="0" quotePrefix="0" xfId="0">
      <alignment horizontal="center" vertical="center"/>
    </xf>
    <xf numFmtId="0" fontId="21" fillId="8" borderId="16" applyAlignment="1" pivotButton="0" quotePrefix="0" xfId="0">
      <alignment horizontal="right" vertical="center"/>
    </xf>
    <xf numFmtId="0" fontId="35" fillId="8" borderId="16" applyAlignment="1" pivotButton="0" quotePrefix="0" xfId="0">
      <alignment horizontal="left" vertical="center"/>
    </xf>
    <xf numFmtId="0" fontId="24" fillId="8" borderId="16" applyAlignment="1" pivotButton="0" quotePrefix="0" xfId="0">
      <alignment horizontal="left" vertical="center"/>
    </xf>
    <xf numFmtId="0" fontId="22" fillId="8" borderId="16" applyAlignment="1" pivotButton="0" quotePrefix="0" xfId="0">
      <alignment vertical="center"/>
    </xf>
    <xf numFmtId="0" fontId="22" fillId="8" borderId="1" applyAlignment="1" pivotButton="0" quotePrefix="0" xfId="0">
      <alignment vertical="center"/>
    </xf>
    <xf numFmtId="0" fontId="36" fillId="8" borderId="3" applyAlignment="1" pivotButton="0" quotePrefix="0" xfId="0">
      <alignment horizontal="right" vertical="center"/>
    </xf>
    <xf numFmtId="0" fontId="23" fillId="8" borderId="27" applyAlignment="1" pivotButton="0" quotePrefix="0" xfId="0">
      <alignment vertical="center"/>
    </xf>
    <xf numFmtId="0" fontId="23" fillId="8" borderId="49" applyAlignment="1" pivotButton="0" quotePrefix="0" xfId="0">
      <alignment vertical="center"/>
    </xf>
    <xf numFmtId="0" fontId="17" fillId="8" borderId="3" applyAlignment="1" pivotButton="0" quotePrefix="0" xfId="0">
      <alignment vertical="center"/>
    </xf>
    <xf numFmtId="0" fontId="20" fillId="15" borderId="33" applyAlignment="1" pivotButton="0" quotePrefix="0" xfId="0">
      <alignment horizontal="left" vertical="center"/>
    </xf>
    <xf numFmtId="0" fontId="20" fillId="14" borderId="33" applyAlignment="1" pivotButton="0" quotePrefix="0" xfId="0">
      <alignment horizontal="left" vertical="center"/>
    </xf>
    <xf numFmtId="165" fontId="26" fillId="14" borderId="33" applyAlignment="1" pivotButton="0" quotePrefix="0" xfId="0">
      <alignment horizontal="center" vertical="center"/>
    </xf>
    <xf numFmtId="165" fontId="17" fillId="8" borderId="3" applyAlignment="1" pivotButton="0" quotePrefix="0" xfId="0">
      <alignment vertical="center"/>
    </xf>
    <xf numFmtId="0" fontId="26" fillId="9" borderId="34" applyAlignment="1" pivotButton="0" quotePrefix="0" xfId="0">
      <alignment horizontal="left" vertical="center"/>
    </xf>
    <xf numFmtId="165" fontId="26" fillId="9" borderId="33" applyAlignment="1" pivotButton="0" quotePrefix="0" xfId="0">
      <alignment horizontal="center" vertical="center"/>
    </xf>
    <xf numFmtId="165" fontId="26" fillId="16" borderId="33" applyAlignment="1" pivotButton="0" quotePrefix="0" xfId="0">
      <alignment horizontal="center" vertical="center"/>
    </xf>
    <xf numFmtId="0" fontId="12" fillId="8" borderId="37" applyAlignment="1" pivotButton="0" quotePrefix="0" xfId="0">
      <alignment vertical="center"/>
    </xf>
    <xf numFmtId="0" fontId="12" fillId="8" borderId="27" applyAlignment="1" pivotButton="0" quotePrefix="0" xfId="0">
      <alignment vertical="center"/>
    </xf>
    <xf numFmtId="167" fontId="26" fillId="13" borderId="33" applyAlignment="1" pivotButton="0" quotePrefix="0" xfId="0">
      <alignment horizontal="center" vertical="center"/>
    </xf>
    <xf numFmtId="0" fontId="26" fillId="9" borderId="34" applyAlignment="1" pivotButton="0" quotePrefix="0" xfId="0">
      <alignment horizontal="right" vertical="center"/>
    </xf>
    <xf numFmtId="167" fontId="26" fillId="9" borderId="33" applyAlignment="1" pivotButton="0" quotePrefix="0" xfId="0">
      <alignment horizontal="center" vertical="center"/>
    </xf>
    <xf numFmtId="165" fontId="27" fillId="8" borderId="34" applyAlignment="1" pivotButton="0" quotePrefix="0" xfId="0">
      <alignment horizontal="right" vertical="center"/>
    </xf>
    <xf numFmtId="165" fontId="27" fillId="14" borderId="33" applyAlignment="1" pivotButton="0" quotePrefix="0" xfId="0">
      <alignment horizontal="center" vertical="center"/>
    </xf>
    <xf numFmtId="0" fontId="19" fillId="0" borderId="33" applyAlignment="1" pivotButton="0" quotePrefix="0" xfId="0">
      <alignment horizontal="left" vertical="center"/>
    </xf>
    <xf numFmtId="0" fontId="37" fillId="8" borderId="0" applyAlignment="1" pivotButton="0" quotePrefix="0" xfId="0">
      <alignment vertical="center"/>
    </xf>
    <xf numFmtId="0" fontId="38" fillId="17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40" fillId="0" borderId="35" applyAlignment="1" pivotButton="0" quotePrefix="0" xfId="0">
      <alignment horizontal="center" vertical="center"/>
    </xf>
    <xf numFmtId="0" fontId="39" fillId="8" borderId="0" applyAlignment="1" pivotButton="0" quotePrefix="0" xfId="0">
      <alignment vertical="center"/>
    </xf>
    <xf numFmtId="0" fontId="41" fillId="10" borderId="35" applyAlignment="1" pivotButton="0" quotePrefix="0" xfId="0">
      <alignment vertical="center"/>
    </xf>
    <xf numFmtId="43" fontId="39" fillId="18" borderId="33" applyAlignment="1" pivotButton="0" quotePrefix="0" xfId="0">
      <alignment horizontal="right" vertical="center"/>
    </xf>
    <xf numFmtId="43" fontId="41" fillId="10" borderId="33" applyAlignment="1" pivotButton="0" quotePrefix="0" xfId="0">
      <alignment horizontal="right" vertical="center"/>
    </xf>
    <xf numFmtId="43" fontId="39" fillId="18" borderId="35" applyAlignment="1" pivotButton="0" quotePrefix="0" xfId="0">
      <alignment vertical="center"/>
    </xf>
    <xf numFmtId="43" fontId="6" fillId="13" borderId="33" applyAlignment="1" pivotButton="0" quotePrefix="0" xfId="0">
      <alignment vertical="center"/>
    </xf>
    <xf numFmtId="43" fontId="6" fillId="13" borderId="33" applyAlignment="1" pivotButton="0" quotePrefix="0" xfId="0">
      <alignment vertical="center"/>
    </xf>
    <xf numFmtId="43" fontId="6" fillId="18" borderId="33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44" fillId="0" borderId="50" applyAlignment="1" pivotButton="0" quotePrefix="0" xfId="0">
      <alignment horizontal="left" vertical="center"/>
    </xf>
    <xf numFmtId="0" fontId="43" fillId="0" borderId="50" applyAlignment="1" pivotButton="0" quotePrefix="0" xfId="0">
      <alignment horizontal="left" vertical="center"/>
    </xf>
    <xf numFmtId="0" fontId="43" fillId="0" borderId="50" applyAlignment="1" pivotButton="0" quotePrefix="0" xfId="0">
      <alignment vertical="center"/>
    </xf>
    <xf numFmtId="0" fontId="44" fillId="0" borderId="50" applyAlignment="1" pivotButton="0" quotePrefix="0" xfId="0">
      <alignment horizontal="right" vertical="center"/>
    </xf>
    <xf numFmtId="0" fontId="24" fillId="8" borderId="1" applyAlignment="1" pivotButton="0" quotePrefix="0" xfId="0">
      <alignment horizontal="left" vertical="center"/>
    </xf>
    <xf numFmtId="168" fontId="45" fillId="0" borderId="0" applyAlignment="1" pivotButton="0" quotePrefix="0" xfId="0">
      <alignment vertical="center"/>
    </xf>
    <xf numFmtId="0" fontId="36" fillId="8" borderId="38" applyAlignment="1" pivotButton="0" quotePrefix="0" xfId="0">
      <alignment horizontal="center" vertical="bottom"/>
    </xf>
    <xf numFmtId="43" fontId="43" fillId="0" borderId="0" applyAlignment="1" pivotButton="0" quotePrefix="0" xfId="0">
      <alignment vertical="center"/>
    </xf>
    <xf numFmtId="9" fontId="46" fillId="0" borderId="0" applyAlignment="1" pivotButton="0" quotePrefix="0" xfId="0">
      <alignment horizontal="center" vertical="center"/>
    </xf>
    <xf numFmtId="9" fontId="47" fillId="0" borderId="0" applyAlignment="1" pivotButton="0" quotePrefix="0" xfId="0">
      <alignment horizontal="center" vertical="center"/>
    </xf>
    <xf numFmtId="9" fontId="48" fillId="0" borderId="0" applyAlignment="1" pivotButton="0" quotePrefix="0" xfId="0">
      <alignment horizontal="center" vertical="center"/>
    </xf>
    <xf numFmtId="0" fontId="40" fillId="0" borderId="33" applyAlignment="1" pivotButton="0" quotePrefix="0" xfId="0">
      <alignment horizontal="center" vertical="center"/>
    </xf>
    <xf numFmtId="0" fontId="25" fillId="0" borderId="33" applyAlignment="1" pivotButton="0" quotePrefix="0" xfId="0">
      <alignment horizontal="center" vertical="center"/>
    </xf>
    <xf numFmtId="0" fontId="41" fillId="10" borderId="33" applyAlignment="1" pivotButton="0" quotePrefix="0" xfId="0">
      <alignment vertical="center"/>
    </xf>
    <xf numFmtId="43" fontId="39" fillId="18" borderId="33" applyAlignment="1" pivotButton="0" quotePrefix="0" xfId="0">
      <alignment vertical="center"/>
    </xf>
    <xf numFmtId="0" fontId="41" fillId="15" borderId="33" applyAlignment="1" pivotButton="0" quotePrefix="0" xfId="0">
      <alignment vertical="center"/>
    </xf>
    <xf numFmtId="43" fontId="39" fillId="14" borderId="33" applyAlignment="1" pivotButton="0" quotePrefix="0" xfId="0">
      <alignment horizontal="right" vertical="center"/>
    </xf>
    <xf numFmtId="43" fontId="41" fillId="15" borderId="33" applyAlignment="1" pivotButton="0" quotePrefix="0" xfId="0">
      <alignment horizontal="right" vertical="center"/>
    </xf>
    <xf numFmtId="43" fontId="39" fillId="14" borderId="33" applyAlignment="1" pivotButton="0" quotePrefix="0" xfId="0">
      <alignment vertical="center"/>
    </xf>
    <xf numFmtId="0" fontId="49" fillId="19" borderId="33" applyAlignment="1" pivotButton="0" quotePrefix="0" xfId="0">
      <alignment vertical="center"/>
    </xf>
    <xf numFmtId="43" fontId="50" fillId="19" borderId="33" applyAlignment="1" pivotButton="0" quotePrefix="0" xfId="0">
      <alignment horizontal="right" vertical="center"/>
    </xf>
    <xf numFmtId="43" fontId="49" fillId="19" borderId="33" applyAlignment="1" pivotButton="0" quotePrefix="0" xfId="0">
      <alignment horizontal="right" vertical="center"/>
    </xf>
    <xf numFmtId="0" fontId="44" fillId="0" borderId="50" applyAlignment="1" pivotButton="0" quotePrefix="0" xfId="0">
      <alignment vertical="center"/>
    </xf>
    <xf numFmtId="0" fontId="6" fillId="0" borderId="50" applyAlignment="1" pivotButton="0" quotePrefix="0" xfId="0">
      <alignment vertical="center"/>
    </xf>
    <xf numFmtId="168" fontId="24" fillId="20" borderId="1" applyAlignment="1" pivotButton="0" quotePrefix="0" xfId="0">
      <alignment vertical="center"/>
    </xf>
    <xf numFmtId="0" fontId="6" fillId="20" borderId="16" applyAlignment="1" pivotButton="0" quotePrefix="0" xfId="0">
      <alignment vertical="center"/>
    </xf>
    <xf numFmtId="168" fontId="6" fillId="0" borderId="0" applyAlignment="1" pivotButton="0" quotePrefix="0" xfId="0">
      <alignment vertical="center"/>
    </xf>
    <xf numFmtId="17" fontId="6" fillId="0" borderId="0" applyAlignment="1" pivotButton="0" quotePrefix="0" xfId="0">
      <alignment vertical="center"/>
    </xf>
    <xf numFmtId="43" fontId="25" fillId="0" borderId="33" applyAlignment="1" pivotButton="0" quotePrefix="0" xfId="0">
      <alignment horizontal="center" vertical="center"/>
    </xf>
    <xf numFmtId="43" fontId="40" fillId="0" borderId="33" applyAlignment="1" pivotButton="0" quotePrefix="0" xfId="0">
      <alignment horizontal="center" vertical="center"/>
    </xf>
    <xf numFmtId="43" fontId="39" fillId="13" borderId="33" applyAlignment="1" pivotButton="0" quotePrefix="0" xfId="0">
      <alignment horizontal="right" vertical="center"/>
    </xf>
    <xf numFmtId="43" fontId="6" fillId="19" borderId="34" applyAlignment="1" pivotButton="0" quotePrefix="0" xfId="0">
      <alignment vertical="center"/>
    </xf>
    <xf numFmtId="43" fontId="6" fillId="0" borderId="0" applyAlignment="1" pivotButton="0" quotePrefix="0" xfId="0">
      <alignment vertical="center"/>
    </xf>
    <xf numFmtId="0" fontId="51" fillId="0" borderId="0" applyAlignment="1" pivotButton="0" quotePrefix="0" xfId="0">
      <alignment horizontal="right" vertical="center"/>
    </xf>
    <xf numFmtId="0" fontId="36" fillId="20" borderId="38" applyAlignment="1" pivotButton="0" quotePrefix="0" xfId="0">
      <alignment horizontal="center" vertical="bottom"/>
    </xf>
    <xf numFmtId="10" fontId="52" fillId="0" borderId="0" applyAlignment="1" pivotButton="0" quotePrefix="0" xfId="0">
      <alignment horizontal="center" vertical="center"/>
    </xf>
    <xf numFmtId="10" fontId="53" fillId="0" borderId="0" applyAlignment="1" pivotButton="0" quotePrefix="0" xfId="0">
      <alignment horizontal="center" vertical="center"/>
    </xf>
    <xf numFmtId="9" fontId="41" fillId="10" borderId="33" applyAlignment="1" pivotButton="0" quotePrefix="0" xfId="0">
      <alignment vertical="center"/>
    </xf>
    <xf numFmtId="0" fontId="26" fillId="21" borderId="51" applyAlignment="1" pivotButton="0" quotePrefix="0" xfId="0">
      <alignment horizontal="center" vertical="center"/>
    </xf>
    <xf numFmtId="169" fontId="54" fillId="16" borderId="10" applyAlignment="1" pivotButton="0" quotePrefix="0" xfId="0">
      <alignment vertical="center"/>
    </xf>
    <xf numFmtId="169" fontId="55" fillId="19" borderId="6" applyAlignment="1" pivotButton="0" quotePrefix="0" xfId="0">
      <alignment horizontal="center" vertical="center"/>
    </xf>
    <xf numFmtId="0" fontId="36" fillId="8" borderId="27" applyAlignment="1" pivotButton="0" quotePrefix="0" xfId="0">
      <alignment horizontal="left" vertical="center"/>
    </xf>
    <xf numFmtId="0" fontId="22" fillId="8" borderId="27" applyAlignment="1" pivotButton="0" quotePrefix="0" xfId="0">
      <alignment vertical="center"/>
    </xf>
    <xf numFmtId="14" fontId="10" fillId="0" borderId="0" applyAlignment="1" pivotButton="0" quotePrefix="0" xfId="0">
      <alignment horizontal="center" vertical="bottom"/>
    </xf>
    <xf numFmtId="0" fontId="36" fillId="8" borderId="33" applyAlignment="1" pivotButton="0" quotePrefix="0" xfId="0">
      <alignment vertical="bottom"/>
    </xf>
    <xf numFmtId="0" fontId="8" fillId="0" borderId="33" applyAlignment="1" pivotButton="0" quotePrefix="0" xfId="0">
      <alignment vertical="center"/>
    </xf>
    <xf numFmtId="165" fontId="8" fillId="19" borderId="33" applyAlignment="1" pivotButton="0" quotePrefix="0" xfId="0">
      <alignment horizontal="center" vertical="center"/>
    </xf>
    <xf numFmtId="0" fontId="8" fillId="19" borderId="33" applyAlignment="1" pivotButton="0" quotePrefix="0" xfId="0">
      <alignment horizontal="center" vertical="center"/>
    </xf>
    <xf numFmtId="165" fontId="56" fillId="22" borderId="33" applyAlignment="1" pivotButton="0" quotePrefix="0" xfId="0">
      <alignment horizontal="center" vertical="center"/>
    </xf>
    <xf numFmtId="165" fontId="56" fillId="10" borderId="33" applyAlignment="1" pivotButton="0" quotePrefix="0" xfId="0">
      <alignment horizontal="center" vertical="center"/>
    </xf>
    <xf numFmtId="0" fontId="1" fillId="15" borderId="33" applyAlignment="1" pivotButton="0" quotePrefix="0" xfId="0">
      <alignment vertical="center"/>
    </xf>
    <xf numFmtId="165" fontId="56" fillId="16" borderId="33" applyAlignment="1" pivotButton="0" quotePrefix="0" xfId="0">
      <alignment horizontal="center" vertical="center"/>
    </xf>
    <xf numFmtId="165" fontId="56" fillId="15" borderId="33" applyAlignment="1" pivotButton="0" quotePrefix="0" xfId="0">
      <alignment horizontal="center" vertical="center"/>
    </xf>
    <xf numFmtId="0" fontId="26" fillId="21" borderId="33" applyAlignment="1" pivotButton="0" quotePrefix="0" xfId="0">
      <alignment vertical="center"/>
    </xf>
    <xf numFmtId="165" fontId="57" fillId="21" borderId="33" applyAlignment="1" pivotButton="0" quotePrefix="0" xfId="0">
      <alignment horizontal="center" vertical="center"/>
    </xf>
    <xf numFmtId="0" fontId="1" fillId="0" borderId="33" applyAlignment="1" pivotButton="0" quotePrefix="0" xfId="0">
      <alignment vertical="center"/>
    </xf>
    <xf numFmtId="165" fontId="1" fillId="0" borderId="33" applyAlignment="1" pivotButton="0" quotePrefix="0" xfId="0">
      <alignment vertical="center"/>
    </xf>
    <xf numFmtId="0" fontId="36" fillId="8" borderId="49" applyAlignment="1" pivotButton="0" quotePrefix="0" xfId="0">
      <alignment horizontal="left" vertical="bottom"/>
    </xf>
    <xf numFmtId="0" fontId="10" fillId="0" borderId="0" applyAlignment="1" pivotButton="0" quotePrefix="0" xfId="0">
      <alignment vertical="center"/>
    </xf>
    <xf numFmtId="0" fontId="26" fillId="21" borderId="33" applyAlignment="1" pivotButton="0" quotePrefix="0" xfId="0">
      <alignment horizontal="center" vertical="center"/>
    </xf>
    <xf numFmtId="0" fontId="1" fillId="16" borderId="33" applyAlignment="1" pivotButton="0" quotePrefix="0" xfId="0">
      <alignment vertical="center"/>
    </xf>
    <xf numFmtId="10" fontId="1" fillId="16" borderId="33" applyAlignment="1" pivotButton="0" quotePrefix="0" xfId="0">
      <alignment horizontal="center" vertical="center"/>
    </xf>
    <xf numFmtId="169" fontId="54" fillId="16" borderId="33" applyAlignment="1" pivotButton="0" quotePrefix="0" xfId="0">
      <alignment horizontal="right" vertical="center"/>
    </xf>
    <xf numFmtId="169" fontId="1" fillId="13" borderId="33" applyAlignment="1" pivotButton="0" quotePrefix="0" xfId="0">
      <alignment horizontal="center" vertical="center"/>
    </xf>
    <xf numFmtId="169" fontId="1" fillId="13" borderId="33" applyAlignment="1" pivotButton="0" quotePrefix="0" xfId="0">
      <alignment vertical="center"/>
    </xf>
    <xf numFmtId="167" fontId="17" fillId="8" borderId="3" applyAlignment="1" pivotButton="0" quotePrefix="0" xfId="0">
      <alignment vertical="center"/>
    </xf>
    <xf numFmtId="169" fontId="54" fillId="16" borderId="33" applyAlignment="1" pivotButton="0" quotePrefix="0" xfId="0">
      <alignment vertical="center"/>
    </xf>
    <xf numFmtId="0" fontId="58" fillId="19" borderId="33" applyAlignment="1" pivotButton="0" quotePrefix="0" xfId="0">
      <alignment horizontal="center" vertical="center"/>
    </xf>
    <xf numFmtId="10" fontId="59" fillId="19" borderId="33" applyAlignment="1" pivotButton="0" quotePrefix="0" xfId="0">
      <alignment horizontal="center" vertical="center"/>
    </xf>
    <xf numFmtId="169" fontId="55" fillId="19" borderId="33" applyAlignment="1" pivotButton="0" quotePrefix="0" xfId="0">
      <alignment horizontal="center" vertical="center"/>
    </xf>
    <xf numFmtId="0" fontId="36" fillId="8" borderId="27" applyAlignment="1" pivotButton="0" quotePrefix="0" xfId="0">
      <alignment vertical="bottom"/>
    </xf>
    <xf numFmtId="165" fontId="60" fillId="22" borderId="33" applyAlignment="1" pivotButton="0" quotePrefix="0" xfId="0">
      <alignment horizontal="center" vertical="center"/>
    </xf>
    <xf numFmtId="0" fontId="1" fillId="15" borderId="34" applyAlignment="1" pivotButton="0" quotePrefix="0" xfId="0">
      <alignment horizontal="left" vertical="center"/>
    </xf>
    <xf numFmtId="165" fontId="60" fillId="16" borderId="33" applyAlignment="1" pivotButton="0" quotePrefix="0" xfId="0">
      <alignment horizontal="center" vertical="center"/>
    </xf>
    <xf numFmtId="0" fontId="36" fillId="8" borderId="52" applyAlignment="1" pivotButton="0" quotePrefix="0" xfId="0">
      <alignment horizontal="left" vertical="bottom"/>
    </xf>
    <xf numFmtId="0" fontId="10" fillId="0" borderId="33" applyAlignment="1" pivotButton="0" quotePrefix="0" xfId="0">
      <alignment horizontal="right" vertical="center"/>
    </xf>
    <xf numFmtId="0" fontId="10" fillId="0" borderId="33" applyAlignment="1" pivotButton="0" quotePrefix="0" xfId="0">
      <alignment vertical="center"/>
    </xf>
    <xf numFmtId="0" fontId="61" fillId="0" borderId="53" applyAlignment="1" pivotButton="0" quotePrefix="0" xfId="0">
      <alignment horizontal="left" vertical="center"/>
    </xf>
    <xf numFmtId="0" fontId="61" fillId="0" borderId="33" applyAlignment="1" pivotButton="0" quotePrefix="0" xfId="0">
      <alignment horizontal="center" vertical="center"/>
    </xf>
    <xf numFmtId="0" fontId="8" fillId="19" borderId="33" applyAlignment="1" pivotButton="0" quotePrefix="0" xfId="0">
      <alignment vertical="center"/>
    </xf>
    <xf numFmtId="0" fontId="1" fillId="19" borderId="33" applyAlignment="1" pivotButton="0" quotePrefix="0" xfId="0">
      <alignment horizontal="left" vertical="center"/>
    </xf>
    <xf numFmtId="165" fontId="1" fillId="13" borderId="33" applyAlignment="1" pivotButton="0" quotePrefix="0" xfId="0">
      <alignment horizontal="center" vertical="center"/>
    </xf>
    <xf numFmtId="165" fontId="1" fillId="9" borderId="33" applyAlignment="1" pivotButton="0" quotePrefix="0" xfId="0">
      <alignment horizontal="center" vertical="center"/>
    </xf>
    <xf numFmtId="0" fontId="1" fillId="9" borderId="34" applyAlignment="1" pivotButton="0" quotePrefix="0" xfId="0">
      <alignment horizontal="left" vertical="center"/>
    </xf>
    <xf numFmtId="0" fontId="15" fillId="8" borderId="45" applyAlignment="1" pivotButton="0" quotePrefix="0" xfId="0">
      <alignment horizontal="left" vertical="center"/>
    </xf>
    <xf numFmtId="0" fontId="36" fillId="8" borderId="27" applyAlignment="1" pivotButton="0" quotePrefix="0" xfId="0">
      <alignment horizontal="left" vertical="bottom"/>
    </xf>
    <xf numFmtId="0" fontId="62" fillId="21" borderId="33" applyAlignment="1" pivotButton="0" quotePrefix="0" xfId="0">
      <alignment horizontal="center" vertical="center"/>
    </xf>
    <xf numFmtId="0" fontId="62" fillId="21" borderId="33" applyAlignment="1" pivotButton="0" quotePrefix="0" xfId="0">
      <alignment horizontal="center" vertical="center" wrapText="1"/>
    </xf>
    <xf numFmtId="169" fontId="1" fillId="16" borderId="33" applyAlignment="1" pivotButton="0" quotePrefix="0" xfId="0">
      <alignment horizontal="center" vertical="center"/>
    </xf>
    <xf numFmtId="169" fontId="23" fillId="8" borderId="16" applyAlignment="1" pivotButton="0" quotePrefix="0" xfId="0">
      <alignment vertical="center"/>
    </xf>
    <xf numFmtId="0" fontId="58" fillId="21" borderId="33" applyAlignment="1" pivotButton="0" quotePrefix="0" xfId="0">
      <alignment horizontal="center" vertical="center"/>
    </xf>
    <xf numFmtId="169" fontId="58" fillId="21" borderId="33" applyAlignment="1" pivotButton="0" quotePrefix="0" xfId="0">
      <alignment horizontal="center" vertical="center"/>
    </xf>
    <xf numFmtId="9" fontId="58" fillId="21" borderId="33" applyAlignment="1" pivotButton="0" quotePrefix="0" xfId="0">
      <alignment horizontal="center" vertical="center"/>
    </xf>
    <xf numFmtId="0" fontId="63" fillId="23" borderId="0" applyAlignment="1" pivotButton="0" quotePrefix="0" xfId="0">
      <alignment vertical="center"/>
    </xf>
    <xf numFmtId="0" fontId="64" fillId="23" borderId="0" applyAlignment="1" pivotButton="0" quotePrefix="0" xfId="0">
      <alignment vertical="center"/>
    </xf>
    <xf numFmtId="0" fontId="42" fillId="0" borderId="0" applyAlignment="1" pivotButton="0" quotePrefix="0" xfId="0">
      <alignment vertical="bottom"/>
    </xf>
    <xf numFmtId="0" fontId="65" fillId="0" borderId="0" applyAlignment="1" pivotButton="0" quotePrefix="0" xfId="0">
      <alignment vertical="center"/>
    </xf>
    <xf numFmtId="0" fontId="66" fillId="0" borderId="54" applyAlignment="1" pivotButton="0" quotePrefix="0" xfId="0">
      <alignment horizontal="left" vertical="bottom"/>
    </xf>
    <xf numFmtId="0" fontId="67" fillId="0" borderId="0" applyAlignment="1" pivotButton="0" quotePrefix="0" xfId="0">
      <alignment vertical="center"/>
    </xf>
    <xf numFmtId="0" fontId="25" fillId="0" borderId="34" applyAlignment="1" pivotButton="0" quotePrefix="0" xfId="0">
      <alignment horizontal="center" vertical="center"/>
    </xf>
    <xf numFmtId="0" fontId="68" fillId="10" borderId="33" applyAlignment="1" pivotButton="0" quotePrefix="0" xfId="0">
      <alignment vertical="center"/>
    </xf>
    <xf numFmtId="167" fontId="11" fillId="18" borderId="34" applyAlignment="1" pivotButton="0" quotePrefix="0" xfId="0">
      <alignment horizontal="center" vertical="bottom"/>
    </xf>
    <xf numFmtId="169" fontId="7" fillId="4" borderId="34" applyAlignment="1" pivotButton="0" quotePrefix="0" xfId="0">
      <alignment horizontal="center" vertical="center"/>
    </xf>
    <xf numFmtId="0" fontId="46" fillId="15" borderId="33" applyAlignment="1" pivotButton="0" quotePrefix="0" xfId="0">
      <alignment vertical="center"/>
    </xf>
    <xf numFmtId="167" fontId="11" fillId="14" borderId="34" applyAlignment="1" pivotButton="0" quotePrefix="0" xfId="0">
      <alignment horizontal="center" vertical="bottom"/>
    </xf>
    <xf numFmtId="169" fontId="7" fillId="15" borderId="34" applyAlignment="1" pivotButton="0" quotePrefix="0" xfId="0">
      <alignment horizontal="center" vertical="center"/>
    </xf>
    <xf numFmtId="0" fontId="46" fillId="21" borderId="34" applyAlignment="1" pivotButton="0" quotePrefix="0" xfId="0">
      <alignment horizontal="left" vertical="center"/>
    </xf>
    <xf numFmtId="169" fontId="7" fillId="21" borderId="34" applyAlignment="1" pivotButton="0" quotePrefix="0" xfId="0">
      <alignment horizontal="center" vertical="center"/>
    </xf>
    <xf numFmtId="169" fontId="1" fillId="21" borderId="33" applyAlignment="1" pivotButton="0" quotePrefix="0" xfId="0">
      <alignment horizontal="center" vertical="center"/>
    </xf>
    <xf numFmtId="170" fontId="1" fillId="0" borderId="33" applyAlignment="1" pivotButton="0" quotePrefix="0" xfId="0">
      <alignment vertical="bottom"/>
    </xf>
    <xf numFmtId="0" fontId="1" fillId="0" borderId="33" applyAlignment="1" pivotButton="0" quotePrefix="0" xfId="0">
      <alignment vertical="bottom"/>
    </xf>
    <xf numFmtId="0" fontId="1" fillId="0" borderId="34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bottom"/>
    </xf>
    <xf numFmtId="2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69" fillId="8" borderId="33" applyAlignment="1" pivotButton="0" quotePrefix="0" xfId="0">
      <alignment horizontal="center" vertical="bottom"/>
    </xf>
    <xf numFmtId="0" fontId="11" fillId="9" borderId="34" applyAlignment="1" pivotButton="0" quotePrefix="0" xfId="0">
      <alignment horizontal="left" vertical="center"/>
    </xf>
    <xf numFmtId="171" fontId="1" fillId="13" borderId="33" applyAlignment="1" pivotButton="0" quotePrefix="0" xfId="0">
      <alignment vertical="bottom"/>
    </xf>
    <xf numFmtId="0" fontId="29" fillId="0" borderId="0" applyAlignment="1" pivotButton="0" quotePrefix="0" xfId="0">
      <alignment horizontal="center" vertical="bottom"/>
    </xf>
    <xf numFmtId="10" fontId="1" fillId="18" borderId="33" applyAlignment="1" pivotButton="0" quotePrefix="0" xfId="0">
      <alignment horizontal="center" vertical="center"/>
    </xf>
    <xf numFmtId="171" fontId="1" fillId="18" borderId="33" applyAlignment="1" pivotButton="0" quotePrefix="0" xfId="0">
      <alignment vertical="bottom"/>
    </xf>
    <xf numFmtId="171" fontId="7" fillId="4" borderId="33" applyAlignment="1" pivotButton="0" quotePrefix="0" xfId="0">
      <alignment vertical="bottom"/>
    </xf>
    <xf numFmtId="40" fontId="29" fillId="0" borderId="0" applyAlignment="1" pivotButton="0" quotePrefix="0" xfId="0">
      <alignment vertical="bottom"/>
    </xf>
    <xf numFmtId="10" fontId="1" fillId="14" borderId="33" applyAlignment="1" pivotButton="0" quotePrefix="0" xfId="0">
      <alignment horizontal="center" vertical="center"/>
    </xf>
    <xf numFmtId="171" fontId="1" fillId="14" borderId="33" applyAlignment="1" pivotButton="0" quotePrefix="0" xfId="0">
      <alignment vertical="bottom"/>
    </xf>
    <xf numFmtId="171" fontId="7" fillId="6" borderId="33" applyAlignment="1" pivotButton="0" quotePrefix="0" xfId="0">
      <alignment vertical="bottom"/>
    </xf>
    <xf numFmtId="171" fontId="7" fillId="21" borderId="33" applyAlignment="1" pivotButton="0" quotePrefix="0" xfId="0">
      <alignment vertical="bottom"/>
    </xf>
    <xf numFmtId="171" fontId="7" fillId="9" borderId="33" applyAlignment="1" pivotButton="0" quotePrefix="0" xfId="0">
      <alignment vertical="bottom"/>
    </xf>
    <xf numFmtId="0" fontId="7" fillId="21" borderId="34" applyAlignment="1" pivotButton="0" quotePrefix="0" xfId="0">
      <alignment horizontal="left" vertical="bottom"/>
    </xf>
    <xf numFmtId="171" fontId="1" fillId="21" borderId="33" applyAlignment="1" pivotButton="0" quotePrefix="0" xfId="0">
      <alignment vertical="bottom"/>
    </xf>
    <xf numFmtId="171" fontId="7" fillId="13" borderId="33" applyAlignment="1" pivotButton="0" quotePrefix="0" xfId="0">
      <alignment vertical="bottom"/>
    </xf>
    <xf numFmtId="43" fontId="29" fillId="0" borderId="0" applyAlignment="1" pivotButton="0" quotePrefix="0" xfId="0">
      <alignment vertical="bottom"/>
    </xf>
    <xf numFmtId="0" fontId="70" fillId="24" borderId="34" applyAlignment="1" pivotButton="0" quotePrefix="0" xfId="0">
      <alignment horizontal="left" vertical="bottom"/>
    </xf>
    <xf numFmtId="0" fontId="1" fillId="24" borderId="33" applyAlignment="1" pivotButton="0" quotePrefix="0" xfId="0">
      <alignment vertical="bottom"/>
    </xf>
    <xf numFmtId="171" fontId="7" fillId="24" borderId="33" applyAlignment="1" pivotButton="0" quotePrefix="0" xfId="0">
      <alignment vertical="bottom"/>
    </xf>
    <xf numFmtId="171" fontId="1" fillId="24" borderId="33" applyAlignment="1" pivotButton="0" quotePrefix="0" xfId="0">
      <alignment vertical="bottom"/>
    </xf>
    <xf numFmtId="0" fontId="11" fillId="9" borderId="34" applyAlignment="1" pivotButton="0" quotePrefix="0" xfId="0">
      <alignment horizontal="left" vertical="bottom"/>
    </xf>
    <xf numFmtId="0" fontId="7" fillId="4" borderId="34" applyAlignment="1" pivotButton="0" quotePrefix="0" xfId="0">
      <alignment horizontal="center" vertical="bottom"/>
    </xf>
    <xf numFmtId="171" fontId="1" fillId="0" borderId="0" applyAlignment="1" pivotButton="0" quotePrefix="0" xfId="0">
      <alignment vertical="bottom"/>
    </xf>
    <xf numFmtId="172" fontId="1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40" fontId="11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left" vertical="bottom"/>
    </xf>
    <xf numFmtId="43" fontId="11" fillId="0" borderId="0" applyAlignment="1" pivotButton="0" quotePrefix="0" xfId="0">
      <alignment vertical="bottom"/>
    </xf>
    <xf numFmtId="0" fontId="29" fillId="0" borderId="0" applyAlignment="1" pivotButton="0" quotePrefix="0" xfId="0">
      <alignment vertical="bottom"/>
    </xf>
    <xf numFmtId="0" fontId="36" fillId="8" borderId="16" applyAlignment="1" pivotButton="0" quotePrefix="0" xfId="0">
      <alignment horizontal="left" vertical="center"/>
    </xf>
    <xf numFmtId="0" fontId="71" fillId="0" borderId="0" applyAlignment="1" pivotButton="0" quotePrefix="0" xfId="0">
      <alignment horizontal="center" vertical="center"/>
    </xf>
    <xf numFmtId="173" fontId="7" fillId="9" borderId="16" applyAlignment="1" pivotButton="0" quotePrefix="0" xfId="0">
      <alignment horizontal="center" vertical="center"/>
    </xf>
    <xf numFmtId="0" fontId="36" fillId="8" borderId="16" applyAlignment="1" pivotButton="0" quotePrefix="0" xfId="0">
      <alignment horizontal="right" vertical="center"/>
    </xf>
    <xf numFmtId="49" fontId="20" fillId="10" borderId="34" applyAlignment="1" pivotButton="0" quotePrefix="0" xfId="0">
      <alignment horizontal="left" vertical="center"/>
    </xf>
    <xf numFmtId="49" fontId="72" fillId="10" borderId="34" applyAlignment="1" pivotButton="0" quotePrefix="0" xfId="0">
      <alignment horizontal="left" vertical="center"/>
    </xf>
    <xf numFmtId="165" fontId="57" fillId="22" borderId="33" applyAlignment="1" pivotButton="0" quotePrefix="0" xfId="0">
      <alignment horizontal="center" vertical="center"/>
    </xf>
    <xf numFmtId="49" fontId="72" fillId="10" borderId="34" applyAlignment="1" pivotButton="0" quotePrefix="0" xfId="0">
      <alignment vertical="center"/>
    </xf>
    <xf numFmtId="165" fontId="6" fillId="14" borderId="33" applyAlignment="1" pivotButton="0" quotePrefix="0" xfId="0">
      <alignment vertical="center"/>
    </xf>
    <xf numFmtId="165" fontId="56" fillId="14" borderId="33" applyAlignment="1" pivotButton="0" quotePrefix="0" xfId="0">
      <alignment horizontal="center" vertical="center"/>
    </xf>
    <xf numFmtId="167" fontId="17" fillId="8" borderId="16" applyAlignment="1" pivotButton="0" quotePrefix="0" xfId="0">
      <alignment vertical="center"/>
    </xf>
    <xf numFmtId="165" fontId="21" fillId="8" borderId="26" applyAlignment="1" pivotButton="0" quotePrefix="0" xfId="0">
      <alignment vertical="center"/>
    </xf>
    <xf numFmtId="49" fontId="58" fillId="9" borderId="34" applyAlignment="1" pivotButton="0" quotePrefix="0" xfId="0">
      <alignment horizontal="left" vertical="center"/>
    </xf>
    <xf numFmtId="49" fontId="58" fillId="13" borderId="34" applyAlignment="1" pivotButton="0" quotePrefix="0" xfId="0">
      <alignment horizontal="left" vertical="center"/>
    </xf>
    <xf numFmtId="0" fontId="73" fillId="19" borderId="55" applyAlignment="1" pivotButton="0" quotePrefix="0" xfId="0">
      <alignment vertical="center"/>
    </xf>
    <xf numFmtId="169" fontId="73" fillId="19" borderId="55" applyAlignment="1" pivotButton="0" quotePrefix="0" xfId="0">
      <alignment vertical="center"/>
    </xf>
    <xf numFmtId="0" fontId="6" fillId="20" borderId="0" applyAlignment="1" pivotButton="0" quotePrefix="0" xfId="0">
      <alignment vertical="center"/>
    </xf>
    <xf numFmtId="0" fontId="26" fillId="21" borderId="34" applyAlignment="1" pivotButton="0" quotePrefix="0" xfId="0">
      <alignment horizontal="center" vertical="center"/>
    </xf>
    <xf numFmtId="0" fontId="1" fillId="16" borderId="34" applyAlignment="1" pivotButton="0" quotePrefix="0" xfId="0">
      <alignment vertical="center"/>
    </xf>
    <xf numFmtId="174" fontId="1" fillId="16" borderId="33" applyAlignment="1" pivotButton="0" quotePrefix="0" xfId="0">
      <alignment horizontal="center" vertical="center"/>
    </xf>
    <xf numFmtId="0" fontId="26" fillId="20" borderId="33" applyAlignment="1" pivotButton="0" quotePrefix="0" xfId="0">
      <alignment horizontal="center" vertical="center"/>
    </xf>
    <xf numFmtId="0" fontId="26" fillId="20" borderId="33" applyAlignment="1" pivotButton="0" quotePrefix="0" xfId="0">
      <alignment horizontal="center" vertical="center" wrapText="1"/>
    </xf>
    <xf numFmtId="0" fontId="26" fillId="21" borderId="33" applyAlignment="1" pivotButton="0" quotePrefix="0" xfId="0">
      <alignment horizontal="center" vertical="center" wrapText="1"/>
    </xf>
    <xf numFmtId="0" fontId="7" fillId="16" borderId="34" applyAlignment="1" pivotButton="0" quotePrefix="0" xfId="0">
      <alignment vertical="center"/>
    </xf>
    <xf numFmtId="174" fontId="1" fillId="20" borderId="33" applyAlignment="1" pivotButton="0" quotePrefix="0" xfId="0">
      <alignment horizontal="center" vertical="center"/>
    </xf>
    <xf numFmtId="4" fontId="1" fillId="16" borderId="33" applyAlignment="1" pivotButton="0" quotePrefix="0" xfId="0">
      <alignment vertical="center"/>
    </xf>
    <xf numFmtId="0" fontId="74" fillId="21" borderId="33" applyAlignment="1" pivotButton="0" quotePrefix="0" xfId="0">
      <alignment horizontal="center" vertical="center"/>
    </xf>
    <xf numFmtId="166" fontId="1" fillId="9" borderId="10" applyAlignment="1" pivotButton="0" quotePrefix="0" xfId="0">
      <alignment horizontal="center" vertical="center"/>
    </xf>
    <xf numFmtId="0" fontId="75" fillId="0" borderId="56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/>
    </xf>
    <xf numFmtId="49" fontId="20" fillId="10" borderId="33" applyAlignment="1" pivotButton="0" quotePrefix="0" xfId="0">
      <alignment vertical="center"/>
    </xf>
    <xf numFmtId="0" fontId="1" fillId="9" borderId="33" applyAlignment="1" pivotButton="0" quotePrefix="0" xfId="0">
      <alignment vertical="center"/>
    </xf>
    <xf numFmtId="165" fontId="56" fillId="9" borderId="33" applyAlignment="1" pivotButton="0" quotePrefix="0" xfId="0">
      <alignment horizontal="center" vertical="center"/>
    </xf>
    <xf numFmtId="175" fontId="8" fillId="19" borderId="33" applyAlignment="1" pivotButton="0" quotePrefix="0" xfId="0">
      <alignment horizontal="center" vertical="center"/>
    </xf>
    <xf numFmtId="0" fontId="75" fillId="0" borderId="56" applyAlignment="1" pivotButton="0" quotePrefix="0" xfId="0">
      <alignment vertical="center"/>
    </xf>
    <xf numFmtId="0" fontId="1" fillId="4" borderId="33" applyAlignment="1" pivotButton="0" quotePrefix="0" xfId="0">
      <alignment vertical="center"/>
    </xf>
    <xf numFmtId="165" fontId="1" fillId="4" borderId="33" applyAlignment="1" pivotButton="0" quotePrefix="0" xfId="0">
      <alignment horizontal="center" vertical="center"/>
    </xf>
    <xf numFmtId="0" fontId="1" fillId="6" borderId="33" applyAlignment="1" pivotButton="0" quotePrefix="0" xfId="0">
      <alignment vertical="center"/>
    </xf>
    <xf numFmtId="165" fontId="1" fillId="6" borderId="33" applyAlignment="1" pivotButton="0" quotePrefix="0" xfId="0">
      <alignment horizontal="center" vertical="center"/>
    </xf>
    <xf numFmtId="0" fontId="1" fillId="25" borderId="33" applyAlignment="1" pivotButton="0" quotePrefix="0" xfId="0">
      <alignment vertical="center"/>
    </xf>
    <xf numFmtId="165" fontId="1" fillId="25" borderId="33" applyAlignment="1" pivotButton="0" quotePrefix="0" xfId="0">
      <alignment horizontal="center" vertical="center"/>
    </xf>
    <xf numFmtId="0" fontId="12" fillId="8" borderId="49" applyAlignment="1" pivotButton="0" quotePrefix="0" xfId="0">
      <alignment vertical="center"/>
    </xf>
    <xf numFmtId="0" fontId="73" fillId="19" borderId="33" applyAlignment="1" pivotButton="0" quotePrefix="0" xfId="0">
      <alignment vertical="center"/>
    </xf>
    <xf numFmtId="165" fontId="73" fillId="19" borderId="33" applyAlignment="1" pivotButton="0" quotePrefix="0" xfId="0">
      <alignment horizontal="center" vertical="center"/>
    </xf>
    <xf numFmtId="9" fontId="77" fillId="8" borderId="3" applyAlignment="1" pivotButton="0" quotePrefix="0" xfId="0">
      <alignment vertical="center"/>
    </xf>
    <xf numFmtId="0" fontId="14" fillId="8" borderId="16" applyAlignment="1" pivotButton="0" quotePrefix="0" xfId="0">
      <alignment vertical="center"/>
    </xf>
    <xf numFmtId="9" fontId="14" fillId="8" borderId="3" applyAlignment="1" pivotButton="0" quotePrefix="0" xfId="0">
      <alignment vertical="center"/>
    </xf>
    <xf numFmtId="9" fontId="14" fillId="8" borderId="16" applyAlignment="1" pivotButton="0" quotePrefix="0" xfId="0">
      <alignment vertical="center"/>
    </xf>
    <xf numFmtId="0" fontId="78" fillId="8" borderId="37" applyAlignment="1" pivotButton="0" quotePrefix="0" xfId="0">
      <alignment vertical="center"/>
    </xf>
    <xf numFmtId="0" fontId="78" fillId="8" borderId="16" applyAlignment="1" pivotButton="0" quotePrefix="0" xfId="0">
      <alignment vertical="center"/>
    </xf>
    <xf numFmtId="0" fontId="40" fillId="26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4" fontId="19" fillId="0" borderId="0" applyAlignment="1" pivotButton="0" quotePrefix="0" xfId="0">
      <alignment horizontal="center" vertical="center"/>
    </xf>
    <xf numFmtId="0" fontId="17" fillId="8" borderId="27" applyAlignment="1" pivotButton="0" quotePrefix="0" xfId="0">
      <alignment vertical="center"/>
    </xf>
    <xf numFmtId="0" fontId="17" fillId="8" borderId="33" applyAlignment="1" pivotButton="0" quotePrefix="0" xfId="0">
      <alignment vertical="center"/>
    </xf>
    <xf numFmtId="0" fontId="23" fillId="8" borderId="2" applyAlignment="1" pivotButton="0" quotePrefix="0" xfId="0">
      <alignment vertical="center"/>
    </xf>
    <xf numFmtId="0" fontId="71" fillId="8" borderId="33" applyAlignment="1" pivotButton="0" quotePrefix="0" xfId="0">
      <alignment horizontal="center" vertical="center"/>
    </xf>
    <xf numFmtId="0" fontId="12" fillId="8" borderId="2" applyAlignment="1" pivotButton="0" quotePrefix="0" xfId="0">
      <alignment vertical="center"/>
    </xf>
    <xf numFmtId="0" fontId="12" fillId="8" borderId="3" applyAlignment="1" pivotButton="0" quotePrefix="0" xfId="0">
      <alignment vertical="center"/>
    </xf>
    <xf numFmtId="165" fontId="20" fillId="11" borderId="33" applyAlignment="1" pivotButton="0" quotePrefix="0" xfId="0">
      <alignment horizontal="center" vertical="center"/>
    </xf>
    <xf numFmtId="165" fontId="20" fillId="14" borderId="33" applyAlignment="1" pivotButton="0" quotePrefix="0" xfId="0">
      <alignment horizontal="center" vertical="center"/>
    </xf>
    <xf numFmtId="0" fontId="17" fillId="8" borderId="2" applyAlignment="1" pivotButton="0" quotePrefix="0" xfId="0">
      <alignment vertical="center"/>
    </xf>
    <xf numFmtId="0" fontId="21" fillId="8" borderId="33" applyAlignment="1" pivotButton="0" quotePrefix="0" xfId="0">
      <alignment vertical="center"/>
    </xf>
    <xf numFmtId="49" fontId="20" fillId="9" borderId="33" applyAlignment="1" pivotButton="0" quotePrefix="0" xfId="0">
      <alignment vertical="center"/>
    </xf>
    <xf numFmtId="165" fontId="58" fillId="26" borderId="33" applyAlignment="1" pivotButton="0" quotePrefix="0" xfId="0">
      <alignment horizontal="center" vertical="center"/>
    </xf>
    <xf numFmtId="0" fontId="79" fillId="8" borderId="57" applyAlignment="1" pivotButton="0" quotePrefix="0" xfId="0">
      <alignment horizontal="center" vertical="center"/>
    </xf>
    <xf numFmtId="0" fontId="4" fillId="0" borderId="58" applyAlignment="1" pivotButton="0" quotePrefix="0" xfId="0">
      <alignment vertical="center"/>
    </xf>
    <xf numFmtId="0" fontId="4" fillId="0" borderId="59" applyAlignment="1" pivotButton="0" quotePrefix="0" xfId="0">
      <alignment vertical="center"/>
    </xf>
    <xf numFmtId="0" fontId="4" fillId="0" borderId="60" applyAlignment="1" pivotButton="0" quotePrefix="0" xfId="0">
      <alignment vertical="center"/>
    </xf>
    <xf numFmtId="0" fontId="4" fillId="0" borderId="61" applyAlignment="1" pivotButton="0" quotePrefix="0" xfId="0">
      <alignment vertical="center"/>
    </xf>
    <xf numFmtId="0" fontId="4" fillId="0" borderId="62" applyAlignment="1" pivotButton="0" quotePrefix="0" xfId="0">
      <alignment vertical="center"/>
    </xf>
    <xf numFmtId="0" fontId="20" fillId="15" borderId="34" applyAlignment="1" pivotButton="0" quotePrefix="0" xfId="0">
      <alignment horizontal="left" vertical="center"/>
    </xf>
    <xf numFmtId="0" fontId="20" fillId="9" borderId="34" applyAlignment="1" pivotButton="0" quotePrefix="0" xfId="0">
      <alignment horizontal="left" vertical="center"/>
    </xf>
    <xf numFmtId="165" fontId="80" fillId="9" borderId="33" applyAlignment="1" pivotButton="0" quotePrefix="0" xfId="0">
      <alignment horizontal="center" vertical="center"/>
    </xf>
    <xf numFmtId="0" fontId="59" fillId="19" borderId="34" applyAlignment="1" pivotButton="0" quotePrefix="0" xfId="0">
      <alignment horizontal="left" vertical="center"/>
    </xf>
    <xf numFmtId="165" fontId="81" fillId="27" borderId="33" applyAlignment="1" pivotButton="0" quotePrefix="0" xfId="0">
      <alignment horizontal="center" vertical="center"/>
    </xf>
    <xf numFmtId="0" fontId="12" fillId="0" borderId="33" applyAlignment="1" pivotButton="0" quotePrefix="0" xfId="0">
      <alignment vertical="center"/>
    </xf>
    <xf numFmtId="165" fontId="81" fillId="28" borderId="33" applyAlignment="1" pivotButton="0" quotePrefix="0" xfId="0">
      <alignment horizontal="center" vertical="center"/>
    </xf>
    <xf numFmtId="14" fontId="1" fillId="9" borderId="33" applyAlignment="1" pivotButton="0" quotePrefix="0" xfId="0">
      <alignment horizontal="center" vertical="center"/>
    </xf>
    <xf numFmtId="0" fontId="21" fillId="8" borderId="63" applyAlignment="1" pivotButton="0" quotePrefix="0" xfId="0">
      <alignment vertical="center"/>
    </xf>
    <xf numFmtId="0" fontId="4" fillId="0" borderId="64" applyAlignment="1" pivotButton="0" quotePrefix="0" xfId="0">
      <alignment vertical="center"/>
    </xf>
    <xf numFmtId="0" fontId="19" fillId="0" borderId="60" applyAlignment="1" pivotButton="0" quotePrefix="0" xfId="0">
      <alignment horizontal="center" vertical="center"/>
    </xf>
    <xf numFmtId="49" fontId="26" fillId="10" borderId="34" applyAlignment="1" pivotButton="0" quotePrefix="0" xfId="0">
      <alignment horizontal="center" vertical="center"/>
    </xf>
    <xf numFmtId="49" fontId="26" fillId="12" borderId="34" applyAlignment="1" pivotButton="0" quotePrefix="0" xfId="0">
      <alignment horizontal="center" vertical="center"/>
    </xf>
    <xf numFmtId="0" fontId="21" fillId="8" borderId="65" applyAlignment="1" pivotButton="0" quotePrefix="0" xfId="0">
      <alignment vertical="center"/>
    </xf>
    <xf numFmtId="0" fontId="19" fillId="0" borderId="53" applyAlignment="1" pivotButton="0" quotePrefix="0" xfId="0">
      <alignment horizontal="center" vertical="center"/>
    </xf>
    <xf numFmtId="49" fontId="26" fillId="12" borderId="33" applyAlignment="1" pivotButton="0" quotePrefix="0" xfId="0">
      <alignment vertical="center"/>
    </xf>
    <xf numFmtId="0" fontId="21" fillId="8" borderId="66" applyAlignment="1" pivotButton="0" quotePrefix="0" xfId="0">
      <alignment horizontal="left" vertical="center"/>
    </xf>
    <xf numFmtId="0" fontId="4" fillId="0" borderId="67" applyAlignment="1" pivotButton="0" quotePrefix="0" xfId="0">
      <alignment vertical="center"/>
    </xf>
    <xf numFmtId="0" fontId="19" fillId="0" borderId="30" applyAlignment="1" pivotButton="0" quotePrefix="0" xfId="0">
      <alignment horizontal="center" vertical="center"/>
    </xf>
    <xf numFmtId="0" fontId="82" fillId="0" borderId="0" applyAlignment="1" pivotButton="0" quotePrefix="0" xfId="0">
      <alignment horizontal="right" vertical="bottom"/>
    </xf>
    <xf numFmtId="43" fontId="82" fillId="0" borderId="0" applyAlignment="1" pivotButton="0" quotePrefix="0" xfId="0">
      <alignment horizontal="right" vertical="bottom"/>
    </xf>
    <xf numFmtId="43" fontId="82" fillId="0" borderId="0" applyAlignment="1" pivotButton="0" quotePrefix="0" xfId="0">
      <alignment vertical="center"/>
    </xf>
    <xf numFmtId="43" fontId="82" fillId="0" borderId="0" applyAlignment="1" pivotButton="0" quotePrefix="0" xfId="0">
      <alignment horizontal="center" vertical="bottom"/>
    </xf>
    <xf numFmtId="43" fontId="83" fillId="0" borderId="0" applyAlignment="1" pivotButton="0" quotePrefix="0" xfId="0">
      <alignment vertical="bottom"/>
    </xf>
    <xf numFmtId="176" fontId="29" fillId="29" borderId="68" applyAlignment="1" pivotButton="0" quotePrefix="0" xfId="0">
      <alignment horizontal="right" vertical="center"/>
    </xf>
    <xf numFmtId="177" fontId="29" fillId="29" borderId="68" applyAlignment="1" pivotButton="0" quotePrefix="0" xfId="0">
      <alignment horizontal="right" vertical="center"/>
    </xf>
    <xf numFmtId="43" fontId="29" fillId="20" borderId="68" applyAlignment="1" pivotButton="0" quotePrefix="0" xfId="0">
      <alignment vertical="center"/>
    </xf>
    <xf numFmtId="43" fontId="29" fillId="0" borderId="0" applyAlignment="1" pivotButton="0" quotePrefix="0" xfId="0">
      <alignment vertical="center"/>
    </xf>
    <xf numFmtId="43" fontId="84" fillId="0" borderId="61" applyAlignment="1" pivotButton="0" quotePrefix="0" xfId="0">
      <alignment horizontal="left" vertical="center"/>
    </xf>
    <xf numFmtId="43" fontId="85" fillId="0" borderId="0" applyAlignment="1" pivotButton="0" quotePrefix="0" xfId="0">
      <alignment vertical="bottom"/>
    </xf>
    <xf numFmtId="43" fontId="86" fillId="19" borderId="69" applyAlignment="1" pivotButton="0" quotePrefix="0" xfId="0">
      <alignment horizontal="center" vertical="center"/>
    </xf>
    <xf numFmtId="43" fontId="86" fillId="19" borderId="70" applyAlignment="1" pivotButton="0" quotePrefix="0" xfId="0">
      <alignment horizontal="center" vertical="center"/>
    </xf>
    <xf numFmtId="9" fontId="86" fillId="19" borderId="71" applyAlignment="1" pivotButton="0" quotePrefix="0" xfId="0">
      <alignment horizontal="center" vertical="center"/>
    </xf>
    <xf numFmtId="9" fontId="86" fillId="19" borderId="70" applyAlignment="1" pivotButton="0" quotePrefix="0" xfId="0">
      <alignment horizontal="center" vertical="center"/>
    </xf>
    <xf numFmtId="43" fontId="87" fillId="30" borderId="72" applyAlignment="1" pivotButton="0" quotePrefix="0" xfId="0">
      <alignment horizontal="left" vertical="center"/>
    </xf>
    <xf numFmtId="178" fontId="29" fillId="31" borderId="73" applyAlignment="1" pivotButton="0" quotePrefix="0" xfId="0">
      <alignment horizontal="right" vertical="center"/>
    </xf>
    <xf numFmtId="179" fontId="29" fillId="31" borderId="74" applyAlignment="1" pivotButton="0" quotePrefix="0" xfId="0">
      <alignment horizontal="right" vertical="center"/>
    </xf>
    <xf numFmtId="179" fontId="29" fillId="30" borderId="75" applyAlignment="1" pivotButton="0" quotePrefix="0" xfId="0">
      <alignment horizontal="right" vertical="center"/>
    </xf>
    <xf numFmtId="174" fontId="29" fillId="31" borderId="73" applyAlignment="1" pivotButton="0" quotePrefix="0" xfId="0">
      <alignment horizontal="left" vertical="center"/>
    </xf>
    <xf numFmtId="174" fontId="29" fillId="30" borderId="74" applyAlignment="1" pivotButton="0" quotePrefix="0" xfId="0">
      <alignment horizontal="left" vertical="center"/>
    </xf>
    <xf numFmtId="43" fontId="29" fillId="30" borderId="72" applyAlignment="1" pivotButton="0" quotePrefix="0" xfId="0">
      <alignment horizontal="center" vertical="bottom"/>
    </xf>
    <xf numFmtId="10" fontId="29" fillId="31" borderId="73" applyAlignment="1" pivotButton="0" quotePrefix="0" xfId="0">
      <alignment vertical="center"/>
    </xf>
    <xf numFmtId="179" fontId="29" fillId="30" borderId="72" applyAlignment="1" pivotButton="0" quotePrefix="0" xfId="0">
      <alignment horizontal="right" vertical="bottom"/>
    </xf>
    <xf numFmtId="43" fontId="29" fillId="31" borderId="73" applyAlignment="1" pivotButton="0" quotePrefix="0" xfId="0">
      <alignment vertical="center"/>
    </xf>
    <xf numFmtId="43" fontId="29" fillId="30" borderId="72" applyAlignment="1" pivotButton="0" quotePrefix="0" xfId="0">
      <alignment horizontal="right" vertical="bottom"/>
    </xf>
    <xf numFmtId="10" fontId="29" fillId="31" borderId="73" applyAlignment="1" pivotButton="0" quotePrefix="0" xfId="0">
      <alignment horizontal="right" vertical="center"/>
    </xf>
    <xf numFmtId="179" fontId="29" fillId="31" borderId="73" applyAlignment="1" pivotButton="0" quotePrefix="0" xfId="0">
      <alignment horizontal="right" vertical="center"/>
    </xf>
    <xf numFmtId="43" fontId="87" fillId="29" borderId="73" applyAlignment="1" pivotButton="0" quotePrefix="0" xfId="0">
      <alignment horizontal="left" vertical="center"/>
    </xf>
    <xf numFmtId="178" fontId="87" fillId="29" borderId="74" applyAlignment="1" pivotButton="0" quotePrefix="0" xfId="0">
      <alignment horizontal="right" vertical="center"/>
    </xf>
    <xf numFmtId="43" fontId="87" fillId="29" borderId="74" applyAlignment="1" pivotButton="0" quotePrefix="0" xfId="0">
      <alignment horizontal="left" vertical="center"/>
    </xf>
    <xf numFmtId="43" fontId="87" fillId="29" borderId="72" applyAlignment="1" pivotButton="0" quotePrefix="0" xfId="0">
      <alignment vertical="center"/>
    </xf>
    <xf numFmtId="43" fontId="87" fillId="29" borderId="74" applyAlignment="1" pivotButton="0" quotePrefix="0" xfId="0">
      <alignment vertical="center"/>
    </xf>
    <xf numFmtId="174" fontId="87" fillId="29" borderId="74" applyAlignment="1" pivotButton="0" quotePrefix="0" xfId="0">
      <alignment horizontal="left" vertical="center"/>
    </xf>
    <xf numFmtId="10" fontId="87" fillId="29" borderId="74" applyAlignment="1" pivotButton="0" quotePrefix="0" xfId="0">
      <alignment horizontal="right" vertical="center"/>
    </xf>
    <xf numFmtId="0" fontId="88" fillId="0" borderId="76" applyAlignment="1" pivotButton="0" quotePrefix="0" xfId="0">
      <alignment horizontal="left" vertical="bottom"/>
    </xf>
    <xf numFmtId="0" fontId="4" fillId="0" borderId="76" applyAlignment="1" pivotButton="0" quotePrefix="0" xfId="0">
      <alignment vertical="center"/>
    </xf>
    <xf numFmtId="0" fontId="4" fillId="0" borderId="77" applyAlignment="1" pivotButton="0" quotePrefix="0" xfId="0">
      <alignment vertical="center"/>
    </xf>
    <xf numFmtId="0" fontId="85" fillId="0" borderId="0" applyAlignment="1" pivotButton="0" quotePrefix="0" xfId="0">
      <alignment vertical="bottom"/>
    </xf>
    <xf numFmtId="43" fontId="89" fillId="0" borderId="0" applyAlignment="1" pivotButton="0" quotePrefix="0" xfId="0">
      <alignment horizontal="right" vertical="bottom"/>
    </xf>
    <xf numFmtId="43" fontId="90" fillId="0" borderId="0" applyAlignment="1" pivotButton="0" quotePrefix="0" xfId="0">
      <alignment horizontal="right" vertical="bottom"/>
    </xf>
    <xf numFmtId="43" fontId="91" fillId="20" borderId="61" applyAlignment="1" pivotButton="0" quotePrefix="0" xfId="0">
      <alignment horizontal="center" vertical="center"/>
    </xf>
    <xf numFmtId="0" fontId="4" fillId="0" borderId="78" applyAlignment="1" pivotButton="0" quotePrefix="0" xfId="0">
      <alignment vertical="center"/>
    </xf>
    <xf numFmtId="43" fontId="91" fillId="20" borderId="79" applyAlignment="1" pivotButton="0" quotePrefix="0" xfId="0">
      <alignment vertical="center"/>
    </xf>
    <xf numFmtId="4" fontId="85" fillId="0" borderId="0" applyAlignment="1" pivotButton="0" quotePrefix="0" xfId="0">
      <alignment vertical="bottom"/>
    </xf>
    <xf numFmtId="43" fontId="6" fillId="0" borderId="0" applyAlignment="1" pivotButton="0" quotePrefix="0" xfId="0">
      <alignment vertical="bottom"/>
    </xf>
    <xf numFmtId="43" fontId="91" fillId="20" borderId="0" applyAlignment="1" pivotButton="0" quotePrefix="0" xfId="0">
      <alignment horizontal="center" vertical="center"/>
    </xf>
    <xf numFmtId="0" fontId="4" fillId="0" borderId="80" applyAlignment="1" pivotButton="0" quotePrefix="0" xfId="0">
      <alignment vertical="center"/>
    </xf>
    <xf numFmtId="43" fontId="91" fillId="20" borderId="79" applyAlignment="1" pivotButton="0" quotePrefix="0" xfId="0">
      <alignment horizontal="right" vertical="center"/>
    </xf>
    <xf numFmtId="0" fontId="92" fillId="0" borderId="0" applyAlignment="1" pivotButton="0" quotePrefix="0" xfId="0">
      <alignment horizontal="center" vertical="bottom"/>
    </xf>
    <xf numFmtId="43" fontId="92" fillId="0" borderId="0" applyAlignment="1" pivotButton="0" quotePrefix="0" xfId="0">
      <alignment horizontal="center" vertical="bottom"/>
    </xf>
    <xf numFmtId="43" fontId="93" fillId="0" borderId="0" applyAlignment="1" pivotButton="0" quotePrefix="0" xfId="0">
      <alignment vertical="bottom"/>
    </xf>
    <xf numFmtId="43" fontId="91" fillId="20" borderId="73" applyAlignment="1" pivotButton="0" quotePrefix="0" xfId="0">
      <alignment horizontal="right" vertical="center"/>
    </xf>
    <xf numFmtId="0" fontId="91" fillId="20" borderId="81" applyAlignment="1" pivotButton="0" quotePrefix="0" xfId="0">
      <alignment horizontal="center" vertical="center"/>
    </xf>
    <xf numFmtId="178" fontId="91" fillId="20" borderId="82" applyAlignment="1" pivotButton="0" quotePrefix="0" xfId="0">
      <alignment vertical="bottom"/>
    </xf>
    <xf numFmtId="0" fontId="85" fillId="20" borderId="0" applyAlignment="1" pivotButton="0" quotePrefix="0" xfId="0">
      <alignment horizontal="center" vertical="bottom"/>
    </xf>
    <xf numFmtId="43" fontId="94" fillId="0" borderId="0" applyAlignment="1" pivotButton="0" quotePrefix="0" xfId="0">
      <alignment vertical="bottom"/>
    </xf>
    <xf numFmtId="43" fontId="91" fillId="20" borderId="0" applyAlignment="1" pivotButton="0" quotePrefix="0" xfId="0">
      <alignment vertical="center"/>
    </xf>
    <xf numFmtId="178" fontId="91" fillId="20" borderId="83" applyAlignment="1" pivotButton="0" quotePrefix="0" xfId="0">
      <alignment vertical="bottom"/>
    </xf>
    <xf numFmtId="43" fontId="89" fillId="0" borderId="0" applyAlignment="1" pivotButton="0" quotePrefix="0" xfId="0">
      <alignment vertical="bottom"/>
    </xf>
    <xf numFmtId="0" fontId="91" fillId="20" borderId="84" applyAlignment="1" pivotButton="0" quotePrefix="0" xfId="0">
      <alignment horizontal="center" vertical="center"/>
    </xf>
    <xf numFmtId="9" fontId="91" fillId="20" borderId="85" applyAlignment="1" pivotButton="0" quotePrefix="0" xfId="0">
      <alignment horizontal="right" vertical="bottom"/>
    </xf>
    <xf numFmtId="0" fontId="1" fillId="9" borderId="12" applyAlignment="1" pivotButton="0" quotePrefix="0" xfId="0">
      <alignment vertical="center"/>
    </xf>
    <xf numFmtId="1" fontId="56" fillId="9" borderId="15" applyAlignment="1" pivotButton="0" quotePrefix="0" xfId="0">
      <alignment horizontal="center" vertical="center"/>
    </xf>
    <xf numFmtId="0" fontId="1" fillId="9" borderId="21" applyAlignment="1" pivotButton="0" quotePrefix="0" xfId="0">
      <alignment vertical="center"/>
    </xf>
    <xf numFmtId="169" fontId="56" fillId="9" borderId="15" applyAlignment="1" pivotButton="0" quotePrefix="0" xfId="0">
      <alignment horizontal="center" vertical="center"/>
    </xf>
    <xf numFmtId="0" fontId="73" fillId="19" borderId="21" applyAlignment="1" pivotButton="0" quotePrefix="0" xfId="0">
      <alignment vertical="center"/>
    </xf>
    <xf numFmtId="165" fontId="73" fillId="19" borderId="15" applyAlignment="1" pivotButton="0" quotePrefix="0" xfId="0">
      <alignment horizontal="center" vertical="center"/>
    </xf>
    <xf numFmtId="49" fontId="95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/>
    </xf>
    <xf numFmtId="0" fontId="96" fillId="0" borderId="86" applyAlignment="1" pivotButton="0" quotePrefix="0" xfId="0">
      <alignment horizontal="center" vertical="center"/>
    </xf>
    <xf numFmtId="0" fontId="4" fillId="0" borderId="87" applyAlignment="1" pivotButton="0" quotePrefix="0" xfId="0">
      <alignment vertical="center"/>
    </xf>
    <xf numFmtId="0" fontId="97" fillId="0" borderId="88" applyAlignment="1" pivotButton="0" quotePrefix="0" xfId="0">
      <alignment horizontal="center" vertical="center"/>
    </xf>
    <xf numFmtId="0" fontId="98" fillId="0" borderId="89" applyAlignment="1" pivotButton="0" quotePrefix="0" xfId="0">
      <alignment horizontal="center" vertical="center"/>
    </xf>
    <xf numFmtId="0" fontId="15" fillId="0" borderId="90" applyAlignment="1" pivotButton="0" quotePrefix="0" xfId="0">
      <alignment vertical="bottom"/>
    </xf>
    <xf numFmtId="0" fontId="15" fillId="0" borderId="91" applyAlignment="1" pivotButton="0" quotePrefix="0" xfId="0">
      <alignment vertical="bottom"/>
    </xf>
    <xf numFmtId="0" fontId="58" fillId="0" borderId="0" applyAlignment="1" pivotButton="0" quotePrefix="0" xfId="0">
      <alignment vertical="bottom"/>
    </xf>
    <xf numFmtId="0" fontId="99" fillId="0" borderId="54" applyAlignment="1" pivotButton="0" quotePrefix="0" xfId="0">
      <alignment vertical="center"/>
    </xf>
    <xf numFmtId="0" fontId="66" fillId="0" borderId="54" applyAlignment="1" pivotButton="0" quotePrefix="0" xfId="0">
      <alignment vertical="center"/>
    </xf>
    <xf numFmtId="0" fontId="100" fillId="0" borderId="54" applyAlignment="1" pivotButton="0" quotePrefix="0" xfId="0">
      <alignment vertical="center"/>
    </xf>
    <xf numFmtId="0" fontId="101" fillId="0" borderId="0" applyAlignment="1" pivotButton="0" quotePrefix="0" xfId="0">
      <alignment vertical="center"/>
    </xf>
    <xf numFmtId="0" fontId="55" fillId="19" borderId="27" applyAlignment="1" pivotButton="0" quotePrefix="0" xfId="0">
      <alignment horizontal="center" vertical="center" wrapText="1"/>
    </xf>
    <xf numFmtId="167" fontId="55" fillId="19" borderId="27" applyAlignment="1" pivotButton="0" quotePrefix="0" xfId="0">
      <alignment horizontal="center" vertical="center" wrapText="1"/>
    </xf>
    <xf numFmtId="167" fontId="102" fillId="19" borderId="27" applyAlignment="1" pivotButton="0" quotePrefix="0" xfId="0">
      <alignment horizontal="center" vertical="center" wrapText="1"/>
    </xf>
    <xf numFmtId="0" fontId="103" fillId="19" borderId="1" applyAlignment="1" pivotButton="0" quotePrefix="0" xfId="0">
      <alignment horizontal="center" vertical="center"/>
    </xf>
    <xf numFmtId="0" fontId="6" fillId="19" borderId="0" applyAlignment="1" pivotButton="0" quotePrefix="0" xfId="0">
      <alignment vertical="center"/>
    </xf>
    <xf numFmtId="0" fontId="58" fillId="0" borderId="0" applyAlignment="1" pivotButton="0" quotePrefix="0" xfId="0">
      <alignment horizontal="center" vertical="center" wrapText="1"/>
    </xf>
    <xf numFmtId="0" fontId="4" fillId="0" borderId="37" applyAlignment="1" pivotButton="0" quotePrefix="0" xfId="0">
      <alignment vertical="center"/>
    </xf>
    <xf numFmtId="167" fontId="55" fillId="19" borderId="16" applyAlignment="1" pivotButton="0" quotePrefix="0" xfId="0">
      <alignment horizontal="center" vertical="center" wrapText="1"/>
    </xf>
    <xf numFmtId="167" fontId="104" fillId="19" borderId="16" applyAlignment="1" pivotButton="0" quotePrefix="0" xfId="0">
      <alignment horizontal="center" vertical="center" wrapText="1"/>
    </xf>
    <xf numFmtId="0" fontId="58" fillId="13" borderId="92" applyAlignment="1" pivotButton="0" quotePrefix="0" xfId="0">
      <alignment horizontal="center" vertical="bottom"/>
    </xf>
    <xf numFmtId="167" fontId="58" fillId="13" borderId="93" applyAlignment="1" pivotButton="0" quotePrefix="0" xfId="0">
      <alignment horizontal="center" vertical="bottom"/>
    </xf>
    <xf numFmtId="167" fontId="58" fillId="13" borderId="94" applyAlignment="1" pivotButton="0" quotePrefix="0" xfId="0">
      <alignment horizontal="center" vertical="bottom"/>
    </xf>
    <xf numFmtId="167" fontId="58" fillId="13" borderId="17" applyAlignment="1" pivotButton="0" quotePrefix="0" xfId="0">
      <alignment horizontal="center" vertical="bottom"/>
    </xf>
    <xf numFmtId="167" fontId="58" fillId="0" borderId="95" applyAlignment="1" pivotButton="0" quotePrefix="0" xfId="0">
      <alignment horizontal="center" vertical="center"/>
    </xf>
    <xf numFmtId="167" fontId="58" fillId="0" borderId="96" applyAlignment="1" pivotButton="0" quotePrefix="0" xfId="0">
      <alignment horizontal="center" vertical="center"/>
    </xf>
    <xf numFmtId="167" fontId="58" fillId="0" borderId="0" applyAlignment="1" pivotButton="0" quotePrefix="0" xfId="0">
      <alignment vertical="center"/>
    </xf>
    <xf numFmtId="0" fontId="58" fillId="13" borderId="8" applyAlignment="1" pivotButton="0" quotePrefix="0" xfId="0">
      <alignment horizontal="center" vertical="bottom"/>
    </xf>
    <xf numFmtId="167" fontId="58" fillId="13" borderId="10" applyAlignment="1" pivotButton="0" quotePrefix="0" xfId="0">
      <alignment horizontal="center" vertical="bottom"/>
    </xf>
    <xf numFmtId="167" fontId="58" fillId="13" borderId="11" applyAlignment="1" pivotButton="0" quotePrefix="0" xfId="0">
      <alignment horizontal="center" vertical="bottom"/>
    </xf>
    <xf numFmtId="167" fontId="58" fillId="13" borderId="19" applyAlignment="1" pivotButton="0" quotePrefix="0" xfId="0">
      <alignment horizontal="center" vertical="bottom"/>
    </xf>
    <xf numFmtId="0" fontId="4" fillId="0" borderId="97" applyAlignment="1" pivotButton="0" quotePrefix="0" xfId="0">
      <alignment vertical="center"/>
    </xf>
    <xf numFmtId="0" fontId="4" fillId="0" borderId="98" applyAlignment="1" pivotButton="0" quotePrefix="0" xfId="0">
      <alignment vertical="center"/>
    </xf>
    <xf numFmtId="0" fontId="4" fillId="0" borderId="99" applyAlignment="1" pivotButton="0" quotePrefix="0" xfId="0">
      <alignment vertical="center"/>
    </xf>
    <xf numFmtId="0" fontId="4" fillId="0" borderId="100" applyAlignment="1" pivotButton="0" quotePrefix="0" xfId="0">
      <alignment vertical="center"/>
    </xf>
    <xf numFmtId="167" fontId="58" fillId="0" borderId="100" applyAlignment="1" pivotButton="0" quotePrefix="0" xfId="0">
      <alignment horizontal="center" vertical="center"/>
    </xf>
    <xf numFmtId="167" fontId="58" fillId="0" borderId="101" applyAlignment="1" pivotButton="0" quotePrefix="0" xfId="0">
      <alignment horizontal="center" vertical="center"/>
    </xf>
    <xf numFmtId="0" fontId="105" fillId="0" borderId="0" applyAlignment="1" pivotButton="0" quotePrefix="0" xfId="0">
      <alignment vertical="bottom"/>
    </xf>
    <xf numFmtId="0" fontId="105" fillId="4" borderId="19" applyAlignment="1" pivotButton="0" quotePrefix="0" xfId="0">
      <alignment horizontal="center" vertical="center"/>
    </xf>
    <xf numFmtId="167" fontId="105" fillId="4" borderId="19" applyAlignment="1" pivotButton="0" quotePrefix="0" xfId="0">
      <alignment horizontal="center" vertical="center"/>
    </xf>
    <xf numFmtId="167" fontId="105" fillId="4" borderId="102" applyAlignment="1" pivotButton="0" quotePrefix="0" xfId="0">
      <alignment horizontal="center" vertical="center"/>
    </xf>
    <xf numFmtId="167" fontId="105" fillId="4" borderId="17" applyAlignment="1" pivotButton="0" quotePrefix="0" xfId="0">
      <alignment horizontal="center" vertical="center"/>
    </xf>
    <xf numFmtId="0" fontId="106" fillId="0" borderId="0" applyAlignment="1" pivotButton="0" quotePrefix="0" xfId="0">
      <alignment horizontal="left" vertical="bottom"/>
    </xf>
    <xf numFmtId="167" fontId="58" fillId="0" borderId="0" applyAlignment="1" pivotButton="0" quotePrefix="0" xfId="0">
      <alignment horizontal="center" vertical="bottom"/>
    </xf>
    <xf numFmtId="0" fontId="107" fillId="0" borderId="0" applyAlignment="1" pivotButton="0" quotePrefix="0" xfId="0">
      <alignment vertical="center"/>
    </xf>
    <xf numFmtId="0" fontId="107" fillId="0" borderId="0" applyAlignment="1" pivotButton="0" quotePrefix="0" xfId="0">
      <alignment horizontal="center" vertical="center"/>
    </xf>
    <xf numFmtId="167" fontId="108" fillId="0" borderId="0" applyAlignment="1" pivotButton="0" quotePrefix="0" xfId="0">
      <alignment horizontal="center" vertical="center"/>
    </xf>
    <xf numFmtId="167" fontId="107" fillId="0" borderId="0" applyAlignment="1" pivotButton="0" quotePrefix="0" xfId="0">
      <alignment horizontal="center" vertical="center"/>
    </xf>
    <xf numFmtId="167" fontId="108" fillId="0" borderId="0" applyAlignment="1" pivotButton="0" quotePrefix="0" xfId="0">
      <alignment vertical="center"/>
    </xf>
    <xf numFmtId="167" fontId="108" fillId="0" borderId="0" applyAlignment="1" pivotButton="0" quotePrefix="0" xfId="0">
      <alignment horizontal="center" vertical="center" wrapText="1"/>
    </xf>
    <xf numFmtId="165" fontId="109" fillId="0" borderId="0" applyAlignment="1" pivotButton="0" quotePrefix="0" xfId="0">
      <alignment vertical="center"/>
    </xf>
    <xf numFmtId="165" fontId="109" fillId="0" borderId="0" applyAlignment="1" pivotButton="0" quotePrefix="0" xfId="0">
      <alignment horizontal="center" vertical="center"/>
    </xf>
    <xf numFmtId="165" fontId="101" fillId="4" borderId="1" applyAlignment="1" pivotButton="0" quotePrefix="0" xfId="0">
      <alignment horizontal="center" vertical="center"/>
    </xf>
    <xf numFmtId="0" fontId="58" fillId="0" borderId="0" applyAlignment="1" pivotButton="0" quotePrefix="0" xfId="0">
      <alignment horizontal="center" vertical="bottom"/>
    </xf>
    <xf numFmtId="0" fontId="110" fillId="0" borderId="0" applyAlignment="1" pivotButton="0" quotePrefix="0" xfId="0">
      <alignment vertical="center"/>
    </xf>
    <xf numFmtId="0" fontId="111" fillId="0" borderId="0" applyAlignment="1" pivotButton="0" quotePrefix="0" xfId="0">
      <alignment horizontal="right" vertical="center"/>
    </xf>
    <xf numFmtId="165" fontId="112" fillId="6" borderId="103" applyAlignment="1" pivotButton="0" quotePrefix="0" xfId="0">
      <alignment horizontal="center" vertical="center"/>
    </xf>
    <xf numFmtId="0" fontId="4" fillId="0" borderId="9" applyAlignment="1" pivotButton="0" quotePrefix="0" xfId="0">
      <alignment vertical="center"/>
    </xf>
    <xf numFmtId="0" fontId="113" fillId="0" borderId="0" applyAlignment="1" pivotButton="0" quotePrefix="0" xfId="0">
      <alignment vertical="bottom"/>
    </xf>
    <xf numFmtId="0" fontId="114" fillId="0" borderId="54" applyAlignment="1" pivotButton="0" quotePrefix="0" xfId="0">
      <alignment vertical="center"/>
    </xf>
    <xf numFmtId="0" fontId="115" fillId="0" borderId="54" applyAlignment="1" pivotButton="0" quotePrefix="0" xfId="0">
      <alignment vertical="center"/>
    </xf>
    <xf numFmtId="0" fontId="116" fillId="0" borderId="54" applyAlignment="1" pivotButton="0" quotePrefix="0" xfId="0">
      <alignment vertical="center"/>
    </xf>
    <xf numFmtId="0" fontId="117" fillId="0" borderId="0" applyAlignment="1" pivotButton="0" quotePrefix="0" xfId="0">
      <alignment vertical="center"/>
    </xf>
    <xf numFmtId="0" fontId="115" fillId="0" borderId="0" applyAlignment="1" pivotButton="0" quotePrefix="0" xfId="0">
      <alignment vertical="bottom"/>
    </xf>
    <xf numFmtId="0" fontId="33" fillId="0" borderId="0" applyAlignment="1" pivotButton="0" quotePrefix="0" xfId="0">
      <alignment horizontal="left" vertical="center"/>
    </xf>
    <xf numFmtId="0" fontId="118" fillId="0" borderId="0" applyAlignment="1" pivotButton="0" quotePrefix="0" xfId="0">
      <alignment vertical="center"/>
    </xf>
    <xf numFmtId="0" fontId="119" fillId="0" borderId="0" applyAlignment="1" pivotButton="0" quotePrefix="0" xfId="0">
      <alignment vertical="center"/>
    </xf>
    <xf numFmtId="0" fontId="120" fillId="0" borderId="0" applyAlignment="1" pivotButton="0" quotePrefix="0" xfId="0">
      <alignment horizontal="left" vertical="center"/>
    </xf>
    <xf numFmtId="14" fontId="17" fillId="0" borderId="0" applyAlignment="1" pivotButton="0" quotePrefix="0" xfId="0">
      <alignment horizontal="center" vertical="bottom"/>
    </xf>
    <xf numFmtId="14" fontId="17" fillId="0" borderId="0" applyAlignment="1" pivotButton="0" quotePrefix="0" xfId="0">
      <alignment horizontal="right" vertical="bottom"/>
    </xf>
    <xf numFmtId="14" fontId="17" fillId="0" borderId="10" applyAlignment="1" pivotButton="0" quotePrefix="0" xfId="0">
      <alignment vertical="center"/>
    </xf>
    <xf numFmtId="14" fontId="29" fillId="9" borderId="10" applyAlignment="1" pivotButton="0" quotePrefix="0" xfId="0">
      <alignment vertical="center"/>
    </xf>
    <xf numFmtId="14" fontId="29" fillId="9" borderId="11" applyAlignment="1" pivotButton="0" quotePrefix="0" xfId="0">
      <alignment vertical="center"/>
    </xf>
    <xf numFmtId="0" fontId="121" fillId="0" borderId="0" applyAlignment="1" pivotButton="0" quotePrefix="0" xfId="0">
      <alignment vertical="center"/>
    </xf>
    <xf numFmtId="0" fontId="122" fillId="0" borderId="0" applyAlignment="1" pivotButton="0" quotePrefix="0" xfId="0">
      <alignment horizontal="right" vertical="center"/>
    </xf>
    <xf numFmtId="14" fontId="123" fillId="13" borderId="16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180" fontId="87" fillId="32" borderId="10" applyAlignment="1" pivotButton="0" quotePrefix="0" xfId="0">
      <alignment horizontal="left" vertical="center"/>
    </xf>
    <xf numFmtId="165" fontId="77" fillId="19" borderId="104" applyAlignment="1" pivotButton="0" quotePrefix="0" xfId="0">
      <alignment horizontal="center" vertical="center"/>
    </xf>
    <xf numFmtId="0" fontId="77" fillId="19" borderId="105" applyAlignment="1" pivotButton="0" quotePrefix="0" xfId="0">
      <alignment horizontal="center" vertical="center"/>
    </xf>
    <xf numFmtId="0" fontId="77" fillId="19" borderId="106" applyAlignment="1" pivotButton="0" quotePrefix="0" xfId="0">
      <alignment horizontal="center" vertical="center"/>
    </xf>
    <xf numFmtId="165" fontId="17" fillId="0" borderId="0" applyAlignment="1" pivotButton="0" quotePrefix="0" xfId="0">
      <alignment vertical="center"/>
    </xf>
    <xf numFmtId="0" fontId="29" fillId="4" borderId="19" applyAlignment="1" pivotButton="0" quotePrefix="0" xfId="0">
      <alignment horizontal="left" vertical="center"/>
    </xf>
    <xf numFmtId="0" fontId="29" fillId="4" borderId="8" applyAlignment="1" pivotButton="0" quotePrefix="0" xfId="0">
      <alignment horizontal="left" vertical="center"/>
    </xf>
    <xf numFmtId="180" fontId="29" fillId="33" borderId="10" applyAlignment="1" pivotButton="0" quotePrefix="0" xfId="0">
      <alignment vertical="center"/>
    </xf>
    <xf numFmtId="180" fontId="29" fillId="0" borderId="103" applyAlignment="1" pivotButton="0" quotePrefix="0" xfId="0">
      <alignment vertical="center"/>
    </xf>
    <xf numFmtId="0" fontId="87" fillId="4" borderId="8" applyAlignment="1" pivotButton="0" quotePrefix="0" xfId="0">
      <alignment horizontal="left" vertical="center"/>
    </xf>
    <xf numFmtId="0" fontId="124" fillId="0" borderId="0" applyAlignment="1" pivotButton="0" quotePrefix="0" xfId="0">
      <alignment vertical="bottom"/>
    </xf>
    <xf numFmtId="165" fontId="87" fillId="9" borderId="11" applyAlignment="1" pivotButton="0" quotePrefix="0" xfId="0">
      <alignment vertical="center"/>
    </xf>
    <xf numFmtId="165" fontId="87" fillId="9" borderId="19" applyAlignment="1" pivotButton="0" quotePrefix="0" xfId="0">
      <alignment vertical="center"/>
    </xf>
    <xf numFmtId="180" fontId="87" fillId="9" borderId="10" applyAlignment="1" pivotButton="0" quotePrefix="0" xfId="0">
      <alignment vertical="center"/>
    </xf>
    <xf numFmtId="180" fontId="87" fillId="9" borderId="11" applyAlignment="1" pivotButton="0" quotePrefix="0" xfId="0">
      <alignment vertical="center"/>
    </xf>
    <xf numFmtId="165" fontId="125" fillId="0" borderId="0" applyAlignment="1" pivotButton="0" quotePrefix="0" xfId="0">
      <alignment vertical="center"/>
    </xf>
    <xf numFmtId="0" fontId="125" fillId="0" borderId="0" applyAlignment="1" pivotButton="0" quotePrefix="0" xfId="0">
      <alignment vertical="center"/>
    </xf>
    <xf numFmtId="0" fontId="17" fillId="0" borderId="25" applyAlignment="1" pivotButton="0" quotePrefix="0" xfId="0">
      <alignment horizontal="left" vertical="center"/>
    </xf>
    <xf numFmtId="0" fontId="126" fillId="0" borderId="0" applyAlignment="1" pivotButton="0" quotePrefix="0" xfId="0">
      <alignment vertical="center"/>
    </xf>
    <xf numFmtId="165" fontId="77" fillId="19" borderId="105" applyAlignment="1" pivotButton="0" quotePrefix="0" xfId="0">
      <alignment horizontal="center" vertical="center"/>
    </xf>
    <xf numFmtId="0" fontId="29" fillId="6" borderId="19" applyAlignment="1" pivotButton="0" quotePrefix="0" xfId="0">
      <alignment horizontal="left" vertical="center"/>
    </xf>
    <xf numFmtId="0" fontId="29" fillId="6" borderId="8" applyAlignment="1" pivotButton="0" quotePrefix="0" xfId="0">
      <alignment horizontal="left" vertical="center"/>
    </xf>
    <xf numFmtId="0" fontId="87" fillId="9" borderId="21" applyAlignment="1" pivotButton="0" quotePrefix="0" xfId="0">
      <alignment horizontal="left" vertical="center"/>
    </xf>
    <xf numFmtId="0" fontId="87" fillId="9" borderId="12" applyAlignment="1" pivotButton="0" quotePrefix="0" xfId="0">
      <alignment horizontal="left" vertical="center"/>
    </xf>
    <xf numFmtId="0" fontId="17" fillId="0" borderId="107" applyAlignment="1" pivotButton="0" quotePrefix="0" xfId="0">
      <alignment horizontal="left" vertical="center"/>
    </xf>
    <xf numFmtId="0" fontId="17" fillId="0" borderId="108" applyAlignment="1" pivotButton="0" quotePrefix="0" xfId="0">
      <alignment horizontal="left" vertical="center"/>
    </xf>
    <xf numFmtId="0" fontId="113" fillId="0" borderId="0" applyAlignment="1" pivotButton="0" quotePrefix="0" xfId="0">
      <alignment vertical="center"/>
    </xf>
    <xf numFmtId="0" fontId="77" fillId="19" borderId="17" applyAlignment="1" pivotButton="0" quotePrefix="0" xfId="0">
      <alignment vertical="center"/>
    </xf>
    <xf numFmtId="0" fontId="77" fillId="19" borderId="4" applyAlignment="1" pivotButton="0" quotePrefix="0" xfId="0">
      <alignment vertical="center"/>
    </xf>
    <xf numFmtId="0" fontId="29" fillId="4" borderId="19" applyAlignment="1" pivotButton="0" quotePrefix="0" xfId="0">
      <alignment vertical="center"/>
    </xf>
    <xf numFmtId="0" fontId="29" fillId="4" borderId="8" applyAlignment="1" pivotButton="0" quotePrefix="0" xfId="0">
      <alignment vertical="center"/>
    </xf>
    <xf numFmtId="180" fontId="29" fillId="4" borderId="6" applyAlignment="1" pivotButton="0" quotePrefix="0" xfId="0">
      <alignment vertical="center"/>
    </xf>
    <xf numFmtId="180" fontId="29" fillId="4" borderId="7" applyAlignment="1" pivotButton="0" quotePrefix="0" xfId="0">
      <alignment vertical="center"/>
    </xf>
    <xf numFmtId="0" fontId="29" fillId="6" borderId="19" applyAlignment="1" pivotButton="0" quotePrefix="0" xfId="0">
      <alignment vertical="center"/>
    </xf>
    <xf numFmtId="0" fontId="29" fillId="6" borderId="8" applyAlignment="1" pivotButton="0" quotePrefix="0" xfId="0">
      <alignment vertical="center"/>
    </xf>
    <xf numFmtId="180" fontId="29" fillId="6" borderId="10" applyAlignment="1" pivotButton="0" quotePrefix="0" xfId="0">
      <alignment vertical="center"/>
    </xf>
    <xf numFmtId="180" fontId="29" fillId="6" borderId="11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180" fontId="29" fillId="0" borderId="0" applyAlignment="1" pivotButton="0" quotePrefix="0" xfId="0">
      <alignment vertical="center"/>
    </xf>
    <xf numFmtId="0" fontId="1" fillId="0" borderId="50" applyAlignment="1" pivotButton="0" quotePrefix="0" xfId="0">
      <alignment vertical="center"/>
    </xf>
    <xf numFmtId="0" fontId="100" fillId="0" borderId="50" applyAlignment="1" pivotButton="0" quotePrefix="0" xfId="0">
      <alignment vertical="center"/>
    </xf>
    <xf numFmtId="168" fontId="127" fillId="0" borderId="0" applyAlignment="1" pivotButton="0" quotePrefix="0" xfId="0">
      <alignment vertical="center"/>
    </xf>
    <xf numFmtId="0" fontId="73" fillId="34" borderId="104" applyAlignment="1" pivotButton="0" quotePrefix="0" xfId="0">
      <alignment horizontal="center" vertical="center"/>
    </xf>
    <xf numFmtId="43" fontId="8" fillId="0" borderId="109" applyAlignment="1" pivotButton="0" quotePrefix="0" xfId="0">
      <alignment vertical="center"/>
    </xf>
    <xf numFmtId="43" fontId="8" fillId="0" borderId="110" applyAlignment="1" pivotButton="0" quotePrefix="0" xfId="0">
      <alignment vertical="center"/>
    </xf>
    <xf numFmtId="43" fontId="1" fillId="0" borderId="0" applyAlignment="1" pivotButton="0" quotePrefix="0" xfId="0">
      <alignment vertical="center"/>
    </xf>
    <xf numFmtId="9" fontId="7" fillId="0" borderId="0" applyAlignment="1" pivotButton="0" quotePrefix="0" xfId="0">
      <alignment horizontal="center" vertical="center"/>
    </xf>
    <xf numFmtId="9" fontId="128" fillId="0" borderId="0" applyAlignment="1" pivotButton="0" quotePrefix="0" xfId="0">
      <alignment horizontal="center" vertical="center"/>
    </xf>
    <xf numFmtId="9" fontId="129" fillId="0" borderId="0" applyAlignment="1" pivotButton="0" quotePrefix="0" xfId="0">
      <alignment horizontal="center" vertical="center"/>
    </xf>
    <xf numFmtId="0" fontId="106" fillId="9" borderId="4" applyAlignment="1" pivotButton="0" quotePrefix="0" xfId="0">
      <alignment horizontal="center" vertical="center"/>
    </xf>
    <xf numFmtId="17" fontId="106" fillId="9" borderId="6" applyAlignment="1" pivotButton="0" quotePrefix="0" xfId="0">
      <alignment horizontal="center" vertical="center"/>
    </xf>
    <xf numFmtId="17" fontId="106" fillId="9" borderId="7" applyAlignment="1" pivotButton="0" quotePrefix="0" xfId="0">
      <alignment horizontal="center" vertical="center"/>
    </xf>
    <xf numFmtId="0" fontId="70" fillId="4" borderId="8" applyAlignment="1" pivotButton="0" quotePrefix="0" xfId="0">
      <alignment horizontal="left" vertical="center"/>
    </xf>
    <xf numFmtId="43" fontId="7" fillId="35" borderId="10" applyAlignment="1" pivotButton="0" quotePrefix="0" xfId="0">
      <alignment horizontal="right" vertical="center"/>
    </xf>
    <xf numFmtId="43" fontId="7" fillId="4" borderId="11" applyAlignment="1" pivotButton="0" quotePrefix="0" xfId="0">
      <alignment vertical="center"/>
    </xf>
    <xf numFmtId="0" fontId="7" fillId="36" borderId="8" applyAlignment="1" pivotButton="0" quotePrefix="0" xfId="0">
      <alignment horizontal="left" vertical="center"/>
    </xf>
    <xf numFmtId="43" fontId="7" fillId="18" borderId="10" applyAlignment="1" pivotButton="0" quotePrefix="0" xfId="0">
      <alignment horizontal="right" vertical="center"/>
    </xf>
    <xf numFmtId="43" fontId="7" fillId="36" borderId="11" applyAlignment="1" pivotButton="0" quotePrefix="0" xfId="0">
      <alignment vertical="center"/>
    </xf>
    <xf numFmtId="0" fontId="70" fillId="25" borderId="8" applyAlignment="1" pivotButton="0" quotePrefix="0" xfId="0">
      <alignment horizontal="left" vertical="center"/>
    </xf>
    <xf numFmtId="43" fontId="7" fillId="33" borderId="10" applyAlignment="1" pivotButton="0" quotePrefix="0" xfId="0">
      <alignment vertical="center"/>
    </xf>
    <xf numFmtId="43" fontId="7" fillId="25" borderId="11" applyAlignment="1" pivotButton="0" quotePrefix="0" xfId="0">
      <alignment vertical="center"/>
    </xf>
    <xf numFmtId="0" fontId="15" fillId="0" borderId="0" applyAlignment="1" pivotButton="0" quotePrefix="0" xfId="0">
      <alignment vertical="bottom"/>
    </xf>
    <xf numFmtId="0" fontId="95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vertical="center"/>
    </xf>
    <xf numFmtId="0" fontId="130" fillId="0" borderId="0" applyAlignment="1" pivotButton="0" quotePrefix="0" xfId="0">
      <alignment vertical="bottom"/>
    </xf>
    <xf numFmtId="167" fontId="131" fillId="0" borderId="0" applyAlignment="1" pivotButton="0" quotePrefix="0" xfId="0">
      <alignment vertical="bottom"/>
    </xf>
    <xf numFmtId="0" fontId="15" fillId="0" borderId="111" applyAlignment="1" pivotButton="0" quotePrefix="0" xfId="0">
      <alignment vertical="bottom"/>
    </xf>
    <xf numFmtId="0" fontId="15" fillId="0" borderId="112" applyAlignment="1" pivotButton="0" quotePrefix="0" xfId="0">
      <alignment horizontal="center" vertical="bottom"/>
    </xf>
    <xf numFmtId="167" fontId="131" fillId="0" borderId="0" applyAlignment="1" pivotButton="0" quotePrefix="0" xfId="0">
      <alignment vertical="center"/>
    </xf>
    <xf numFmtId="181" fontId="15" fillId="0" borderId="112" applyAlignment="1" pivotButton="0" quotePrefix="0" xfId="0">
      <alignment vertical="bottom"/>
    </xf>
    <xf numFmtId="171" fontId="132" fillId="0" borderId="0" applyAlignment="1" pivotButton="0" quotePrefix="0" xfId="0">
      <alignment vertical="bottom"/>
    </xf>
    <xf numFmtId="170" fontId="15" fillId="0" borderId="0" applyAlignment="1" pivotButton="0" quotePrefix="0" xfId="0">
      <alignment vertical="bottom"/>
    </xf>
    <xf numFmtId="0" fontId="90" fillId="0" borderId="0" applyAlignment="1" pivotButton="0" quotePrefix="0" xfId="0">
      <alignment vertical="bottom"/>
    </xf>
    <xf numFmtId="0" fontId="130" fillId="0" borderId="0" applyAlignment="1" pivotButton="0" quotePrefix="0" xfId="0">
      <alignment horizontal="left" vertical="bottom"/>
    </xf>
    <xf numFmtId="2" fontId="130" fillId="0" borderId="0" applyAlignment="1" pivotButton="0" quotePrefix="0" xfId="0">
      <alignment vertical="bottom"/>
    </xf>
    <xf numFmtId="0" fontId="130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center" vertical="bottom"/>
    </xf>
    <xf numFmtId="0" fontId="15" fillId="0" borderId="111" applyAlignment="1" pivotButton="0" quotePrefix="0" xfId="0">
      <alignment horizontal="left" vertical="bottom"/>
    </xf>
    <xf numFmtId="9" fontId="130" fillId="0" borderId="0" applyAlignment="1" pivotButton="0" quotePrefix="0" xfId="0">
      <alignment horizontal="center" vertical="bottom"/>
    </xf>
    <xf numFmtId="0" fontId="131" fillId="0" borderId="0" applyAlignment="1" pivotButton="0" quotePrefix="0" xfId="0">
      <alignment vertical="center"/>
    </xf>
    <xf numFmtId="171" fontId="15" fillId="0" borderId="0" applyAlignment="1" pivotButton="0" quotePrefix="0" xfId="0">
      <alignment vertical="bottom"/>
    </xf>
    <xf numFmtId="40" fontId="15" fillId="0" borderId="0" applyAlignment="1" pivotButton="0" quotePrefix="0" xfId="0">
      <alignment vertical="bottom"/>
    </xf>
    <xf numFmtId="40" fontId="131" fillId="0" borderId="0" applyAlignment="1" pivotButton="0" quotePrefix="0" xfId="0">
      <alignment horizontal="right" vertical="bottom"/>
    </xf>
    <xf numFmtId="0" fontId="131" fillId="0" borderId="0" applyAlignment="1" pivotButton="0" quotePrefix="0" xfId="0">
      <alignment vertical="bottom"/>
    </xf>
    <xf numFmtId="164" fontId="15" fillId="0" borderId="0" applyAlignment="1" pivotButton="0" quotePrefix="0" xfId="0">
      <alignment vertical="bottom"/>
    </xf>
    <xf numFmtId="43" fontId="15" fillId="0" borderId="0" applyAlignment="1" pivotButton="0" quotePrefix="0" xfId="0">
      <alignment vertical="bottom"/>
    </xf>
    <xf numFmtId="0" fontId="90" fillId="0" borderId="86" applyAlignment="1" pivotButton="0" quotePrefix="0" xfId="0">
      <alignment horizontal="left" vertical="bottom"/>
    </xf>
    <xf numFmtId="181" fontId="90" fillId="0" borderId="87" applyAlignment="1" pivotButton="0" quotePrefix="0" xfId="0">
      <alignment vertical="bottom"/>
    </xf>
    <xf numFmtId="0" fontId="15" fillId="0" borderId="0" applyAlignment="1" pivotButton="0" quotePrefix="0" xfId="0">
      <alignment horizontal="left" vertical="bottom"/>
    </xf>
    <xf numFmtId="0" fontId="133" fillId="0" borderId="0" applyAlignment="1" pivotButton="0" quotePrefix="0" xfId="0">
      <alignment vertical="bottom"/>
    </xf>
    <xf numFmtId="40" fontId="131" fillId="0" borderId="0" applyAlignment="1" pivotButton="0" quotePrefix="0" xfId="0">
      <alignment vertical="bottom"/>
    </xf>
    <xf numFmtId="0" fontId="131" fillId="0" borderId="0" applyAlignment="1" pivotButton="0" quotePrefix="0" xfId="0">
      <alignment horizontal="left" vertical="bottom"/>
    </xf>
    <xf numFmtId="0" fontId="94" fillId="0" borderId="0" applyAlignment="1" pivotButton="0" quotePrefix="0" xfId="0">
      <alignment vertical="bottom"/>
    </xf>
    <xf numFmtId="43" fontId="131" fillId="0" borderId="0" applyAlignment="1" pivotButton="0" quotePrefix="0" xfId="0">
      <alignment vertical="bottom"/>
    </xf>
    <xf numFmtId="172" fontId="90" fillId="0" borderId="0" applyAlignment="1" pivotButton="0" quotePrefix="0" xfId="0">
      <alignment vertical="bottom"/>
    </xf>
    <xf numFmtId="0" fontId="130" fillId="0" borderId="0" applyAlignment="1" pivotButton="0" quotePrefix="0" xfId="0">
      <alignment horizontal="center" vertical="bottom"/>
    </xf>
    <xf numFmtId="10" fontId="15" fillId="0" borderId="0" applyAlignment="1" pivotButton="0" quotePrefix="0" xfId="0">
      <alignment horizontal="center" vertical="bottom"/>
    </xf>
    <xf numFmtId="10" fontId="130" fillId="0" borderId="0" applyAlignment="1" pivotButton="0" quotePrefix="0" xfId="0">
      <alignment vertical="bottom"/>
    </xf>
    <xf numFmtId="172" fontId="15" fillId="0" borderId="0" applyAlignment="1" pivotButton="0" quotePrefix="0" xfId="0">
      <alignment vertical="bottom"/>
    </xf>
    <xf numFmtId="2" fontId="15" fillId="0" borderId="0" applyAlignment="1" pivotButton="0" quotePrefix="0" xfId="0">
      <alignment horizontal="left" vertical="bottom"/>
    </xf>
    <xf numFmtId="164" fontId="15" fillId="0" borderId="0" applyAlignment="1" pivotButton="0" quotePrefix="0" xfId="0">
      <alignment horizontal="center" vertical="bottom"/>
    </xf>
    <xf numFmtId="164" fontId="130" fillId="0" borderId="0" applyAlignment="1" pivotButton="0" quotePrefix="0" xfId="0">
      <alignment vertical="bottom"/>
    </xf>
    <xf numFmtId="0" fontId="0" fillId="0" borderId="0" pivotButton="0" quotePrefix="0" xfId="0"/>
    <xf numFmtId="0" fontId="3" fillId="2" borderId="16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35" pivotButton="0" quotePrefix="0" xfId="0"/>
    <xf numFmtId="0" fontId="29" fillId="4" borderId="33" applyAlignment="1" pivotButton="0" quotePrefix="0" xfId="0">
      <alignment horizontal="left" vertical="center"/>
    </xf>
    <xf numFmtId="0" fontId="0" fillId="0" borderId="36" pivotButton="0" quotePrefix="0" xfId="0"/>
    <xf numFmtId="0" fontId="16" fillId="8" borderId="26" applyAlignment="1" pivotButton="0" quotePrefix="0" xfId="0">
      <alignment horizontal="center" vertical="center"/>
    </xf>
    <xf numFmtId="0" fontId="34" fillId="8" borderId="16" applyAlignment="1" pivotButton="0" quotePrefix="0" xfId="0">
      <alignment horizontal="center" vertical="center"/>
    </xf>
    <xf numFmtId="0" fontId="16" fillId="8" borderId="17" applyAlignment="1" pivotButton="0" quotePrefix="0" xfId="0">
      <alignment horizontal="center" vertical="center"/>
    </xf>
    <xf numFmtId="0" fontId="0" fillId="0" borderId="107" pivotButton="0" quotePrefix="0" xfId="0"/>
    <xf numFmtId="0" fontId="26" fillId="9" borderId="33" applyAlignment="1" pivotButton="0" quotePrefix="0" xfId="0">
      <alignment horizontal="left" vertical="center"/>
    </xf>
    <xf numFmtId="165" fontId="27" fillId="8" borderId="33" applyAlignment="1" pivotButton="0" quotePrefix="0" xfId="0">
      <alignment horizontal="right" vertical="center"/>
    </xf>
    <xf numFmtId="0" fontId="36" fillId="8" borderId="26" applyAlignment="1" pivotButton="0" quotePrefix="0" xfId="0">
      <alignment horizontal="center" vertical="bottom"/>
    </xf>
    <xf numFmtId="168" fontId="24" fillId="20" borderId="16" applyAlignment="1" pivotButton="0" quotePrefix="0" xfId="0">
      <alignment vertical="center"/>
    </xf>
    <xf numFmtId="43" fontId="6" fillId="19" borderId="33" applyAlignment="1" pivotButton="0" quotePrefix="0" xfId="0">
      <alignment vertical="center"/>
    </xf>
    <xf numFmtId="0" fontId="36" fillId="20" borderId="26" applyAlignment="1" pivotButton="0" quotePrefix="0" xfId="0">
      <alignment horizontal="center" vertical="bottom"/>
    </xf>
    <xf numFmtId="0" fontId="1" fillId="15" borderId="33" applyAlignment="1" pivotButton="0" quotePrefix="0" xfId="0">
      <alignment horizontal="left" vertical="center"/>
    </xf>
    <xf numFmtId="0" fontId="1" fillId="9" borderId="33" applyAlignment="1" pivotButton="0" quotePrefix="0" xfId="0">
      <alignment horizontal="left" vertical="center"/>
    </xf>
    <xf numFmtId="0" fontId="15" fillId="8" borderId="37" applyAlignment="1" pivotButton="0" quotePrefix="0" xfId="0">
      <alignment horizontal="left" vertical="center"/>
    </xf>
    <xf numFmtId="167" fontId="11" fillId="18" borderId="33" applyAlignment="1" pivotButton="0" quotePrefix="0" xfId="0">
      <alignment horizontal="center" vertical="bottom"/>
    </xf>
    <xf numFmtId="169" fontId="7" fillId="4" borderId="33" applyAlignment="1" pivotButton="0" quotePrefix="0" xfId="0">
      <alignment horizontal="center" vertical="center"/>
    </xf>
    <xf numFmtId="167" fontId="11" fillId="14" borderId="33" applyAlignment="1" pivotButton="0" quotePrefix="0" xfId="0">
      <alignment horizontal="center" vertical="bottom"/>
    </xf>
    <xf numFmtId="169" fontId="7" fillId="15" borderId="33" applyAlignment="1" pivotButton="0" quotePrefix="0" xfId="0">
      <alignment horizontal="center" vertical="center"/>
    </xf>
    <xf numFmtId="0" fontId="46" fillId="21" borderId="33" applyAlignment="1" pivotButton="0" quotePrefix="0" xfId="0">
      <alignment horizontal="left" vertical="center"/>
    </xf>
    <xf numFmtId="169" fontId="7" fillId="21" borderId="33" applyAlignment="1" pivotButton="0" quotePrefix="0" xfId="0">
      <alignment horizontal="center" vertical="center"/>
    </xf>
    <xf numFmtId="0" fontId="1" fillId="0" borderId="33" applyAlignment="1" pivotButton="0" quotePrefix="0" xfId="0">
      <alignment horizontal="left" vertical="bottom"/>
    </xf>
    <xf numFmtId="0" fontId="11" fillId="9" borderId="33" applyAlignment="1" pivotButton="0" quotePrefix="0" xfId="0">
      <alignment horizontal="left" vertical="center"/>
    </xf>
    <xf numFmtId="0" fontId="7" fillId="21" borderId="33" applyAlignment="1" pivotButton="0" quotePrefix="0" xfId="0">
      <alignment horizontal="left" vertical="bottom"/>
    </xf>
    <xf numFmtId="0" fontId="70" fillId="24" borderId="33" applyAlignment="1" pivotButton="0" quotePrefix="0" xfId="0">
      <alignment horizontal="left" vertical="bottom"/>
    </xf>
    <xf numFmtId="0" fontId="11" fillId="9" borderId="33" applyAlignment="1" pivotButton="0" quotePrefix="0" xfId="0">
      <alignment horizontal="left" vertical="bottom"/>
    </xf>
    <xf numFmtId="0" fontId="7" fillId="4" borderId="33" applyAlignment="1" pivotButton="0" quotePrefix="0" xfId="0">
      <alignment horizontal="center" vertical="bottom"/>
    </xf>
    <xf numFmtId="49" fontId="20" fillId="10" borderId="33" applyAlignment="1" pivotButton="0" quotePrefix="0" xfId="0">
      <alignment horizontal="left" vertical="center"/>
    </xf>
    <xf numFmtId="49" fontId="72" fillId="10" borderId="33" applyAlignment="1" pivotButton="0" quotePrefix="0" xfId="0">
      <alignment horizontal="left" vertical="center"/>
    </xf>
    <xf numFmtId="49" fontId="72" fillId="10" borderId="33" applyAlignment="1" pivotButton="0" quotePrefix="0" xfId="0">
      <alignment vertical="center"/>
    </xf>
    <xf numFmtId="49" fontId="58" fillId="9" borderId="33" applyAlignment="1" pivotButton="0" quotePrefix="0" xfId="0">
      <alignment horizontal="left" vertical="center"/>
    </xf>
    <xf numFmtId="49" fontId="58" fillId="13" borderId="33" applyAlignment="1" pivotButton="0" quotePrefix="0" xfId="0">
      <alignment horizontal="left" vertical="center"/>
    </xf>
    <xf numFmtId="0" fontId="7" fillId="16" borderId="33" applyAlignment="1" pivotButton="0" quotePrefix="0" xfId="0">
      <alignment vertical="center"/>
    </xf>
    <xf numFmtId="0" fontId="40" fillId="26" borderId="16" applyAlignment="1" pivotButton="0" quotePrefix="0" xfId="0">
      <alignment horizontal="center" vertical="center"/>
    </xf>
    <xf numFmtId="0" fontId="79" fillId="8" borderId="33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9" borderId="33" applyAlignment="1" pivotButton="0" quotePrefix="0" xfId="0">
      <alignment horizontal="left" vertical="center"/>
    </xf>
    <xf numFmtId="0" fontId="59" fillId="19" borderId="33" applyAlignment="1" pivotButton="0" quotePrefix="0" xfId="0">
      <alignment horizontal="left" vertical="center"/>
    </xf>
    <xf numFmtId="0" fontId="0" fillId="0" borderId="113" pivotButton="0" quotePrefix="0" xfId="0"/>
    <xf numFmtId="49" fontId="26" fillId="10" borderId="33" applyAlignment="1" pivotButton="0" quotePrefix="0" xfId="0">
      <alignment horizontal="center" vertical="center"/>
    </xf>
    <xf numFmtId="49" fontId="26" fillId="12" borderId="33" applyAlignment="1" pivotButton="0" quotePrefix="0" xfId="0">
      <alignment horizontal="center" vertical="center"/>
    </xf>
    <xf numFmtId="0" fontId="21" fillId="8" borderId="114" applyAlignment="1" pivotButton="0" quotePrefix="0" xfId="0">
      <alignment horizontal="left" vertical="center"/>
    </xf>
    <xf numFmtId="0" fontId="0" fillId="0" borderId="115" pivotButton="0" quotePrefix="0" xfId="0"/>
    <xf numFmtId="43" fontId="84" fillId="0" borderId="62" applyAlignment="1" pivotButton="0" quotePrefix="0" xfId="0">
      <alignment horizontal="left" vertical="center"/>
    </xf>
    <xf numFmtId="0" fontId="88" fillId="0" borderId="77" applyAlignment="1" pivotButton="0" quotePrefix="0" xfId="0">
      <alignment horizontal="left" vertical="bottom"/>
    </xf>
    <xf numFmtId="0" fontId="0" fillId="0" borderId="76" pivotButton="0" quotePrefix="0" xfId="0"/>
    <xf numFmtId="0" fontId="0" fillId="0" borderId="77" pivotButton="0" quotePrefix="0" xfId="0"/>
    <xf numFmtId="43" fontId="91" fillId="20" borderId="78" applyAlignment="1" pivotButton="0" quotePrefix="0" xfId="0">
      <alignment horizontal="center" vertical="center"/>
    </xf>
    <xf numFmtId="0" fontId="0" fillId="0" borderId="78" pivotButton="0" quotePrefix="0" xfId="0"/>
    <xf numFmtId="43" fontId="91" fillId="20" borderId="80" applyAlignment="1" pivotButton="0" quotePrefix="0" xfId="0">
      <alignment horizontal="center" vertical="center"/>
    </xf>
    <xf numFmtId="0" fontId="0" fillId="0" borderId="80" pivotButton="0" quotePrefix="0" xfId="0"/>
    <xf numFmtId="0" fontId="96" fillId="0" borderId="118" applyAlignment="1" pivotButton="0" quotePrefix="0" xfId="0">
      <alignment horizontal="center" vertical="center"/>
    </xf>
    <xf numFmtId="0" fontId="0" fillId="0" borderId="87" pivotButton="0" quotePrefix="0" xfId="0"/>
    <xf numFmtId="0" fontId="55" fillId="19" borderId="16" applyAlignment="1" pivotButton="0" quotePrefix="0" xfId="0">
      <alignment horizontal="center" vertical="center" wrapText="1"/>
    </xf>
    <xf numFmtId="167" fontId="102" fillId="19" borderId="16" applyAlignment="1" pivotButton="0" quotePrefix="0" xfId="0">
      <alignment horizontal="center" vertical="center" wrapText="1"/>
    </xf>
    <xf numFmtId="0" fontId="103" fillId="19" borderId="16" applyAlignment="1" pivotButton="0" quotePrefix="0" xfId="0">
      <alignment horizontal="center" vertical="center"/>
    </xf>
    <xf numFmtId="167" fontId="58" fillId="0" borderId="122" applyAlignment="1" pivotButton="0" quotePrefix="0" xfId="0">
      <alignment horizontal="center" vertical="center"/>
    </xf>
    <xf numFmtId="167" fontId="58" fillId="0" borderId="123" applyAlignment="1" pivotButton="0" quotePrefix="0" xfId="0">
      <alignment horizontal="center" vertical="center"/>
    </xf>
    <xf numFmtId="0" fontId="0" fillId="0" borderId="97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100" pivotButton="0" quotePrefix="0" xfId="0"/>
    <xf numFmtId="167" fontId="58" fillId="0" borderId="120" applyAlignment="1" pivotButton="0" quotePrefix="0" xfId="0">
      <alignment horizontal="center" vertical="center"/>
    </xf>
    <xf numFmtId="165" fontId="101" fillId="4" borderId="16" applyAlignment="1" pivotButton="0" quotePrefix="0" xfId="0">
      <alignment horizontal="center" vertical="center"/>
    </xf>
    <xf numFmtId="165" fontId="112" fillId="6" borderId="10" applyAlignment="1" pivotButton="0" quotePrefix="0" xfId="0">
      <alignment horizontal="center" vertical="center"/>
    </xf>
    <xf numFmtId="0" fontId="0" fillId="0" borderId="9" pivotButton="0" quotePrefix="0" xfId="0"/>
  </cellXfs>
  <cellStyles count="1">
    <cellStyle name="Normal" xfId="0" builtinId="0"/>
  </cellStyles>
  <dxfs count="10">
    <dxf>
      <font>
        <color rgb="FFF2F2F2"/>
      </font>
      <fill>
        <patternFill patternType="solid">
          <fgColor rgb="FFF2F2F2"/>
          <bgColor rgb="FFF2F2F2"/>
        </patternFill>
      </fill>
      <border/>
    </dxf>
    <dxf>
      <font>
        <color rgb="FF000000"/>
      </font>
      <fill>
        <patternFill/>
      </fill>
      <border/>
    </dxf>
    <dxf>
      <font>
        <color rgb="FFFF0000"/>
      </font>
      <fill>
        <patternFill/>
      </fill>
      <border/>
    </dxf>
    <dxf>
      <font>
        <color rgb="FFFF0000"/>
      </font>
      <fill>
        <patternFill patternType="solid">
          <fgColor rgb="FFBFBFBF"/>
          <bgColor rgb="FFBFBFBF"/>
        </patternFill>
      </fill>
      <border/>
    </dxf>
    <dxf>
      <font>
        <color rgb="FF000000"/>
      </font>
      <fill>
        <patternFill/>
      </fill>
      <border>
        <right style="thin">
          <color rgb="FF000000"/>
        </right>
      </border>
    </dxf>
    <dxf>
      <font>
        <color rgb="FFFFFFFF"/>
      </font>
      <fill>
        <patternFill/>
      </fill>
      <border/>
    </dxf>
    <dxf>
      <font>
        <color rgb="FF008000"/>
      </font>
      <fill>
        <patternFill/>
      </fill>
      <border/>
    </dxf>
    <dxf>
      <font>
        <color rgb="FFC00000"/>
      </font>
      <fill>
        <patternFill patternType="solid">
          <fgColor rgb="FFE6E6E6"/>
          <bgColor rgb="FFE6E6E6"/>
        </patternFill>
      </fill>
      <border/>
    </dxf>
    <dxf>
      <font>
        <color rgb="FF2C6E37"/>
      </font>
      <fill>
        <patternFill patternType="solid">
          <fgColor rgb="FFE6E6E6"/>
          <bgColor rgb="FFE6E6E6"/>
        </patternFill>
      </fill>
      <border/>
    </dxf>
    <dxf>
      <font/>
      <fill>
        <patternFill/>
      </fill>
      <border>
        <right style="thin">
          <color rgb="FF000000"/>
        </right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4649144681913842"/>
          <y val="0.03946123894467428"/>
          <w val="0.5239006910964769"/>
          <h val="0.8166650559741624"/>
        </manualLayout>
      </layout>
      <barChart>
        <barDir val="col"/>
        <grouping val="clustered"/>
        <ser>
          <idx val="0"/>
          <order val="0"/>
          <tx>
            <v>QUANTO SERÁ PAGO</v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/>
              <a:lstStyle/>
              <a:p>
                <a:pPr lvl="0">
                  <a:defRPr sz="900" b="1" i="1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ECONOMIA!$D$28</f>
              <numCache/>
            </numRef>
          </val>
        </ser>
        <ser>
          <idx val="1"/>
          <order val="1"/>
          <tx>
            <v>QUAL SERIA A QUANTIA PAGA</v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dPt>
            <idx val="0"/>
            <spPr>
              <a:solidFill>
                <a:schemeClr val="accent6"/>
              </a:solidFill>
              <a:ln cmpd="sng">
                <a:solidFill>
                  <a:srgbClr val="000000"/>
                </a:solidFill>
                <a:prstDash val="solid"/>
              </a:ln>
            </spPr>
          </dPt>
          <dLbls>
            <dLbl>
              <idx val="0"/>
              <numFmt formatCode="General"/>
              <txPr>
                <a:bodyPr/>
                <a:lstStyle/>
                <a:p>
                  <a:pPr lvl="0">
                    <a:defRPr sz="1000" b="1" i="1">
                      <a:latin typeface="+mn-lt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numFmt formatCode="General"/>
            <txPr>
              <a:bodyPr/>
              <a:lstStyle/>
              <a:p>
                <a:pPr lvl="0">
                  <a:defRPr sz="900" b="1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ECONOMIA!$D$27</f>
              <numCache/>
            </numRef>
          </val>
        </ser>
        <gapWidth val="150"/>
        <axId val="41449427"/>
        <axId val="1586956871"/>
      </barChart>
      <catAx>
        <axId val="41449427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586956871"/>
        <lblOffset val="100"/>
      </catAx>
      <valAx>
        <axId val="1586956871"/>
        <scaling>
          <orientation val="minMax"/>
        </scaling>
        <delete val="0"/>
        <axPos val="l"/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41449427"/>
        <majorUnit val="350000"/>
      </valAx>
    </plotArea>
    <legend>
      <legendPos val="t"/>
      <layout>
        <manualLayout>
          <xMode val="edge"/>
          <yMode val="edge"/>
          <wMode val="factor"/>
          <hMode val="factor"/>
          <x val="0.2198963544807131"/>
          <y val="0.9105495163246284"/>
        </manualLayout>
      </layout>
      <overlay val="0"/>
      <txPr>
        <a:bodyPr/>
        <a:lstStyle/>
        <a:p>
          <a:pPr lvl="0">
            <a:defRPr sz="800"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523875</colOff>
      <row>12</row>
      <rowOff>47625</rowOff>
    </from>
    <ext cx="5715000" cy="35147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6B9F25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ov.br/receitafederal/pt-br/assuntos/meu-imposto-de-renda/tabelas/202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FF9999"/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25" customWidth="1" style="673" min="1" max="1"/>
    <col width="36.25" customWidth="1" style="673" min="2" max="2"/>
    <col width="20.75" customWidth="1" style="673" min="3" max="6"/>
    <col width="11.75" customWidth="1" style="673" min="7" max="7"/>
    <col width="13.25" customWidth="1" style="673" min="8" max="8"/>
    <col width="42" customWidth="1" style="673" min="9" max="9"/>
    <col width="8.75" customWidth="1" style="673" min="10" max="10"/>
    <col width="41.25" customWidth="1" style="673" min="11" max="11"/>
    <col width="8.75" customWidth="1" style="673" min="12" max="12"/>
    <col width="36.25" customWidth="1" style="673" min="13" max="13"/>
    <col width="8.75" customWidth="1" style="673" min="14" max="27"/>
  </cols>
  <sheetData>
    <row r="1" ht="19.5" customHeight="1" s="673">
      <c r="A1" s="1" t="n"/>
      <c r="B1" s="1" t="n"/>
      <c r="C1" s="1" t="n"/>
      <c r="D1" s="1" t="n"/>
      <c r="E1" s="1" t="n"/>
      <c r="F1" s="1" t="n"/>
      <c r="G1" s="1" t="n"/>
      <c r="H1" s="1" t="n"/>
      <c r="I1" s="2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34.5" customHeight="1" s="673">
      <c r="A2" s="1" t="n"/>
      <c r="B2" s="1" t="n"/>
      <c r="C2" s="3" t="n"/>
      <c r="D2" s="3" t="inlineStr">
        <is>
          <t>https://www.gov.br/secom/pt-br/acompanhe-a-secom/noticias/2026/01/nova-tabela-do-ir-veja-faixas-e-aliquotas-e-saiba-mais-sobre-medida-que-isenta-o-pagamento-para-quem-ganha-ate-r-5-mil</t>
        </is>
      </c>
      <c r="G2" s="1" t="n"/>
      <c r="H2" s="1" t="n"/>
      <c r="I2" s="2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 ht="19.5" customHeight="1" s="673">
      <c r="A3" s="1" t="n"/>
      <c r="B3" s="1" t="n"/>
      <c r="C3" s="4" t="n"/>
      <c r="D3" s="4" t="n"/>
      <c r="E3" s="4" t="n"/>
      <c r="F3" s="4" t="n"/>
      <c r="G3" s="1" t="n"/>
      <c r="H3" s="1" t="n"/>
      <c r="I3" s="2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19.5" customHeight="1" s="673">
      <c r="A4" s="1" t="n"/>
      <c r="B4" s="674" t="inlineStr">
        <is>
          <t>TABELA DO I.R.P.F 2026</t>
        </is>
      </c>
      <c r="G4" s="8" t="n"/>
      <c r="H4" s="9" t="n"/>
      <c r="I4" s="10" t="n"/>
      <c r="J4" s="10" t="n"/>
      <c r="K4" s="10" t="n"/>
      <c r="L4" s="10" t="n"/>
      <c r="M4" s="10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9.5" customHeight="1" s="673">
      <c r="A5" s="1" t="n"/>
      <c r="B5" s="1" t="n"/>
      <c r="C5" s="1" t="n"/>
      <c r="D5" s="1" t="n"/>
      <c r="E5" s="1" t="n"/>
      <c r="F5" s="1" t="n"/>
      <c r="G5" s="1" t="n"/>
      <c r="H5" s="1" t="n"/>
      <c r="I5" s="10" t="n"/>
      <c r="J5" s="10" t="n"/>
      <c r="K5" s="10" t="n"/>
      <c r="L5" s="10" t="n"/>
      <c r="M5" s="10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 ht="19.5" customHeight="1" s="673">
      <c r="A6" s="1" t="n"/>
      <c r="B6" s="11" t="inlineStr">
        <is>
          <t>I.R.P.F.</t>
        </is>
      </c>
      <c r="C6" s="12" t="n"/>
      <c r="D6" s="13" t="inlineStr">
        <is>
          <t>Base</t>
        </is>
      </c>
      <c r="E6" s="13" t="inlineStr">
        <is>
          <t>%</t>
        </is>
      </c>
      <c r="F6" s="14" t="inlineStr">
        <is>
          <t>Dedução</t>
        </is>
      </c>
      <c r="G6" s="14" t="inlineStr">
        <is>
          <t>Dedução</t>
        </is>
      </c>
      <c r="H6" s="1" t="n"/>
      <c r="I6" s="10" t="n"/>
      <c r="J6" s="10" t="n"/>
      <c r="K6" s="10" t="n"/>
      <c r="L6" s="10" t="n"/>
      <c r="M6" s="10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9.5" customHeight="1" s="673">
      <c r="A7" s="15" t="n"/>
      <c r="B7" s="16" t="inlineStr">
        <is>
          <t>rendimento bruto até</t>
        </is>
      </c>
      <c r="C7" s="17" t="n"/>
      <c r="D7" s="18" t="n">
        <v>28467.2</v>
      </c>
      <c r="E7" s="19" t="inlineStr">
        <is>
          <t>Isento</t>
        </is>
      </c>
      <c r="F7" s="20" t="n">
        <v>0</v>
      </c>
      <c r="G7" s="20" t="n">
        <v>0</v>
      </c>
      <c r="H7" s="15" t="n"/>
      <c r="I7" s="21" t="n"/>
      <c r="J7" s="10" t="n"/>
      <c r="K7" s="21" t="n"/>
      <c r="L7" s="10" t="n"/>
      <c r="M7" s="21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</row>
    <row r="8" ht="19.5" customHeight="1" s="673">
      <c r="A8" s="15" t="n"/>
      <c r="B8" s="16" t="inlineStr">
        <is>
          <t>rendimento bruto até</t>
        </is>
      </c>
      <c r="C8" s="17" t="n"/>
      <c r="D8" s="18" t="n">
        <v>33919.8</v>
      </c>
      <c r="E8" s="22" t="n">
        <v>0.075</v>
      </c>
      <c r="F8" s="20" t="n">
        <v>2135.04</v>
      </c>
      <c r="G8" s="20" t="n">
        <v>2135.04</v>
      </c>
      <c r="H8" s="15" t="n"/>
      <c r="I8" s="10" t="n"/>
      <c r="J8" s="10" t="n"/>
      <c r="K8" s="10" t="n"/>
      <c r="L8" s="10" t="n"/>
      <c r="M8" s="10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</row>
    <row r="9" ht="19.5" customHeight="1" s="673">
      <c r="A9" s="15" t="n"/>
      <c r="B9" s="16" t="inlineStr">
        <is>
          <t>rendimento bruto até</t>
        </is>
      </c>
      <c r="C9" s="17" t="n"/>
      <c r="D9" s="18" t="n">
        <v>45012.6</v>
      </c>
      <c r="E9" s="22" t="n">
        <v>0.15</v>
      </c>
      <c r="F9" s="20" t="n">
        <v>4679.03</v>
      </c>
      <c r="G9" s="20" t="n">
        <v>4679.03</v>
      </c>
      <c r="H9" s="15" t="n"/>
      <c r="I9" s="10" t="n"/>
      <c r="J9" s="10" t="n"/>
      <c r="K9" s="10" t="n"/>
      <c r="L9" s="10" t="n"/>
      <c r="M9" s="10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</row>
    <row r="10" ht="19.5" customHeight="1" s="673">
      <c r="A10" s="15" t="n"/>
      <c r="B10" s="16" t="inlineStr">
        <is>
          <t>rendimento bruto até</t>
        </is>
      </c>
      <c r="C10" s="17" t="n"/>
      <c r="D10" s="18" t="n">
        <v>55976.16</v>
      </c>
      <c r="E10" s="22" t="n">
        <v>0.225</v>
      </c>
      <c r="F10" s="20" t="n">
        <v>8054.97</v>
      </c>
      <c r="G10" s="20" t="n">
        <v>8054.97</v>
      </c>
      <c r="H10" s="15" t="n"/>
      <c r="I10" s="21" t="n"/>
      <c r="J10" s="10" t="n"/>
      <c r="K10" s="21" t="n"/>
      <c r="L10" s="10" t="n"/>
      <c r="M10" s="23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</row>
    <row r="11" ht="19.5" customHeight="1" s="673">
      <c r="A11" s="15" t="n"/>
      <c r="B11" s="24" t="inlineStr">
        <is>
          <t>rendimento bruto acima</t>
        </is>
      </c>
      <c r="C11" s="25" t="n"/>
      <c r="D11" s="26" t="n">
        <v>55976.16</v>
      </c>
      <c r="E11" s="27" t="n">
        <v>0.275</v>
      </c>
      <c r="F11" s="28" t="n">
        <v>10853.78</v>
      </c>
      <c r="G11" s="28" t="n">
        <v>10853.78</v>
      </c>
      <c r="H11" s="15" t="n"/>
      <c r="I11" s="10" t="n"/>
      <c r="J11" s="10" t="n"/>
      <c r="K11" s="10" t="n"/>
      <c r="L11" s="10" t="n"/>
      <c r="M11" s="10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</row>
    <row r="12" ht="19.5" customHeight="1" s="673">
      <c r="A12" s="15" t="n"/>
      <c r="B12" s="15" t="n"/>
      <c r="C12" s="29" t="n"/>
      <c r="D12" s="29" t="n"/>
      <c r="E12" s="30" t="n"/>
      <c r="F12" s="29" t="n"/>
      <c r="G12" s="29" t="n"/>
      <c r="H12" s="15" t="n"/>
      <c r="I12" s="10" t="n"/>
      <c r="J12" s="10" t="n"/>
      <c r="K12" s="10" t="n"/>
      <c r="L12" s="10" t="n"/>
      <c r="M12" s="10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</row>
    <row r="13" ht="19.5" customHeight="1" s="673">
      <c r="A13" s="15" t="n"/>
      <c r="B13" s="31" t="inlineStr">
        <is>
          <t>Declaração Simplificada (Teto)</t>
        </is>
      </c>
      <c r="C13" s="32" t="n"/>
      <c r="D13" s="32" t="n">
        <v>88200</v>
      </c>
      <c r="E13" s="33" t="n">
        <v>0.2</v>
      </c>
      <c r="F13" s="34" t="n">
        <v>17640</v>
      </c>
      <c r="G13" s="34" t="n">
        <v>17640</v>
      </c>
      <c r="H13" s="35" t="n"/>
      <c r="I13" s="21" t="n"/>
      <c r="J13" s="10" t="n"/>
      <c r="K13" s="21" t="n"/>
      <c r="L13" s="10" t="n"/>
      <c r="M13" s="10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</row>
    <row r="14" ht="19.5" customHeight="1" s="673">
      <c r="A14" s="1" t="n"/>
      <c r="B14" s="1" t="n"/>
      <c r="C14" s="36" t="n"/>
      <c r="D14" s="36" t="n"/>
      <c r="E14" s="37" t="n"/>
      <c r="F14" s="36" t="n"/>
      <c r="G14" s="36" t="n"/>
      <c r="H14" s="1" t="n"/>
      <c r="I14" s="10" t="n"/>
      <c r="J14" s="10" t="n"/>
      <c r="K14" s="10" t="n"/>
      <c r="L14" s="10" t="n"/>
      <c r="M14" s="10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9.5" customHeight="1" s="673">
      <c r="A15" s="1" t="n"/>
      <c r="B15" s="1" t="n"/>
      <c r="C15" s="1" t="n"/>
      <c r="D15" s="1" t="n"/>
      <c r="E15" s="1" t="n"/>
      <c r="F15" s="1" t="n"/>
      <c r="G15" s="1" t="n"/>
      <c r="H15" s="1" t="n"/>
      <c r="I15" s="10" t="n"/>
      <c r="J15" s="10" t="n"/>
      <c r="K15" s="10" t="n"/>
      <c r="L15" s="10" t="n"/>
      <c r="M15" s="10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 ht="19.5" customHeight="1" s="673">
      <c r="A16" s="1" t="n"/>
      <c r="B16" s="38" t="inlineStr">
        <is>
          <t>DEDUÇÃO POR DEPENDENTE</t>
        </is>
      </c>
      <c r="C16" s="39" t="n"/>
      <c r="D16" s="40" t="n"/>
      <c r="E16" s="41" t="inlineStr">
        <is>
          <t>MÁXIMO</t>
        </is>
      </c>
      <c r="F16" s="42" t="n">
        <v>2275.08</v>
      </c>
      <c r="G16" s="42" t="n">
        <v>2275.08</v>
      </c>
      <c r="H16" s="1" t="n"/>
      <c r="I16" s="10" t="n"/>
      <c r="J16" s="10" t="n"/>
      <c r="K16" s="10" t="n"/>
      <c r="L16" s="10" t="n"/>
      <c r="M16" s="10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 ht="19.5" customHeight="1" s="673">
      <c r="A17" s="1" t="n"/>
      <c r="B17" s="43" t="inlineStr">
        <is>
          <t>DEDUÇÃO COM INSTRUÇÃO</t>
        </is>
      </c>
      <c r="C17" s="44" t="n"/>
      <c r="D17" s="45" t="n"/>
      <c r="E17" s="46" t="inlineStr">
        <is>
          <t>MÁXIMO</t>
        </is>
      </c>
      <c r="F17" s="47" t="n">
        <v>3561.5</v>
      </c>
      <c r="G17" s="47" t="n">
        <v>3561.5</v>
      </c>
      <c r="H17" s="48" t="n"/>
      <c r="I17" s="10" t="n"/>
      <c r="J17" s="10" t="n"/>
      <c r="K17" s="23" t="n"/>
      <c r="L17" s="10" t="n"/>
      <c r="M17" s="10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9.5" customHeight="1" s="673">
      <c r="A18" s="1" t="n"/>
      <c r="B18" s="43" t="inlineStr">
        <is>
          <t>PREVIDENCIA PRIVADA</t>
        </is>
      </c>
      <c r="C18" s="49" t="n"/>
      <c r="D18" s="50" t="n"/>
      <c r="E18" s="46" t="inlineStr">
        <is>
          <t>MÁXIMO</t>
        </is>
      </c>
      <c r="F18" s="51" t="n">
        <v>0.12</v>
      </c>
      <c r="G18" s="51" t="n">
        <v>0.12</v>
      </c>
      <c r="H18" s="1" t="n"/>
      <c r="I18" s="10" t="n"/>
      <c r="J18" s="10" t="n"/>
      <c r="K18" s="10" t="n"/>
      <c r="L18" s="52" t="n"/>
      <c r="M18" s="10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9.5" customHeight="1" s="673">
      <c r="A19" s="1" t="n"/>
      <c r="B19" s="43" t="inlineStr">
        <is>
          <t>EMPREGADA DOMESTICA*</t>
        </is>
      </c>
      <c r="C19" s="49" t="n"/>
      <c r="D19" s="50" t="n"/>
      <c r="E19" s="46" t="inlineStr">
        <is>
          <t>MÁXIMO</t>
        </is>
      </c>
      <c r="F19" s="47" t="n"/>
      <c r="G19" s="47" t="n"/>
      <c r="H19" s="1" t="n"/>
      <c r="I19" s="10" t="n"/>
      <c r="J19" s="10" t="n"/>
      <c r="K19" s="10" t="n"/>
      <c r="L19" s="52" t="n"/>
      <c r="M19" s="10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9.5" customHeight="1" s="673">
      <c r="A20" s="1" t="n"/>
      <c r="B20" s="53" t="inlineStr">
        <is>
          <t>DOAÇÕES E INCENTIVOS</t>
        </is>
      </c>
      <c r="C20" s="54" t="n"/>
      <c r="D20" s="55" t="n"/>
      <c r="E20" s="56" t="inlineStr">
        <is>
          <t>MÁXIMO</t>
        </is>
      </c>
      <c r="F20" s="57" t="n">
        <v>0.06</v>
      </c>
      <c r="G20" s="57" t="n">
        <v>0.06</v>
      </c>
      <c r="H20" s="1" t="n"/>
      <c r="I20" s="10" t="n"/>
      <c r="J20" s="10" t="n"/>
      <c r="K20" s="21" t="n"/>
      <c r="L20" s="10" t="n"/>
      <c r="M20" s="10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9.5" customHeight="1" s="673">
      <c r="A21" s="1" t="n"/>
      <c r="B21" s="2" t="n"/>
      <c r="G21" s="1" t="n"/>
      <c r="H21" s="1" t="n"/>
      <c r="I21" s="2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34.5" customHeight="1" s="673">
      <c r="A22" s="1" t="n"/>
      <c r="B22" s="58" t="inlineStr">
        <is>
          <t>FONTE: http://idg.receita.fazenda.gov.br/acesso-rapido/tributos/irpf-imposto-de-renda-pessoa-fisica</t>
        </is>
      </c>
      <c r="G22" s="1" t="n"/>
      <c r="H22" s="1" t="n"/>
      <c r="I22" s="2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9.5" customHeight="1" s="673">
      <c r="A23" s="1" t="n"/>
      <c r="B23" s="1" t="n"/>
      <c r="C23" s="1" t="n"/>
      <c r="D23" s="1" t="n"/>
      <c r="E23" s="1" t="n"/>
      <c r="F23" s="1" t="n"/>
      <c r="G23" s="1" t="n"/>
      <c r="H23" s="1" t="n"/>
      <c r="I23" s="59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9.5" customHeight="1" s="673">
      <c r="A24" s="1" t="n"/>
      <c r="B24" s="1" t="n"/>
      <c r="C24" s="1" t="n"/>
      <c r="D24" s="1" t="n"/>
      <c r="E24" s="1" t="n"/>
      <c r="F24" s="1" t="n"/>
      <c r="G24" s="1" t="n"/>
      <c r="H24" s="1" t="n"/>
      <c r="I24" s="2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9.5" customHeight="1" s="673">
      <c r="A25" s="1" t="n"/>
      <c r="B25" s="1" t="n"/>
      <c r="C25" s="1" t="n"/>
      <c r="D25" s="1" t="n"/>
      <c r="E25" s="1" t="n"/>
      <c r="F25" s="1" t="n"/>
      <c r="G25" s="1" t="n"/>
      <c r="H25" s="1" t="n"/>
      <c r="I25" s="2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19.5" customHeight="1" s="673">
      <c r="A26" s="1" t="n"/>
      <c r="B26" s="1" t="n"/>
      <c r="C26" s="1" t="n"/>
      <c r="D26" s="1" t="n"/>
      <c r="E26" s="1" t="n"/>
      <c r="F26" s="1" t="n"/>
      <c r="G26" s="1" t="n"/>
      <c r="H26" s="1" t="n"/>
      <c r="I26" s="2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 ht="19.5" customHeight="1" s="673">
      <c r="A27" s="1" t="n"/>
      <c r="B27" s="1" t="n"/>
      <c r="C27" s="1" t="n"/>
      <c r="D27" s="1" t="n"/>
      <c r="E27" s="1" t="n"/>
      <c r="F27" s="1" t="n"/>
      <c r="G27" s="1" t="n"/>
      <c r="H27" s="1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 ht="19.5" customHeight="1" s="673">
      <c r="A28" s="1" t="n"/>
      <c r="B28" s="60" t="inlineStr">
        <is>
          <t>Receitas</t>
        </is>
      </c>
      <c r="C28" s="60" t="inlineStr">
        <is>
          <t>Taxa de Redução</t>
        </is>
      </c>
      <c r="D28" s="1" t="n"/>
      <c r="E28" s="60" t="inlineStr">
        <is>
          <t>PIS/COFINS</t>
        </is>
      </c>
      <c r="F28" s="1" t="n"/>
      <c r="G28" s="60" t="inlineStr">
        <is>
          <t>PJ OU PF</t>
        </is>
      </c>
      <c r="H28" s="1" t="n"/>
      <c r="I28" s="61" t="inlineStr">
        <is>
          <t>FUNRURAL PJ</t>
        </is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 ht="19.5" customHeight="1" s="673">
      <c r="A29" s="1" t="n"/>
      <c r="B29" s="62" t="inlineStr">
        <is>
          <t>ARROZ COM CASCA</t>
        </is>
      </c>
      <c r="C29" s="63" t="n">
        <v>0.6</v>
      </c>
      <c r="D29" s="1" t="n"/>
      <c r="E29" s="62" t="inlineStr">
        <is>
          <t>SIM</t>
        </is>
      </c>
      <c r="F29" s="1" t="n"/>
      <c r="G29" s="62" t="inlineStr">
        <is>
          <t>PF</t>
        </is>
      </c>
      <c r="H29" s="1" t="n"/>
      <c r="I29" s="64" t="inlineStr">
        <is>
          <t>FOLHA DE PAGAMENTO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 ht="19.5" customHeight="1" s="673">
      <c r="A30" s="1" t="n"/>
      <c r="B30" s="62" t="inlineStr">
        <is>
          <t>SOJA</t>
        </is>
      </c>
      <c r="C30" s="63" t="n">
        <v>0.6</v>
      </c>
      <c r="D30" s="1" t="n"/>
      <c r="E30" s="62" t="inlineStr">
        <is>
          <t>NÃO</t>
        </is>
      </c>
      <c r="F30" s="1" t="n"/>
      <c r="G30" s="62" t="inlineStr">
        <is>
          <t>PJ</t>
        </is>
      </c>
      <c r="H30" s="1" t="n"/>
      <c r="I30" s="64" t="inlineStr">
        <is>
          <t>FATURAMENTO</t>
        </is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9.5" customHeight="1" s="673">
      <c r="A31" s="1" t="n"/>
      <c r="B31" s="62" t="inlineStr">
        <is>
          <t>MILHO EM GRÃO</t>
        </is>
      </c>
      <c r="C31" s="63" t="n">
        <v>0.6</v>
      </c>
      <c r="D31" s="1" t="n"/>
      <c r="E31" s="62" t="n"/>
      <c r="F31" s="1" t="n"/>
      <c r="G31" s="62" t="n"/>
      <c r="H31" s="1" t="n"/>
      <c r="I31" s="2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 ht="19.5" customHeight="1" s="673">
      <c r="A32" s="1" t="n"/>
      <c r="B32" s="62" t="inlineStr">
        <is>
          <t>SORGO</t>
        </is>
      </c>
      <c r="C32" s="63" t="n">
        <v>0.6</v>
      </c>
      <c r="D32" s="1" t="n"/>
      <c r="E32" s="62" t="n"/>
      <c r="F32" s="1" t="n"/>
      <c r="G32" s="62" t="n"/>
      <c r="H32" s="1" t="n"/>
      <c r="I32" s="2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9.5" customHeight="1" s="673">
      <c r="A33" s="1" t="n"/>
      <c r="B33" s="62" t="inlineStr">
        <is>
          <t>GERGELIM</t>
        </is>
      </c>
      <c r="C33" s="63" t="n">
        <v>0.6</v>
      </c>
      <c r="D33" s="1" t="n"/>
      <c r="E33" s="62" t="n"/>
      <c r="F33" s="1" t="n"/>
      <c r="G33" s="1" t="n"/>
      <c r="H33" s="1" t="n"/>
      <c r="I33" s="2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9.5" customHeight="1" s="673">
      <c r="A34" s="1" t="n"/>
      <c r="B34" s="62" t="inlineStr">
        <is>
          <t>ALGODÃO</t>
        </is>
      </c>
      <c r="C34" s="63" t="n">
        <v>0.6</v>
      </c>
      <c r="D34" s="1" t="n"/>
      <c r="E34" s="62" t="n"/>
      <c r="F34" s="1" t="n"/>
      <c r="G34" s="1" t="n"/>
      <c r="H34" s="1" t="n"/>
      <c r="I34" s="2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9.5" customHeight="1" s="673">
      <c r="A35" s="1" t="n"/>
      <c r="B35" s="62" t="inlineStr">
        <is>
          <t>CAFÉ</t>
        </is>
      </c>
      <c r="C35" s="63" t="n">
        <v>1</v>
      </c>
      <c r="D35" s="1" t="n"/>
      <c r="E35" s="62" t="n"/>
      <c r="F35" s="1" t="n"/>
      <c r="G35" s="1" t="n"/>
      <c r="H35" s="1" t="n"/>
      <c r="I35" s="2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9.5" customHeight="1" s="673">
      <c r="A36" s="1" t="n"/>
      <c r="B36" s="62" t="inlineStr">
        <is>
          <t>UVA</t>
        </is>
      </c>
      <c r="C36" s="63" t="n">
        <v>1</v>
      </c>
      <c r="D36" s="1" t="n"/>
      <c r="E36" s="62" t="n"/>
      <c r="F36" s="1" t="n"/>
      <c r="G36" s="1" t="n"/>
      <c r="H36" s="1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9.5" customHeight="1" s="673">
      <c r="A37" s="1" t="n"/>
      <c r="B37" s="62" t="inlineStr">
        <is>
          <t>BEZERRO</t>
        </is>
      </c>
      <c r="C37" s="63" t="n">
        <v>0.6</v>
      </c>
      <c r="D37" s="1" t="n"/>
      <c r="E37" s="62" t="n"/>
      <c r="F37" s="1" t="n"/>
      <c r="G37" s="1" t="n"/>
      <c r="H37" s="1" t="n"/>
      <c r="I37" s="2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673">
      <c r="A38" s="1" t="n"/>
      <c r="B38" s="62" t="inlineStr">
        <is>
          <t>TERNEIRO</t>
        </is>
      </c>
      <c r="C38" s="63" t="n">
        <v>0.6</v>
      </c>
      <c r="D38" s="1" t="n"/>
      <c r="E38" s="62" t="n"/>
      <c r="F38" s="1" t="n"/>
      <c r="G38" s="1" t="n"/>
      <c r="H38" s="1" t="n"/>
      <c r="I38" s="2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9.5" customHeight="1" s="673">
      <c r="A39" s="1" t="n"/>
      <c r="B39" s="62" t="inlineStr">
        <is>
          <t>NOVILHO</t>
        </is>
      </c>
      <c r="C39" s="63" t="n">
        <v>0.6</v>
      </c>
      <c r="D39" s="1" t="n"/>
      <c r="E39" s="62" t="n"/>
      <c r="F39" s="1" t="n"/>
      <c r="G39" s="1" t="n"/>
      <c r="H39" s="1" t="n"/>
      <c r="I39" s="2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9.5" customHeight="1" s="673">
      <c r="A40" s="1" t="n"/>
      <c r="B40" s="62" t="inlineStr">
        <is>
          <t>VACA</t>
        </is>
      </c>
      <c r="C40" s="63" t="n">
        <v>0.6</v>
      </c>
      <c r="D40" s="1" t="n"/>
      <c r="E40" s="62" t="n"/>
      <c r="F40" s="1" t="n"/>
      <c r="G40" s="1" t="n"/>
      <c r="H40" s="1" t="n"/>
      <c r="I40" s="2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9.5" customHeight="1" s="673">
      <c r="A41" s="1" t="n"/>
      <c r="B41" s="62" t="inlineStr">
        <is>
          <t>BOI</t>
        </is>
      </c>
      <c r="C41" s="63" t="n">
        <v>0.6</v>
      </c>
      <c r="D41" s="1" t="n"/>
      <c r="E41" s="62" t="n"/>
      <c r="F41" s="1" t="n"/>
      <c r="G41" s="1" t="n"/>
      <c r="H41" s="1" t="n"/>
      <c r="I41" s="2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9.5" customHeight="1" s="673">
      <c r="A42" s="1" t="n"/>
      <c r="B42" s="62" t="inlineStr">
        <is>
          <t>FEIJÃO</t>
        </is>
      </c>
      <c r="C42" s="63" t="n">
        <v>1</v>
      </c>
      <c r="D42" s="1" t="n"/>
      <c r="E42" s="1" t="n"/>
      <c r="F42" s="1" t="n"/>
      <c r="G42" s="1" t="n"/>
      <c r="H42" s="1" t="n"/>
      <c r="I42" s="2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9.5" customHeight="1" s="673">
      <c r="A43" s="1" t="n"/>
      <c r="B43" s="62" t="inlineStr">
        <is>
          <t>PEIXES</t>
        </is>
      </c>
      <c r="C43" s="63" t="n">
        <v>1</v>
      </c>
      <c r="D43" s="1" t="n"/>
      <c r="E43" s="1" t="n"/>
      <c r="F43" s="1" t="n"/>
      <c r="G43" s="1" t="n"/>
      <c r="H43" s="1" t="n"/>
      <c r="I43" s="2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9.5" customHeight="1" s="673">
      <c r="A44" s="1" t="n"/>
      <c r="B44" s="62" t="inlineStr">
        <is>
          <t>PEIXES EXÓTICOS</t>
        </is>
      </c>
      <c r="C44" s="63" t="n">
        <v>0.6</v>
      </c>
      <c r="D44" s="1" t="n"/>
      <c r="E44" s="1" t="n"/>
      <c r="F44" s="1" t="n"/>
      <c r="G44" s="1" t="n"/>
      <c r="H44" s="1" t="n"/>
      <c r="I44" s="2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9.5" customHeight="1" s="673">
      <c r="A45" s="1" t="n"/>
      <c r="B45" s="1" t="n"/>
      <c r="C45" s="1" t="n"/>
      <c r="D45" s="1" t="n"/>
      <c r="E45" s="1" t="n"/>
      <c r="F45" s="1" t="n"/>
      <c r="G45" s="1" t="n"/>
      <c r="H45" s="1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9.5" customHeight="1" s="673">
      <c r="A46" s="1" t="n"/>
      <c r="B46" s="1" t="n"/>
      <c r="C46" s="1" t="n"/>
      <c r="D46" s="1" t="n"/>
      <c r="E46" s="1" t="n"/>
      <c r="F46" s="1" t="n"/>
      <c r="G46" s="1" t="n"/>
      <c r="H46" s="1" t="n"/>
      <c r="I46" s="2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9.5" customHeight="1" s="673">
      <c r="A47" s="1" t="n"/>
      <c r="B47" s="1" t="n"/>
      <c r="C47" s="1" t="n"/>
      <c r="D47" s="1" t="n"/>
      <c r="E47" s="1" t="n"/>
      <c r="F47" s="1" t="n"/>
      <c r="G47" s="1" t="n"/>
      <c r="H47" s="1" t="n"/>
      <c r="I47" s="2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9.5" customHeight="1" s="673">
      <c r="A48" s="1" t="n"/>
      <c r="B48" s="1" t="n"/>
      <c r="C48" s="1" t="n"/>
      <c r="D48" s="1" t="n"/>
      <c r="E48" s="1" t="n"/>
      <c r="F48" s="1" t="n"/>
      <c r="G48" s="1" t="n"/>
      <c r="H48" s="1" t="n"/>
      <c r="I48" s="2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9.5" customHeight="1" s="673">
      <c r="A49" s="1" t="n"/>
      <c r="B49" s="1" t="n"/>
      <c r="C49" s="1" t="n"/>
      <c r="D49" s="1" t="n"/>
      <c r="E49" s="1" t="n"/>
      <c r="F49" s="1" t="n"/>
      <c r="G49" s="1" t="n"/>
      <c r="H49" s="1" t="n"/>
      <c r="I49" s="2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9.5" customHeight="1" s="673">
      <c r="A50" s="1" t="n"/>
      <c r="B50" s="1" t="n"/>
      <c r="C50" s="1" t="n"/>
      <c r="D50" s="1" t="n"/>
      <c r="E50" s="1" t="n"/>
      <c r="F50" s="1" t="n"/>
      <c r="G50" s="1" t="n"/>
      <c r="H50" s="1" t="n"/>
      <c r="I50" s="2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9.5" customHeight="1" s="673">
      <c r="A51" s="1" t="n"/>
      <c r="B51" s="1" t="n"/>
      <c r="C51" s="1" t="n"/>
      <c r="D51" s="1" t="n"/>
      <c r="E51" s="1" t="n"/>
      <c r="F51" s="1" t="n"/>
      <c r="G51" s="1" t="n"/>
      <c r="H51" s="1" t="n"/>
      <c r="I51" s="2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9.5" customHeight="1" s="673">
      <c r="A52" s="1" t="n"/>
      <c r="B52" s="1" t="n"/>
      <c r="C52" s="1" t="n"/>
      <c r="D52" s="1" t="n"/>
      <c r="E52" s="1" t="n"/>
      <c r="F52" s="1" t="n"/>
      <c r="G52" s="1" t="n"/>
      <c r="H52" s="1" t="n"/>
      <c r="I52" s="2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9.5" customHeight="1" s="673">
      <c r="A53" s="1" t="n"/>
      <c r="B53" s="1" t="n"/>
      <c r="C53" s="1" t="n"/>
      <c r="D53" s="1" t="n"/>
      <c r="E53" s="1" t="n"/>
      <c r="F53" s="1" t="n"/>
      <c r="G53" s="1" t="n"/>
      <c r="H53" s="1" t="n"/>
      <c r="I53" s="2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9.5" customHeight="1" s="673">
      <c r="A54" s="1" t="n"/>
      <c r="B54" s="1" t="n"/>
      <c r="C54" s="1" t="n"/>
      <c r="D54" s="1" t="n"/>
      <c r="E54" s="1" t="n"/>
      <c r="F54" s="1" t="n"/>
      <c r="G54" s="1" t="n"/>
      <c r="H54" s="1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9.5" customHeight="1" s="673">
      <c r="A55" s="1" t="n"/>
      <c r="B55" s="1" t="n"/>
      <c r="C55" s="1" t="n"/>
      <c r="D55" s="1" t="n"/>
      <c r="E55" s="1" t="n"/>
      <c r="F55" s="1" t="n"/>
      <c r="G55" s="1" t="n"/>
      <c r="H55" s="1" t="n"/>
      <c r="I55" s="2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9.5" customHeight="1" s="673">
      <c r="A56" s="1" t="n"/>
      <c r="B56" s="1" t="n"/>
      <c r="C56" s="1" t="n"/>
      <c r="D56" s="1" t="n"/>
      <c r="E56" s="1" t="n"/>
      <c r="F56" s="1" t="n"/>
      <c r="G56" s="1" t="n"/>
      <c r="H56" s="1" t="n"/>
      <c r="I56" s="2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9.5" customHeight="1" s="673">
      <c r="A57" s="1" t="n"/>
      <c r="B57" s="1" t="n"/>
      <c r="C57" s="1" t="n"/>
      <c r="D57" s="1" t="n"/>
      <c r="E57" s="1" t="n"/>
      <c r="F57" s="1" t="n"/>
      <c r="G57" s="1" t="n"/>
      <c r="H57" s="1" t="n"/>
      <c r="I57" s="2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9.5" customHeight="1" s="673">
      <c r="A58" s="1" t="n"/>
      <c r="B58" s="1" t="n"/>
      <c r="C58" s="1" t="n"/>
      <c r="D58" s="1" t="n"/>
      <c r="E58" s="1" t="n"/>
      <c r="F58" s="1" t="n"/>
      <c r="G58" s="1" t="n"/>
      <c r="H58" s="1" t="n"/>
      <c r="I58" s="2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9.5" customHeight="1" s="673">
      <c r="A59" s="1" t="n"/>
      <c r="B59" s="1" t="n"/>
      <c r="C59" s="1" t="n"/>
      <c r="D59" s="1" t="n"/>
      <c r="E59" s="1" t="n"/>
      <c r="F59" s="1" t="n"/>
      <c r="G59" s="1" t="n"/>
      <c r="H59" s="1" t="n"/>
      <c r="I59" s="2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9.5" customHeight="1" s="673">
      <c r="A60" s="1" t="n"/>
      <c r="B60" s="1" t="n"/>
      <c r="C60" s="1" t="n"/>
      <c r="D60" s="1" t="n"/>
      <c r="E60" s="1" t="n"/>
      <c r="F60" s="1" t="n"/>
      <c r="G60" s="1" t="n"/>
      <c r="H60" s="1" t="n"/>
      <c r="I60" s="2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9.5" customHeight="1" s="673">
      <c r="A61" s="1" t="n"/>
      <c r="B61" s="1" t="n"/>
      <c r="C61" s="1" t="n"/>
      <c r="D61" s="1" t="n"/>
      <c r="E61" s="1" t="n"/>
      <c r="F61" s="1" t="n"/>
      <c r="G61" s="1" t="n"/>
      <c r="H61" s="1" t="n"/>
      <c r="I61" s="2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9.5" customHeight="1" s="673">
      <c r="A62" s="1" t="n"/>
      <c r="B62" s="1" t="n"/>
      <c r="C62" s="1" t="n"/>
      <c r="D62" s="1" t="n"/>
      <c r="E62" s="1" t="n"/>
      <c r="F62" s="1" t="n"/>
      <c r="G62" s="1" t="n"/>
      <c r="H62" s="1" t="n"/>
      <c r="I62" s="2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9.5" customHeight="1" s="673">
      <c r="A63" s="1" t="n"/>
      <c r="B63" s="1" t="n"/>
      <c r="C63" s="1" t="n"/>
      <c r="D63" s="1" t="n"/>
      <c r="E63" s="1" t="n"/>
      <c r="F63" s="1" t="n"/>
      <c r="G63" s="1" t="n"/>
      <c r="H63" s="1" t="n"/>
      <c r="I63" s="2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9.5" customHeight="1" s="673">
      <c r="A64" s="1" t="n"/>
      <c r="B64" s="1" t="n"/>
      <c r="C64" s="1" t="n"/>
      <c r="D64" s="1" t="n"/>
      <c r="E64" s="1" t="n"/>
      <c r="F64" s="1" t="n"/>
      <c r="G64" s="1" t="n"/>
      <c r="H64" s="1" t="n"/>
      <c r="I64" s="2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9.5" customHeight="1" s="673">
      <c r="A65" s="1" t="n"/>
      <c r="B65" s="1" t="n"/>
      <c r="C65" s="1" t="n"/>
      <c r="D65" s="1" t="n"/>
      <c r="E65" s="1" t="n"/>
      <c r="F65" s="1" t="n"/>
      <c r="G65" s="1" t="n"/>
      <c r="H65" s="1" t="n"/>
      <c r="I65" s="2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9.5" customHeight="1" s="673">
      <c r="A66" s="1" t="n"/>
      <c r="B66" s="1" t="n"/>
      <c r="C66" s="1" t="n"/>
      <c r="D66" s="1" t="n"/>
      <c r="E66" s="1" t="n"/>
      <c r="F66" s="1" t="n"/>
      <c r="G66" s="1" t="n"/>
      <c r="H66" s="1" t="n"/>
      <c r="I66" s="2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9.5" customHeight="1" s="673">
      <c r="A67" s="1" t="n"/>
      <c r="B67" s="1" t="n"/>
      <c r="C67" s="1" t="n"/>
      <c r="D67" s="1" t="n"/>
      <c r="E67" s="1" t="n"/>
      <c r="F67" s="1" t="n"/>
      <c r="G67" s="1" t="n"/>
      <c r="H67" s="1" t="n"/>
      <c r="I67" s="2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9.5" customHeight="1" s="673">
      <c r="A68" s="1" t="n"/>
      <c r="B68" s="1" t="n"/>
      <c r="C68" s="1" t="n"/>
      <c r="D68" s="1" t="n"/>
      <c r="E68" s="1" t="n"/>
      <c r="F68" s="1" t="n"/>
      <c r="G68" s="1" t="n"/>
      <c r="H68" s="1" t="n"/>
      <c r="I68" s="2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9.5" customHeight="1" s="673">
      <c r="A69" s="1" t="n"/>
      <c r="B69" s="1" t="n"/>
      <c r="C69" s="1" t="n"/>
      <c r="D69" s="1" t="n"/>
      <c r="E69" s="1" t="n"/>
      <c r="F69" s="1" t="n"/>
      <c r="G69" s="1" t="n"/>
      <c r="H69" s="1" t="n"/>
      <c r="I69" s="2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9.5" customHeight="1" s="673">
      <c r="A70" s="1" t="n"/>
      <c r="B70" s="1" t="n"/>
      <c r="C70" s="1" t="n"/>
      <c r="D70" s="1" t="n"/>
      <c r="E70" s="1" t="n"/>
      <c r="F70" s="1" t="n"/>
      <c r="G70" s="1" t="n"/>
      <c r="H70" s="1" t="n"/>
      <c r="I70" s="2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9.5" customHeight="1" s="673">
      <c r="A71" s="1" t="n"/>
      <c r="B71" s="1" t="n"/>
      <c r="C71" s="1" t="n"/>
      <c r="D71" s="1" t="n"/>
      <c r="E71" s="1" t="n"/>
      <c r="F71" s="1" t="n"/>
      <c r="G71" s="1" t="n"/>
      <c r="H71" s="1" t="n"/>
      <c r="I71" s="2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9.5" customHeight="1" s="673">
      <c r="A72" s="1" t="n"/>
      <c r="B72" s="1" t="n"/>
      <c r="C72" s="1" t="n"/>
      <c r="D72" s="1" t="n"/>
      <c r="E72" s="1" t="n"/>
      <c r="F72" s="1" t="n"/>
      <c r="G72" s="1" t="n"/>
      <c r="H72" s="1" t="n"/>
      <c r="I72" s="2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9.5" customHeight="1" s="673">
      <c r="A73" s="1" t="n"/>
      <c r="B73" s="1" t="n"/>
      <c r="C73" s="1" t="n"/>
      <c r="D73" s="1" t="n"/>
      <c r="E73" s="1" t="n"/>
      <c r="F73" s="1" t="n"/>
      <c r="G73" s="1" t="n"/>
      <c r="H73" s="1" t="n"/>
      <c r="I73" s="2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9.5" customHeight="1" s="673">
      <c r="A74" s="1" t="n"/>
      <c r="B74" s="1" t="n"/>
      <c r="C74" s="1" t="n"/>
      <c r="D74" s="1" t="n"/>
      <c r="E74" s="1" t="n"/>
      <c r="F74" s="1" t="n"/>
      <c r="G74" s="1" t="n"/>
      <c r="H74" s="1" t="n"/>
      <c r="I74" s="2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9.5" customHeight="1" s="673">
      <c r="A75" s="1" t="n"/>
      <c r="B75" s="1" t="n"/>
      <c r="C75" s="1" t="n"/>
      <c r="D75" s="1" t="n"/>
      <c r="E75" s="1" t="n"/>
      <c r="F75" s="1" t="n"/>
      <c r="G75" s="1" t="n"/>
      <c r="H75" s="1" t="n"/>
      <c r="I75" s="2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9.5" customHeight="1" s="673">
      <c r="A76" s="1" t="n"/>
      <c r="B76" s="1" t="n"/>
      <c r="C76" s="1" t="n"/>
      <c r="D76" s="1" t="n"/>
      <c r="E76" s="1" t="n"/>
      <c r="F76" s="1" t="n"/>
      <c r="G76" s="1" t="n"/>
      <c r="H76" s="1" t="n"/>
      <c r="I76" s="2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9.5" customHeight="1" s="673">
      <c r="A77" s="1" t="n"/>
      <c r="B77" s="1" t="n"/>
      <c r="C77" s="1" t="n"/>
      <c r="D77" s="1" t="n"/>
      <c r="E77" s="1" t="n"/>
      <c r="F77" s="1" t="n"/>
      <c r="G77" s="1" t="n"/>
      <c r="H77" s="1" t="n"/>
      <c r="I77" s="2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9.5" customHeight="1" s="673">
      <c r="A78" s="1" t="n"/>
      <c r="B78" s="1" t="n"/>
      <c r="C78" s="1" t="n"/>
      <c r="D78" s="1" t="n"/>
      <c r="E78" s="1" t="n"/>
      <c r="F78" s="1" t="n"/>
      <c r="G78" s="1" t="n"/>
      <c r="H78" s="1" t="n"/>
      <c r="I78" s="2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9.5" customHeight="1" s="673">
      <c r="A79" s="1" t="n"/>
      <c r="B79" s="1" t="n"/>
      <c r="C79" s="1" t="n"/>
      <c r="D79" s="1" t="n"/>
      <c r="E79" s="1" t="n"/>
      <c r="F79" s="1" t="n"/>
      <c r="G79" s="1" t="n"/>
      <c r="H79" s="1" t="n"/>
      <c r="I79" s="2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9.5" customHeight="1" s="673">
      <c r="A80" s="1" t="n"/>
      <c r="B80" s="1" t="n"/>
      <c r="C80" s="1" t="n"/>
      <c r="D80" s="1" t="n"/>
      <c r="E80" s="1" t="n"/>
      <c r="F80" s="1" t="n"/>
      <c r="G80" s="1" t="n"/>
      <c r="H80" s="1" t="n"/>
      <c r="I80" s="2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9.5" customHeight="1" s="673">
      <c r="A81" s="1" t="n"/>
      <c r="B81" s="1" t="n"/>
      <c r="C81" s="1" t="n"/>
      <c r="D81" s="1" t="n"/>
      <c r="E81" s="1" t="n"/>
      <c r="F81" s="1" t="n"/>
      <c r="G81" s="1" t="n"/>
      <c r="H81" s="1" t="n"/>
      <c r="I81" s="2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9.5" customHeight="1" s="673">
      <c r="A82" s="1" t="n"/>
      <c r="B82" s="1" t="n"/>
      <c r="C82" s="1" t="n"/>
      <c r="D82" s="1" t="n"/>
      <c r="E82" s="1" t="n"/>
      <c r="F82" s="1" t="n"/>
      <c r="G82" s="1" t="n"/>
      <c r="H82" s="1" t="n"/>
      <c r="I82" s="2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9.5" customHeight="1" s="673">
      <c r="A83" s="1" t="n"/>
      <c r="B83" s="1" t="n"/>
      <c r="C83" s="1" t="n"/>
      <c r="D83" s="1" t="n"/>
      <c r="E83" s="1" t="n"/>
      <c r="F83" s="1" t="n"/>
      <c r="G83" s="1" t="n"/>
      <c r="H83" s="1" t="n"/>
      <c r="I83" s="2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9.5" customHeight="1" s="673">
      <c r="A84" s="1" t="n"/>
      <c r="B84" s="1" t="n"/>
      <c r="C84" s="1" t="n"/>
      <c r="D84" s="1" t="n"/>
      <c r="E84" s="1" t="n"/>
      <c r="F84" s="1" t="n"/>
      <c r="G84" s="1" t="n"/>
      <c r="H84" s="1" t="n"/>
      <c r="I84" s="2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9.5" customHeight="1" s="673">
      <c r="A85" s="1" t="n"/>
      <c r="B85" s="1" t="n"/>
      <c r="C85" s="1" t="n"/>
      <c r="D85" s="1" t="n"/>
      <c r="E85" s="1" t="n"/>
      <c r="F85" s="1" t="n"/>
      <c r="G85" s="1" t="n"/>
      <c r="H85" s="1" t="n"/>
      <c r="I85" s="2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9.5" customHeight="1" s="673">
      <c r="A86" s="1" t="n"/>
      <c r="B86" s="1" t="n"/>
      <c r="C86" s="1" t="n"/>
      <c r="D86" s="1" t="n"/>
      <c r="E86" s="1" t="n"/>
      <c r="F86" s="1" t="n"/>
      <c r="G86" s="1" t="n"/>
      <c r="H86" s="1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9.5" customHeight="1" s="673">
      <c r="A87" s="1" t="n"/>
      <c r="B87" s="1" t="n"/>
      <c r="C87" s="1" t="n"/>
      <c r="D87" s="1" t="n"/>
      <c r="E87" s="1" t="n"/>
      <c r="F87" s="1" t="n"/>
      <c r="G87" s="1" t="n"/>
      <c r="H87" s="1" t="n"/>
      <c r="I87" s="2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9.5" customHeight="1" s="673">
      <c r="A88" s="1" t="n"/>
      <c r="B88" s="1" t="n"/>
      <c r="C88" s="1" t="n"/>
      <c r="D88" s="1" t="n"/>
      <c r="E88" s="1" t="n"/>
      <c r="F88" s="1" t="n"/>
      <c r="G88" s="1" t="n"/>
      <c r="H88" s="1" t="n"/>
      <c r="I88" s="2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9.5" customHeight="1" s="673">
      <c r="A89" s="1" t="n"/>
      <c r="B89" s="1" t="n"/>
      <c r="C89" s="1" t="n"/>
      <c r="D89" s="1" t="n"/>
      <c r="E89" s="1" t="n"/>
      <c r="F89" s="1" t="n"/>
      <c r="G89" s="1" t="n"/>
      <c r="H89" s="1" t="n"/>
      <c r="I89" s="2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9.5" customHeight="1" s="673">
      <c r="A90" s="1" t="n"/>
      <c r="B90" s="1" t="n"/>
      <c r="C90" s="1" t="n"/>
      <c r="D90" s="1" t="n"/>
      <c r="E90" s="1" t="n"/>
      <c r="F90" s="1" t="n"/>
      <c r="G90" s="1" t="n"/>
      <c r="H90" s="1" t="n"/>
      <c r="I90" s="2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9.5" customHeight="1" s="673">
      <c r="A91" s="1" t="n"/>
      <c r="B91" s="1" t="n"/>
      <c r="C91" s="1" t="n"/>
      <c r="D91" s="1" t="n"/>
      <c r="E91" s="1" t="n"/>
      <c r="F91" s="1" t="n"/>
      <c r="G91" s="1" t="n"/>
      <c r="H91" s="1" t="n"/>
      <c r="I91" s="2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9.5" customHeight="1" s="673">
      <c r="A92" s="1" t="n"/>
      <c r="B92" s="1" t="n"/>
      <c r="C92" s="1" t="n"/>
      <c r="D92" s="1" t="n"/>
      <c r="E92" s="1" t="n"/>
      <c r="F92" s="1" t="n"/>
      <c r="G92" s="1" t="n"/>
      <c r="H92" s="1" t="n"/>
      <c r="I92" s="2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9.5" customHeight="1" s="673">
      <c r="A93" s="1" t="n"/>
      <c r="B93" s="1" t="n"/>
      <c r="C93" s="1" t="n"/>
      <c r="D93" s="1" t="n"/>
      <c r="E93" s="1" t="n"/>
      <c r="F93" s="1" t="n"/>
      <c r="G93" s="1" t="n"/>
      <c r="H93" s="1" t="n"/>
      <c r="I93" s="2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9.5" customHeight="1" s="673">
      <c r="A94" s="1" t="n"/>
      <c r="B94" s="1" t="n"/>
      <c r="C94" s="1" t="n"/>
      <c r="D94" s="1" t="n"/>
      <c r="E94" s="1" t="n"/>
      <c r="F94" s="1" t="n"/>
      <c r="G94" s="1" t="n"/>
      <c r="H94" s="1" t="n"/>
      <c r="I94" s="2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9.5" customHeight="1" s="673">
      <c r="A95" s="1" t="n"/>
      <c r="B95" s="1" t="n"/>
      <c r="C95" s="1" t="n"/>
      <c r="D95" s="1" t="n"/>
      <c r="E95" s="1" t="n"/>
      <c r="F95" s="1" t="n"/>
      <c r="G95" s="1" t="n"/>
      <c r="H95" s="1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9.5" customHeight="1" s="673">
      <c r="A96" s="1" t="n"/>
      <c r="B96" s="1" t="n"/>
      <c r="C96" s="1" t="n"/>
      <c r="D96" s="1" t="n"/>
      <c r="E96" s="1" t="n"/>
      <c r="F96" s="1" t="n"/>
      <c r="G96" s="1" t="n"/>
      <c r="H96" s="1" t="n"/>
      <c r="I96" s="2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9.5" customHeight="1" s="673">
      <c r="A97" s="1" t="n"/>
      <c r="B97" s="1" t="n"/>
      <c r="C97" s="1" t="n"/>
      <c r="D97" s="1" t="n"/>
      <c r="E97" s="1" t="n"/>
      <c r="F97" s="1" t="n"/>
      <c r="G97" s="1" t="n"/>
      <c r="H97" s="1" t="n"/>
      <c r="I97" s="2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9.5" customHeight="1" s="673">
      <c r="A98" s="1" t="n"/>
      <c r="B98" s="1" t="n"/>
      <c r="C98" s="1" t="n"/>
      <c r="D98" s="1" t="n"/>
      <c r="E98" s="1" t="n"/>
      <c r="F98" s="1" t="n"/>
      <c r="G98" s="1" t="n"/>
      <c r="H98" s="1" t="n"/>
      <c r="I98" s="2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9.5" customHeight="1" s="673">
      <c r="A99" s="1" t="n"/>
      <c r="B99" s="1" t="n"/>
      <c r="C99" s="1" t="n"/>
      <c r="D99" s="1" t="n"/>
      <c r="E99" s="1" t="n"/>
      <c r="F99" s="1" t="n"/>
      <c r="G99" s="1" t="n"/>
      <c r="H99" s="1" t="n"/>
      <c r="I99" s="2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9.5" customHeight="1" s="67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2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9.5" customHeight="1" s="67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2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9.5" customHeight="1" s="67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2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9.5" customHeight="1" s="67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2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9.5" customHeight="1" s="67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9.5" customHeight="1" s="67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2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9.5" customHeight="1" s="67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2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9.5" customHeight="1" s="67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2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9.5" customHeight="1" s="67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2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9.5" customHeight="1" s="67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2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9.5" customHeight="1" s="67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2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9.5" customHeight="1" s="67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2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9.5" customHeight="1" s="67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2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9.5" customHeight="1" s="67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9.5" customHeight="1" s="67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2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9.5" customHeight="1" s="67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2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9.5" customHeight="1" s="67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2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9.5" customHeight="1" s="67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2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9.5" customHeight="1" s="67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2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9.5" customHeight="1" s="67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2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9.5" customHeight="1" s="67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2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9.5" customHeight="1" s="67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2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9.5" customHeight="1" s="67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9.5" customHeight="1" s="67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2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9.5" customHeight="1" s="67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2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9.5" customHeight="1" s="67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2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9.5" customHeight="1" s="67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2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9.5" customHeight="1" s="67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2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9.5" customHeight="1" s="67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2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9.5" customHeight="1" s="67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2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9.5" customHeight="1" s="67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2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9.5" customHeight="1" s="67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9.5" customHeight="1" s="67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2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9.5" customHeight="1" s="67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2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9.5" customHeight="1" s="67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2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9.5" customHeight="1" s="67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2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9.5" customHeight="1" s="67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2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9.5" customHeight="1" s="67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2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9.5" customHeight="1" s="67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2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9.5" customHeight="1" s="67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2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9.5" customHeight="1" s="67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9.5" customHeight="1" s="67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2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9.5" customHeight="1" s="67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2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9.5" customHeight="1" s="67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2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9.5" customHeight="1" s="67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2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9.5" customHeight="1" s="67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2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9.5" customHeight="1" s="67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2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9.5" customHeight="1" s="67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2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9.5" customHeight="1" s="67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2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9.5" customHeight="1" s="67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2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9.5" customHeight="1" s="67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2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9.5" customHeight="1" s="67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2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9.5" customHeight="1" s="67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2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9.5" customHeight="1" s="67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2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9.5" customHeight="1" s="67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2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9.5" customHeight="1" s="67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2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9.5" customHeight="1" s="67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2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9.5" customHeight="1" s="67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2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9.5" customHeight="1" s="67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9.5" customHeight="1" s="67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2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9.5" customHeight="1" s="67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2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9.5" customHeight="1" s="67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2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9.5" customHeight="1" s="67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2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9.5" customHeight="1" s="67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2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9.5" customHeight="1" s="67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2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9.5" customHeight="1" s="67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2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9.5" customHeight="1" s="67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2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9.5" customHeight="1" s="67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9.5" customHeight="1" s="67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2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9.5" customHeight="1" s="67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2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9.5" customHeight="1" s="67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2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9.5" customHeight="1" s="67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2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9.5" customHeight="1" s="67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2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9.5" customHeight="1" s="6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2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9.5" customHeight="1" s="67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2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9.5" customHeight="1" s="67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2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9.5" customHeight="1" s="67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9.5" customHeight="1" s="67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2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9.5" customHeight="1" s="67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2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9.5" customHeight="1" s="67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2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9.5" customHeight="1" s="67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2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9.5" customHeight="1" s="67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2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9.5" customHeight="1" s="67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2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9.5" customHeight="1" s="67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2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9.5" customHeight="1" s="67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2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9.5" customHeight="1" s="67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9.5" customHeight="1" s="67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2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9.5" customHeight="1" s="67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2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9.5" customHeight="1" s="67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2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9.5" customHeight="1" s="67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2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9.5" customHeight="1" s="67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2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9.5" customHeight="1" s="67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2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9.5" customHeight="1" s="67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2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9.5" customHeight="1" s="67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2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9.5" customHeight="1" s="67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9.5" customHeight="1" s="67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2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9.5" customHeight="1" s="67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2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9.5" customHeight="1" s="67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2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9.5" customHeight="1" s="67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2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9.5" customHeight="1" s="67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2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9.5" customHeight="1" s="67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2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9.5" customHeight="1" s="67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2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9.5" customHeight="1" s="67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2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9.5" customHeight="1" s="67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9.5" customHeight="1" s="67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2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9.5" customHeight="1" s="67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2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9.5" customHeight="1" s="67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2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9.5" customHeight="1" s="67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2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9.5" customHeight="1" s="67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2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9.5" customHeight="1" s="67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2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9.5" customHeight="1" s="67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2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9.5" customHeight="1" s="67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2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9.5" customHeight="1" s="67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9.5" customHeight="1" s="67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2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9.5" customHeight="1" s="67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2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9.5" customHeight="1" s="67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2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9.5" customHeight="1" s="67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2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9.5" customHeight="1" s="67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2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9.5" customHeight="1" s="67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2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9.5" customHeight="1" s="67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2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9.5" customHeight="1" s="67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2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9.5" customHeight="1" s="67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9.5" customHeight="1" s="67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2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9.5" customHeight="1" s="67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2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9.5" customHeight="1" s="67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2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9.5" customHeight="1" s="67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2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9.5" customHeight="1" s="67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2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9.5" customHeight="1" s="67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2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9.5" customHeight="1" s="67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2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9.5" customHeight="1" s="67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2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9.5" customHeight="1" s="67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9.5" customHeight="1" s="67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2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9.5" customHeight="1" s="67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2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9.5" customHeight="1" s="67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2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9.5" customHeight="1" s="67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2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9.5" customHeight="1" s="67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2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9.5" customHeight="1" s="67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2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9.5" customHeight="1" s="67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2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9.5" customHeight="1" s="67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2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9.5" customHeight="1" s="67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9.5" customHeight="1" s="67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2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9.5" customHeight="1" s="67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2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9.5" customHeight="1" s="67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2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9.5" customHeight="1" s="67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2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9.5" customHeight="1" s="67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2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5.75" customHeight="1" s="673">
      <c r="A245" s="52" t="n"/>
      <c r="B245" s="52" t="n"/>
      <c r="C245" s="52" t="n"/>
      <c r="D245" s="52" t="n"/>
      <c r="E245" s="52" t="n"/>
      <c r="F245" s="52" t="n"/>
      <c r="G245" s="52" t="n"/>
      <c r="H245" s="52" t="n"/>
      <c r="I245" s="52" t="n"/>
      <c r="J245" s="52" t="n"/>
      <c r="K245" s="52" t="n"/>
      <c r="L245" s="52" t="n"/>
      <c r="M245" s="52" t="n"/>
      <c r="N245" s="52" t="n"/>
      <c r="O245" s="52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2" t="n"/>
      <c r="AA245" s="52" t="n"/>
    </row>
    <row r="246" ht="15.75" customHeight="1" s="673">
      <c r="A246" s="52" t="n"/>
      <c r="B246" s="52" t="n"/>
      <c r="C246" s="52" t="n"/>
      <c r="D246" s="52" t="n"/>
      <c r="E246" s="52" t="n"/>
      <c r="F246" s="52" t="n"/>
      <c r="G246" s="52" t="n"/>
      <c r="H246" s="52" t="n"/>
      <c r="I246" s="52" t="n"/>
      <c r="J246" s="52" t="n"/>
      <c r="K246" s="52" t="n"/>
      <c r="L246" s="52" t="n"/>
      <c r="M246" s="52" t="n"/>
      <c r="N246" s="52" t="n"/>
      <c r="O246" s="52" t="n"/>
      <c r="P246" s="52" t="n"/>
      <c r="Q246" s="52" t="n"/>
      <c r="R246" s="52" t="n"/>
      <c r="S246" s="52" t="n"/>
      <c r="T246" s="52" t="n"/>
      <c r="U246" s="52" t="n"/>
      <c r="V246" s="52" t="n"/>
      <c r="W246" s="52" t="n"/>
      <c r="X246" s="52" t="n"/>
      <c r="Y246" s="52" t="n"/>
      <c r="Z246" s="52" t="n"/>
      <c r="AA246" s="52" t="n"/>
    </row>
    <row r="247" ht="15.75" customHeight="1" s="673">
      <c r="A247" s="52" t="n"/>
      <c r="B247" s="52" t="n"/>
      <c r="C247" s="52" t="n"/>
      <c r="D247" s="52" t="n"/>
      <c r="E247" s="52" t="n"/>
      <c r="F247" s="52" t="n"/>
      <c r="G247" s="52" t="n"/>
      <c r="H247" s="52" t="n"/>
      <c r="I247" s="52" t="n"/>
      <c r="J247" s="52" t="n"/>
      <c r="K247" s="52" t="n"/>
      <c r="L247" s="52" t="n"/>
      <c r="M247" s="52" t="n"/>
      <c r="N247" s="52" t="n"/>
      <c r="O247" s="52" t="n"/>
      <c r="P247" s="52" t="n"/>
      <c r="Q247" s="52" t="n"/>
      <c r="R247" s="52" t="n"/>
      <c r="S247" s="52" t="n"/>
      <c r="T247" s="52" t="n"/>
      <c r="U247" s="52" t="n"/>
      <c r="V247" s="52" t="n"/>
      <c r="W247" s="52" t="n"/>
      <c r="X247" s="52" t="n"/>
      <c r="Y247" s="52" t="n"/>
      <c r="Z247" s="52" t="n"/>
      <c r="AA247" s="52" t="n"/>
    </row>
    <row r="248" ht="15.75" customHeight="1" s="673">
      <c r="A248" s="52" t="n"/>
      <c r="B248" s="52" t="n"/>
      <c r="C248" s="52" t="n"/>
      <c r="D248" s="52" t="n"/>
      <c r="E248" s="52" t="n"/>
      <c r="F248" s="52" t="n"/>
      <c r="G248" s="52" t="n"/>
      <c r="H248" s="52" t="n"/>
      <c r="I248" s="52" t="n"/>
      <c r="J248" s="52" t="n"/>
      <c r="K248" s="52" t="n"/>
      <c r="L248" s="52" t="n"/>
      <c r="M248" s="52" t="n"/>
      <c r="N248" s="52" t="n"/>
      <c r="O248" s="52" t="n"/>
      <c r="P248" s="52" t="n"/>
      <c r="Q248" s="52" t="n"/>
      <c r="R248" s="52" t="n"/>
      <c r="S248" s="52" t="n"/>
      <c r="T248" s="52" t="n"/>
      <c r="U248" s="52" t="n"/>
      <c r="V248" s="52" t="n"/>
      <c r="W248" s="52" t="n"/>
      <c r="X248" s="52" t="n"/>
      <c r="Y248" s="52" t="n"/>
      <c r="Z248" s="52" t="n"/>
      <c r="AA248" s="52" t="n"/>
    </row>
    <row r="249" ht="15.75" customHeight="1" s="673">
      <c r="A249" s="52" t="n"/>
      <c r="B249" s="52" t="n"/>
      <c r="C249" s="52" t="n"/>
      <c r="D249" s="52" t="n"/>
      <c r="E249" s="52" t="n"/>
      <c r="F249" s="52" t="n"/>
      <c r="G249" s="52" t="n"/>
      <c r="H249" s="52" t="n"/>
      <c r="I249" s="52" t="n"/>
      <c r="J249" s="52" t="n"/>
      <c r="K249" s="52" t="n"/>
      <c r="L249" s="52" t="n"/>
      <c r="M249" s="52" t="n"/>
      <c r="N249" s="52" t="n"/>
      <c r="O249" s="52" t="n"/>
      <c r="P249" s="52" t="n"/>
      <c r="Q249" s="52" t="n"/>
      <c r="R249" s="52" t="n"/>
      <c r="S249" s="52" t="n"/>
      <c r="T249" s="52" t="n"/>
      <c r="U249" s="52" t="n"/>
      <c r="V249" s="52" t="n"/>
      <c r="W249" s="52" t="n"/>
      <c r="X249" s="52" t="n"/>
      <c r="Y249" s="52" t="n"/>
      <c r="Z249" s="52" t="n"/>
      <c r="AA249" s="52" t="n"/>
    </row>
    <row r="250" ht="15.75" customHeight="1" s="673">
      <c r="A250" s="52" t="n"/>
      <c r="B250" s="52" t="n"/>
      <c r="C250" s="52" t="n"/>
      <c r="D250" s="52" t="n"/>
      <c r="E250" s="52" t="n"/>
      <c r="F250" s="52" t="n"/>
      <c r="G250" s="52" t="n"/>
      <c r="H250" s="52" t="n"/>
      <c r="I250" s="52" t="n"/>
      <c r="J250" s="52" t="n"/>
      <c r="K250" s="52" t="n"/>
      <c r="L250" s="52" t="n"/>
      <c r="M250" s="52" t="n"/>
      <c r="N250" s="52" t="n"/>
      <c r="O250" s="52" t="n"/>
      <c r="P250" s="52" t="n"/>
      <c r="Q250" s="52" t="n"/>
      <c r="R250" s="52" t="n"/>
      <c r="S250" s="52" t="n"/>
      <c r="T250" s="52" t="n"/>
      <c r="U250" s="52" t="n"/>
      <c r="V250" s="52" t="n"/>
      <c r="W250" s="52" t="n"/>
      <c r="X250" s="52" t="n"/>
      <c r="Y250" s="52" t="n"/>
      <c r="Z250" s="52" t="n"/>
      <c r="AA250" s="52" t="n"/>
    </row>
    <row r="251" ht="15.75" customHeight="1" s="673">
      <c r="A251" s="52" t="n"/>
      <c r="B251" s="52" t="n"/>
      <c r="C251" s="52" t="n"/>
      <c r="D251" s="52" t="n"/>
      <c r="E251" s="52" t="n"/>
      <c r="F251" s="52" t="n"/>
      <c r="G251" s="52" t="n"/>
      <c r="H251" s="52" t="n"/>
      <c r="I251" s="52" t="n"/>
      <c r="J251" s="52" t="n"/>
      <c r="K251" s="52" t="n"/>
      <c r="L251" s="52" t="n"/>
      <c r="M251" s="52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  <c r="X251" s="52" t="n"/>
      <c r="Y251" s="52" t="n"/>
      <c r="Z251" s="52" t="n"/>
      <c r="AA251" s="52" t="n"/>
    </row>
    <row r="252" ht="15.75" customHeight="1" s="673">
      <c r="A252" s="52" t="n"/>
      <c r="B252" s="52" t="n"/>
      <c r="C252" s="52" t="n"/>
      <c r="D252" s="52" t="n"/>
      <c r="E252" s="52" t="n"/>
      <c r="F252" s="52" t="n"/>
      <c r="G252" s="52" t="n"/>
      <c r="H252" s="52" t="n"/>
      <c r="I252" s="52" t="n"/>
      <c r="J252" s="52" t="n"/>
      <c r="K252" s="52" t="n"/>
      <c r="L252" s="52" t="n"/>
      <c r="M252" s="52" t="n"/>
      <c r="N252" s="52" t="n"/>
      <c r="O252" s="52" t="n"/>
      <c r="P252" s="52" t="n"/>
      <c r="Q252" s="52" t="n"/>
      <c r="R252" s="52" t="n"/>
      <c r="S252" s="52" t="n"/>
      <c r="T252" s="52" t="n"/>
      <c r="U252" s="52" t="n"/>
      <c r="V252" s="52" t="n"/>
      <c r="W252" s="52" t="n"/>
      <c r="X252" s="52" t="n"/>
      <c r="Y252" s="52" t="n"/>
      <c r="Z252" s="52" t="n"/>
      <c r="AA252" s="52" t="n"/>
    </row>
    <row r="253" ht="15.75" customHeight="1" s="673">
      <c r="A253" s="52" t="n"/>
      <c r="B253" s="52" t="n"/>
      <c r="C253" s="52" t="n"/>
      <c r="D253" s="52" t="n"/>
      <c r="E253" s="52" t="n"/>
      <c r="F253" s="52" t="n"/>
      <c r="G253" s="52" t="n"/>
      <c r="H253" s="52" t="n"/>
      <c r="I253" s="52" t="n"/>
      <c r="J253" s="52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  <c r="X253" s="52" t="n"/>
      <c r="Y253" s="52" t="n"/>
      <c r="Z253" s="52" t="n"/>
      <c r="AA253" s="52" t="n"/>
    </row>
    <row r="254" ht="15.75" customHeight="1" s="673">
      <c r="A254" s="52" t="n"/>
      <c r="B254" s="52" t="n"/>
      <c r="C254" s="52" t="n"/>
      <c r="D254" s="52" t="n"/>
      <c r="E254" s="52" t="n"/>
      <c r="F254" s="52" t="n"/>
      <c r="G254" s="52" t="n"/>
      <c r="H254" s="52" t="n"/>
      <c r="I254" s="52" t="n"/>
      <c r="J254" s="52" t="n"/>
      <c r="K254" s="52" t="n"/>
      <c r="L254" s="52" t="n"/>
      <c r="M254" s="52" t="n"/>
      <c r="N254" s="52" t="n"/>
      <c r="O254" s="52" t="n"/>
      <c r="P254" s="52" t="n"/>
      <c r="Q254" s="52" t="n"/>
      <c r="R254" s="52" t="n"/>
      <c r="S254" s="52" t="n"/>
      <c r="T254" s="52" t="n"/>
      <c r="U254" s="52" t="n"/>
      <c r="V254" s="52" t="n"/>
      <c r="W254" s="52" t="n"/>
      <c r="X254" s="52" t="n"/>
      <c r="Y254" s="52" t="n"/>
      <c r="Z254" s="52" t="n"/>
      <c r="AA254" s="52" t="n"/>
    </row>
    <row r="255" ht="15.75" customHeight="1" s="673">
      <c r="A255" s="52" t="n"/>
      <c r="B255" s="52" t="n"/>
      <c r="C255" s="52" t="n"/>
      <c r="D255" s="52" t="n"/>
      <c r="E255" s="52" t="n"/>
      <c r="F255" s="52" t="n"/>
      <c r="G255" s="52" t="n"/>
      <c r="H255" s="52" t="n"/>
      <c r="I255" s="52" t="n"/>
      <c r="J255" s="52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52" t="n"/>
      <c r="T255" s="52" t="n"/>
      <c r="U255" s="52" t="n"/>
      <c r="V255" s="52" t="n"/>
      <c r="W255" s="52" t="n"/>
      <c r="X255" s="52" t="n"/>
      <c r="Y255" s="52" t="n"/>
      <c r="Z255" s="52" t="n"/>
      <c r="AA255" s="52" t="n"/>
    </row>
    <row r="256" ht="15.75" customHeight="1" s="673">
      <c r="A256" s="52" t="n"/>
      <c r="B256" s="52" t="n"/>
      <c r="C256" s="52" t="n"/>
      <c r="D256" s="52" t="n"/>
      <c r="E256" s="52" t="n"/>
      <c r="F256" s="52" t="n"/>
      <c r="G256" s="52" t="n"/>
      <c r="H256" s="52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  <c r="X256" s="52" t="n"/>
      <c r="Y256" s="52" t="n"/>
      <c r="Z256" s="52" t="n"/>
      <c r="AA256" s="52" t="n"/>
    </row>
    <row r="257" ht="15.75" customHeight="1" s="673">
      <c r="A257" s="52" t="n"/>
      <c r="B257" s="52" t="n"/>
      <c r="C257" s="52" t="n"/>
      <c r="D257" s="52" t="n"/>
      <c r="E257" s="52" t="n"/>
      <c r="F257" s="52" t="n"/>
      <c r="G257" s="52" t="n"/>
      <c r="H257" s="52" t="n"/>
      <c r="I257" s="52" t="n"/>
      <c r="J257" s="52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  <c r="X257" s="52" t="n"/>
      <c r="Y257" s="52" t="n"/>
      <c r="Z257" s="52" t="n"/>
      <c r="AA257" s="52" t="n"/>
    </row>
    <row r="258" ht="15.75" customHeight="1" s="673">
      <c r="A258" s="52" t="n"/>
      <c r="B258" s="52" t="n"/>
      <c r="C258" s="52" t="n"/>
      <c r="D258" s="52" t="n"/>
      <c r="E258" s="52" t="n"/>
      <c r="F258" s="52" t="n"/>
      <c r="G258" s="52" t="n"/>
      <c r="H258" s="52" t="n"/>
      <c r="I258" s="52" t="n"/>
      <c r="J258" s="52" t="n"/>
      <c r="K258" s="52" t="n"/>
      <c r="L258" s="52" t="n"/>
      <c r="M258" s="52" t="n"/>
      <c r="N258" s="52" t="n"/>
      <c r="O258" s="52" t="n"/>
      <c r="P258" s="52" t="n"/>
      <c r="Q258" s="52" t="n"/>
      <c r="R258" s="52" t="n"/>
      <c r="S258" s="52" t="n"/>
      <c r="T258" s="52" t="n"/>
      <c r="U258" s="52" t="n"/>
      <c r="V258" s="52" t="n"/>
      <c r="W258" s="52" t="n"/>
      <c r="X258" s="52" t="n"/>
      <c r="Y258" s="52" t="n"/>
      <c r="Z258" s="52" t="n"/>
      <c r="AA258" s="52" t="n"/>
    </row>
    <row r="259" ht="15.75" customHeight="1" s="673">
      <c r="A259" s="52" t="n"/>
      <c r="B259" s="52" t="n"/>
      <c r="C259" s="52" t="n"/>
      <c r="D259" s="52" t="n"/>
      <c r="E259" s="52" t="n"/>
      <c r="F259" s="52" t="n"/>
      <c r="G259" s="52" t="n"/>
      <c r="H259" s="52" t="n"/>
      <c r="I259" s="52" t="n"/>
      <c r="J259" s="52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  <c r="X259" s="52" t="n"/>
      <c r="Y259" s="52" t="n"/>
      <c r="Z259" s="52" t="n"/>
      <c r="AA259" s="52" t="n"/>
    </row>
    <row r="260" ht="15.75" customHeight="1" s="673">
      <c r="A260" s="52" t="n"/>
      <c r="B260" s="52" t="n"/>
      <c r="C260" s="52" t="n"/>
      <c r="D260" s="52" t="n"/>
      <c r="E260" s="52" t="n"/>
      <c r="F260" s="52" t="n"/>
      <c r="G260" s="52" t="n"/>
      <c r="H260" s="52" t="n"/>
      <c r="I260" s="52" t="n"/>
      <c r="J260" s="52" t="n"/>
      <c r="K260" s="52" t="n"/>
      <c r="L260" s="52" t="n"/>
      <c r="M260" s="52" t="n"/>
      <c r="N260" s="52" t="n"/>
      <c r="O260" s="52" t="n"/>
      <c r="P260" s="52" t="n"/>
      <c r="Q260" s="52" t="n"/>
      <c r="R260" s="52" t="n"/>
      <c r="S260" s="52" t="n"/>
      <c r="T260" s="52" t="n"/>
      <c r="U260" s="52" t="n"/>
      <c r="V260" s="52" t="n"/>
      <c r="W260" s="52" t="n"/>
      <c r="X260" s="52" t="n"/>
      <c r="Y260" s="52" t="n"/>
      <c r="Z260" s="52" t="n"/>
      <c r="AA260" s="52" t="n"/>
    </row>
    <row r="261" ht="15.75" customHeight="1" s="673">
      <c r="A261" s="52" t="n"/>
      <c r="B261" s="52" t="n"/>
      <c r="C261" s="52" t="n"/>
      <c r="D261" s="52" t="n"/>
      <c r="E261" s="52" t="n"/>
      <c r="F261" s="52" t="n"/>
      <c r="G261" s="52" t="n"/>
      <c r="H261" s="52" t="n"/>
      <c r="I261" s="52" t="n"/>
      <c r="J261" s="52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  <c r="X261" s="52" t="n"/>
      <c r="Y261" s="52" t="n"/>
      <c r="Z261" s="52" t="n"/>
      <c r="AA261" s="52" t="n"/>
    </row>
    <row r="262" ht="15.75" customHeight="1" s="673">
      <c r="A262" s="52" t="n"/>
      <c r="B262" s="52" t="n"/>
      <c r="C262" s="52" t="n"/>
      <c r="D262" s="52" t="n"/>
      <c r="E262" s="52" t="n"/>
      <c r="F262" s="52" t="n"/>
      <c r="G262" s="52" t="n"/>
      <c r="H262" s="52" t="n"/>
      <c r="I262" s="52" t="n"/>
      <c r="J262" s="52" t="n"/>
      <c r="K262" s="52" t="n"/>
      <c r="L262" s="52" t="n"/>
      <c r="M262" s="52" t="n"/>
      <c r="N262" s="52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  <c r="X262" s="52" t="n"/>
      <c r="Y262" s="52" t="n"/>
      <c r="Z262" s="52" t="n"/>
      <c r="AA262" s="52" t="n"/>
    </row>
    <row r="263" ht="15.75" customHeight="1" s="673">
      <c r="A263" s="52" t="n"/>
      <c r="B263" s="52" t="n"/>
      <c r="C263" s="52" t="n"/>
      <c r="D263" s="52" t="n"/>
      <c r="E263" s="52" t="n"/>
      <c r="F263" s="52" t="n"/>
      <c r="G263" s="52" t="n"/>
      <c r="H263" s="52" t="n"/>
      <c r="I263" s="52" t="n"/>
      <c r="J263" s="52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  <c r="X263" s="52" t="n"/>
      <c r="Y263" s="52" t="n"/>
      <c r="Z263" s="52" t="n"/>
      <c r="AA263" s="52" t="n"/>
    </row>
    <row r="264" ht="15.75" customHeight="1" s="673">
      <c r="A264" s="52" t="n"/>
      <c r="B264" s="52" t="n"/>
      <c r="C264" s="52" t="n"/>
      <c r="D264" s="52" t="n"/>
      <c r="E264" s="52" t="n"/>
      <c r="F264" s="52" t="n"/>
      <c r="G264" s="52" t="n"/>
      <c r="H264" s="52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  <c r="X264" s="52" t="n"/>
      <c r="Y264" s="52" t="n"/>
      <c r="Z264" s="52" t="n"/>
      <c r="AA264" s="52" t="n"/>
    </row>
    <row r="265" ht="15.75" customHeight="1" s="673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  <c r="Z265" s="52" t="n"/>
      <c r="AA265" s="52" t="n"/>
    </row>
    <row r="266" ht="15.75" customHeight="1" s="673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  <c r="AA266" s="52" t="n"/>
    </row>
    <row r="267" ht="15.75" customHeight="1" s="673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  <c r="AA267" s="52" t="n"/>
    </row>
    <row r="268" ht="15.75" customHeight="1" s="673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  <c r="AA268" s="52" t="n"/>
    </row>
    <row r="269" ht="15.75" customHeight="1" s="673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  <c r="AA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  <c r="AA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  <c r="AA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  <c r="AA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  <c r="AA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  <c r="AA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  <c r="AA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  <c r="AA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  <c r="AA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  <c r="AA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  <c r="AA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  <c r="AA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  <c r="AA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  <c r="AA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  <c r="AA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  <c r="AA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  <c r="AA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  <c r="AA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  <c r="AA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  <c r="AA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  <c r="AA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  <c r="AA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  <c r="AA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  <c r="AA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  <c r="AA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  <c r="AA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  <c r="AA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  <c r="AA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  <c r="AA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  <c r="AA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  <c r="AA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  <c r="AA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  <c r="AA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  <c r="AA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  <c r="AA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  <c r="AA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  <c r="AA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  <c r="AA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  <c r="AA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  <c r="AA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  <c r="AA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  <c r="AA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  <c r="AA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  <c r="AA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  <c r="AA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  <c r="AA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  <c r="AA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  <c r="AA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  <c r="AA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  <c r="AA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  <c r="AA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  <c r="AA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  <c r="AA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  <c r="AA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  <c r="AA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  <c r="AA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  <c r="AA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  <c r="AA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  <c r="AA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  <c r="AA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  <c r="AA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  <c r="AA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  <c r="AA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  <c r="AA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  <c r="AA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  <c r="AA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  <c r="AA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  <c r="AA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  <c r="AA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  <c r="AA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  <c r="AA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  <c r="AA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  <c r="AA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  <c r="AA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  <c r="AA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  <c r="AA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  <c r="AA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  <c r="AA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  <c r="AA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  <c r="AA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  <c r="AA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  <c r="AA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  <c r="AA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  <c r="AA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  <c r="AA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  <c r="AA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  <c r="AA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  <c r="AA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  <c r="AA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  <c r="AA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  <c r="AA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  <c r="AA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  <c r="AA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  <c r="AA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  <c r="AA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  <c r="AA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  <c r="AA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  <c r="AA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  <c r="AA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  <c r="AA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  <c r="AA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  <c r="AA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  <c r="AA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  <c r="AA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  <c r="AA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  <c r="AA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  <c r="AA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  <c r="AA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  <c r="AA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  <c r="AA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  <c r="AA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  <c r="AA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  <c r="AA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  <c r="AA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  <c r="AA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  <c r="AA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  <c r="AA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  <c r="AA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  <c r="AA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  <c r="AA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  <c r="AA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  <c r="AA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  <c r="AA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  <c r="AA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  <c r="AA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  <c r="AA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  <c r="AA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  <c r="AA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  <c r="AA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  <c r="AA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  <c r="AA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  <c r="AA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  <c r="AA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  <c r="AA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  <c r="AA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  <c r="AA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  <c r="AA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  <c r="AA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  <c r="AA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  <c r="AA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  <c r="AA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  <c r="AA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  <c r="AA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  <c r="AA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  <c r="AA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  <c r="AA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  <c r="AA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  <c r="AA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  <c r="AA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  <c r="AA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  <c r="AA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  <c r="AA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  <c r="AA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  <c r="AA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  <c r="AA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  <c r="AA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  <c r="AA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  <c r="AA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  <c r="AA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  <c r="AA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  <c r="AA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  <c r="AA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  <c r="AA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  <c r="AA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  <c r="AA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  <c r="AA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  <c r="AA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  <c r="AA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  <c r="AA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  <c r="AA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  <c r="AA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  <c r="AA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  <c r="AA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  <c r="AA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  <c r="AA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  <c r="AA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  <c r="AA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  <c r="AA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  <c r="AA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  <c r="AA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  <c r="AA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  <c r="AA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  <c r="AA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  <c r="AA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  <c r="AA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  <c r="AA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  <c r="AA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  <c r="AA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  <c r="AA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  <c r="AA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  <c r="AA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  <c r="AA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  <c r="AA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  <c r="AA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  <c r="AA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  <c r="AA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  <c r="AA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  <c r="AA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  <c r="AA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  <c r="AA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  <c r="AA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  <c r="AA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  <c r="AA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  <c r="AA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  <c r="AA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  <c r="AA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  <c r="AA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  <c r="AA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  <c r="AA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  <c r="AA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  <c r="AA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  <c r="AA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  <c r="AA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  <c r="AA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  <c r="AA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  <c r="AA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  <c r="AA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  <c r="AA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  <c r="AA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  <c r="AA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  <c r="AA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  <c r="AA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  <c r="AA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  <c r="AA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  <c r="AA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  <c r="AA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  <c r="AA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  <c r="AA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  <c r="AA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  <c r="AA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  <c r="AA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  <c r="AA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  <c r="AA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  <c r="AA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  <c r="AA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  <c r="AA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  <c r="AA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  <c r="AA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  <c r="AA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  <c r="AA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  <c r="AA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  <c r="AA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  <c r="AA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  <c r="AA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  <c r="AA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  <c r="AA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  <c r="AA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  <c r="AA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  <c r="AA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  <c r="AA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  <c r="AA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  <c r="AA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  <c r="AA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  <c r="AA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  <c r="AA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  <c r="AA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  <c r="AA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  <c r="AA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  <c r="AA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  <c r="AA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  <c r="AA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  <c r="AA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  <c r="AA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  <c r="AA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  <c r="AA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  <c r="AA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  <c r="AA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  <c r="AA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  <c r="AA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  <c r="AA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  <c r="AA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  <c r="AA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  <c r="AA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  <c r="AA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  <c r="AA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  <c r="AA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  <c r="AA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  <c r="AA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  <c r="AA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  <c r="AA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  <c r="AA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  <c r="AA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  <c r="AA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  <c r="AA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  <c r="AA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  <c r="AA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  <c r="AA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  <c r="AA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  <c r="AA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  <c r="AA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  <c r="AA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  <c r="AA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  <c r="AA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  <c r="AA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  <c r="AA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  <c r="AA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  <c r="AA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  <c r="AA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  <c r="AA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  <c r="AA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  <c r="AA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  <c r="AA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  <c r="AA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  <c r="AA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  <c r="AA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  <c r="AA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  <c r="AA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  <c r="AA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  <c r="AA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  <c r="AA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  <c r="AA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  <c r="AA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  <c r="AA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  <c r="AA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  <c r="AA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  <c r="AA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  <c r="AA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  <c r="AA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  <c r="AA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  <c r="AA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  <c r="AA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  <c r="AA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  <c r="AA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  <c r="AA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  <c r="AA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  <c r="AA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  <c r="AA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  <c r="AA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  <c r="AA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  <c r="AA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  <c r="AA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  <c r="AA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  <c r="AA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  <c r="AA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  <c r="AA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  <c r="AA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  <c r="AA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  <c r="AA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  <c r="AA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  <c r="AA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  <c r="AA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  <c r="AA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  <c r="AA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  <c r="AA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  <c r="AA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  <c r="AA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  <c r="AA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  <c r="AA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  <c r="AA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  <c r="AA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  <c r="AA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  <c r="AA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  <c r="AA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  <c r="AA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  <c r="AA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  <c r="AA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  <c r="AA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  <c r="AA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  <c r="AA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  <c r="AA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  <c r="AA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  <c r="AA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  <c r="AA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  <c r="AA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  <c r="AA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  <c r="AA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  <c r="AA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  <c r="AA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  <c r="AA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  <c r="AA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  <c r="AA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  <c r="AA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  <c r="AA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  <c r="AA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  <c r="AA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  <c r="AA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  <c r="AA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  <c r="AA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  <c r="AA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  <c r="AA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  <c r="AA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  <c r="AA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  <c r="AA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  <c r="AA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  <c r="AA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  <c r="AA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  <c r="AA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  <c r="AA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  <c r="AA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  <c r="AA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  <c r="AA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  <c r="AA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  <c r="AA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  <c r="AA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  <c r="AA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  <c r="AA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  <c r="AA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  <c r="AA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  <c r="AA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  <c r="AA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  <c r="AA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  <c r="AA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  <c r="AA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  <c r="AA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  <c r="AA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  <c r="AA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  <c r="AA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  <c r="AA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  <c r="AA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  <c r="AA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  <c r="AA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  <c r="AA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  <c r="AA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  <c r="AA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  <c r="AA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  <c r="AA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  <c r="AA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  <c r="AA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  <c r="AA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  <c r="AA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  <c r="AA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  <c r="AA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  <c r="AA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  <c r="AA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  <c r="AA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  <c r="AA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  <c r="AA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  <c r="AA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  <c r="AA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  <c r="AA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  <c r="AA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  <c r="AA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  <c r="AA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  <c r="AA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  <c r="AA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  <c r="AA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  <c r="AA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  <c r="AA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  <c r="AA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  <c r="AA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  <c r="AA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  <c r="AA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  <c r="AA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  <c r="AA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  <c r="AA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  <c r="AA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  <c r="AA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  <c r="AA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  <c r="AA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  <c r="AA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  <c r="AA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  <c r="AA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  <c r="AA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  <c r="AA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  <c r="AA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  <c r="AA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  <c r="AA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  <c r="AA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  <c r="AA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  <c r="AA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  <c r="AA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  <c r="AA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  <c r="AA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  <c r="AA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  <c r="AA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  <c r="AA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  <c r="AA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  <c r="AA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  <c r="AA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  <c r="AA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  <c r="AA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  <c r="AA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  <c r="AA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  <c r="AA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  <c r="AA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  <c r="AA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  <c r="AA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  <c r="AA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  <c r="AA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  <c r="AA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  <c r="AA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  <c r="AA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  <c r="AA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  <c r="AA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  <c r="AA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  <c r="AA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  <c r="AA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  <c r="AA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  <c r="AA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  <c r="AA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  <c r="AA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  <c r="AA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  <c r="AA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  <c r="AA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  <c r="AA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  <c r="AA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  <c r="AA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  <c r="AA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  <c r="AA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  <c r="AA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  <c r="AA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  <c r="AA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  <c r="AA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  <c r="AA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  <c r="AA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  <c r="AA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  <c r="AA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  <c r="AA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  <c r="AA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  <c r="AA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  <c r="AA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  <c r="AA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  <c r="AA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  <c r="AA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  <c r="AA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  <c r="AA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  <c r="AA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  <c r="AA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  <c r="AA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  <c r="AA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  <c r="AA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  <c r="AA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  <c r="AA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  <c r="AA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  <c r="AA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  <c r="AA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  <c r="AA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  <c r="AA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  <c r="AA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  <c r="AA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  <c r="AA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  <c r="AA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  <c r="AA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  <c r="AA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  <c r="AA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  <c r="AA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  <c r="AA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  <c r="AA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  <c r="AA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  <c r="AA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  <c r="AA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  <c r="AA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  <c r="AA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  <c r="AA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  <c r="AA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  <c r="AA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  <c r="AA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  <c r="AA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  <c r="AA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  <c r="AA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  <c r="AA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  <c r="AA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  <c r="AA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  <c r="AA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  <c r="AA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  <c r="AA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  <c r="AA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  <c r="AA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  <c r="AA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  <c r="AA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  <c r="AA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  <c r="AA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  <c r="AA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  <c r="AA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  <c r="AA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  <c r="AA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  <c r="AA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  <c r="AA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  <c r="AA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  <c r="AA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  <c r="AA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  <c r="AA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  <c r="AA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  <c r="AA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  <c r="AA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  <c r="AA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  <c r="AA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  <c r="AA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  <c r="AA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  <c r="AA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  <c r="AA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  <c r="AA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  <c r="AA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  <c r="AA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  <c r="AA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  <c r="AA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  <c r="AA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  <c r="AA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  <c r="AA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  <c r="AA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  <c r="AA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  <c r="AA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  <c r="AA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  <c r="AA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  <c r="AA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  <c r="AA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  <c r="AA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  <c r="AA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  <c r="AA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  <c r="AA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  <c r="AA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  <c r="AA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  <c r="AA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  <c r="AA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  <c r="AA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  <c r="AA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  <c r="AA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  <c r="AA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  <c r="AA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  <c r="AA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  <c r="AA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  <c r="AA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  <c r="AA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  <c r="AA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  <c r="AA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  <c r="AA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  <c r="AA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  <c r="AA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  <c r="AA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  <c r="AA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  <c r="AA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  <c r="AA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  <c r="AA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  <c r="AA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  <c r="AA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  <c r="AA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  <c r="AA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  <c r="AA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  <c r="AA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  <c r="AA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  <c r="AA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  <c r="AA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  <c r="AA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  <c r="AA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  <c r="AA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  <c r="AA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  <c r="AA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  <c r="AA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  <c r="AA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  <c r="AA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  <c r="AA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  <c r="AA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  <c r="AA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  <c r="AA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  <c r="AA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  <c r="AA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  <c r="AA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  <c r="AA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  <c r="AA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  <c r="AA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  <c r="AA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  <c r="AA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  <c r="AA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  <c r="AA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  <c r="AA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  <c r="AA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  <c r="AA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  <c r="AA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  <c r="AA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  <c r="AA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  <c r="AA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  <c r="AA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  <c r="AA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  <c r="AA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  <c r="AA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  <c r="AA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  <c r="AA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  <c r="AA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  <c r="AA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  <c r="AA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  <c r="AA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  <c r="AA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  <c r="AA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  <c r="AA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  <c r="AA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  <c r="AA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  <c r="AA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  <c r="AA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  <c r="AA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  <c r="AA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  <c r="AA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  <c r="AA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  <c r="AA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  <c r="AA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  <c r="AA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  <c r="AA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  <c r="AA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  <c r="AA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  <c r="AA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  <c r="AA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  <c r="AA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  <c r="AA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  <c r="AA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  <c r="AA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  <c r="AA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  <c r="AA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  <c r="AA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  <c r="AA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  <c r="AA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  <c r="AA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  <c r="AA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  <c r="AA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  <c r="AA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  <c r="AA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  <c r="AA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  <c r="AA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  <c r="AA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  <c r="AA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  <c r="AA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  <c r="AA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  <c r="AA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  <c r="AA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  <c r="AA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  <c r="AA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  <c r="AA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  <c r="AA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  <c r="AA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  <c r="AA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  <c r="AA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  <c r="AA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  <c r="AA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  <c r="AA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  <c r="AA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  <c r="AA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  <c r="AA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  <c r="AA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  <c r="AA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  <c r="AA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  <c r="AA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  <c r="AA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  <c r="AA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  <c r="AA1000" s="52" t="n"/>
    </row>
  </sheetData>
  <mergeCells count="4">
    <mergeCell ref="D2:F2"/>
    <mergeCell ref="B4:F4"/>
    <mergeCell ref="B21:F21"/>
    <mergeCell ref="B22:F22"/>
  </mergeCells>
  <hyperlinks>
    <hyperlink xmlns:r="http://schemas.openxmlformats.org/officeDocument/2006/relationships" ref="D2" r:id="rId1"/>
  </hyperlinks>
  <printOptions horizontalCentered="1"/>
  <pageMargins left="0.3937007874015748" right="0.3937007874015748" top="1.99" bottom="0.5905511811023623" header="0" footer="0"/>
  <pageSetup orientation="portrait" paperSize="9" scale="89"/>
  <headerFooter>
    <oddHeader>&amp;L BANCO      DE  DADOS&amp;R CALCIR  2016</oddHeader>
    <oddFooter>&amp;Cwww.safrasecifras.com.br  (53) 3227-1010&amp;R&amp;D &amp;T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496F90"/>
    <outlinePr summaryBelow="1" summaryRight="1"/>
    <pageSetUpPr fitToPage="1"/>
  </sheetPr>
  <dimension ref="A1:AA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.13" customWidth="1" style="673" min="1" max="1"/>
    <col width="32.75" customWidth="1" style="673" min="2" max="2"/>
    <col width="15.13" customWidth="1" style="673" min="3" max="3"/>
    <col width="30.38" customWidth="1" style="673" min="4" max="4"/>
    <col width="13.25" customWidth="1" style="673" min="5" max="5"/>
    <col width="15.75" customWidth="1" style="673" min="6" max="6"/>
    <col width="31.13" customWidth="1" style="673" min="7" max="7"/>
    <col width="36.25" customWidth="1" style="673" min="8" max="8"/>
    <col width="20.13" customWidth="1" style="673" min="9" max="9"/>
    <col width="2.38" customWidth="1" style="673" min="10" max="10"/>
    <col width="8.630000000000001" customWidth="1" style="673" min="11" max="27"/>
  </cols>
  <sheetData>
    <row r="1" hidden="1" s="673">
      <c r="A1" s="52" t="n"/>
      <c r="B1" s="52" t="n"/>
      <c r="C1" s="65" t="inlineStr">
        <is>
          <t xml:space="preserve">FAVOR NÃO EDITAR ESSE CAMPO </t>
        </is>
      </c>
      <c r="D1" s="675" t="n"/>
      <c r="E1" s="675" t="n"/>
      <c r="F1" s="675" t="n"/>
      <c r="G1" s="675" t="n"/>
      <c r="H1" s="67" t="n"/>
      <c r="I1" s="52" t="n"/>
      <c r="J1" s="68" t="n"/>
      <c r="K1" s="52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</row>
    <row r="2" hidden="1" s="673">
      <c r="A2" s="52" t="n"/>
      <c r="B2" s="52" t="n"/>
      <c r="C2" s="70" t="inlineStr">
        <is>
          <t>Descrição</t>
        </is>
      </c>
      <c r="D2" s="70" t="inlineStr">
        <is>
          <t>Realizado</t>
        </is>
      </c>
      <c r="E2" s="70" t="n"/>
      <c r="F2" s="70" t="n"/>
      <c r="G2" s="70" t="inlineStr">
        <is>
          <t>Projetado</t>
        </is>
      </c>
      <c r="H2" s="67" t="n"/>
      <c r="I2" s="52" t="n"/>
      <c r="J2" s="68" t="n"/>
      <c r="K2" s="52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  <c r="Z2" s="69" t="n"/>
      <c r="AA2" s="69" t="n"/>
    </row>
    <row r="3" hidden="1" s="673">
      <c r="A3" s="52" t="n"/>
      <c r="B3" s="52" t="n"/>
      <c r="C3" s="71" t="inlineStr">
        <is>
          <t>Receitas PF</t>
        </is>
      </c>
      <c r="D3" s="72">
        <f>G63</f>
        <v/>
      </c>
      <c r="E3" s="72" t="n"/>
      <c r="F3" s="72" t="n"/>
      <c r="G3" s="72">
        <f>H63</f>
        <v/>
      </c>
      <c r="H3" s="67" t="n"/>
      <c r="I3" s="52" t="n"/>
      <c r="J3" s="68" t="n"/>
      <c r="K3" s="52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  <c r="AA3" s="69" t="n"/>
    </row>
    <row r="4" hidden="1" s="673">
      <c r="A4" s="52" t="n"/>
      <c r="B4" s="67" t="n"/>
      <c r="C4" s="71" t="inlineStr">
        <is>
          <t>Receitas PJ</t>
        </is>
      </c>
      <c r="D4" s="72">
        <f>G64</f>
        <v/>
      </c>
      <c r="E4" s="72" t="n"/>
      <c r="F4" s="72" t="n"/>
      <c r="G4" s="72">
        <f>H64</f>
        <v/>
      </c>
      <c r="H4" s="67" t="n"/>
      <c r="I4" s="67" t="n"/>
      <c r="J4" s="68" t="n"/>
      <c r="K4" s="52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  <c r="AA4" s="69" t="n"/>
    </row>
    <row r="5" hidden="1" s="673">
      <c r="A5" s="52" t="n"/>
      <c r="B5" s="67" t="n"/>
      <c r="C5" s="67" t="n"/>
      <c r="D5" s="67" t="n"/>
      <c r="E5" s="67" t="n"/>
      <c r="F5" s="67" t="n"/>
      <c r="G5" s="67" t="n"/>
      <c r="H5" s="67" t="n"/>
      <c r="I5" s="67" t="n"/>
      <c r="J5" s="68" t="n"/>
      <c r="K5" s="52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  <c r="AA5" s="69" t="n"/>
    </row>
    <row r="6" hidden="1" s="673">
      <c r="A6" s="52" t="n"/>
      <c r="B6" s="52" t="n"/>
      <c r="C6" s="52" t="n"/>
      <c r="D6" s="52" t="n"/>
      <c r="E6" s="52" t="n"/>
      <c r="F6" s="52" t="n"/>
      <c r="G6" s="52" t="n"/>
      <c r="H6" s="52" t="n"/>
      <c r="I6" s="52" t="n"/>
      <c r="J6" s="68" t="n"/>
      <c r="K6" s="52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</row>
    <row r="7" hidden="1" s="673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  <c r="J7" s="68" t="n"/>
      <c r="K7" s="52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  <c r="AA7" s="69" t="n"/>
    </row>
    <row r="8" hidden="1" s="673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68" t="n"/>
      <c r="K8" s="52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  <c r="AA8" s="69" t="n"/>
    </row>
    <row r="9" hidden="1" s="673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68" t="n"/>
      <c r="K9" s="52" t="n"/>
      <c r="L9" s="69" t="n"/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69" t="n"/>
      <c r="AA9" s="69" t="n"/>
    </row>
    <row r="10" hidden="1" s="673">
      <c r="A10" s="52" t="n"/>
      <c r="B10" s="52" t="n"/>
      <c r="C10" s="52" t="n"/>
      <c r="D10" s="52" t="n"/>
      <c r="E10" s="52" t="n"/>
      <c r="F10" s="52" t="n"/>
      <c r="G10" s="10" t="inlineStr">
        <is>
          <t> </t>
        </is>
      </c>
      <c r="H10" s="52" t="n"/>
      <c r="I10" s="52" t="n"/>
      <c r="J10" s="68" t="n"/>
      <c r="K10" s="52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  <c r="AA10" s="69" t="n"/>
    </row>
    <row r="11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68" t="n"/>
      <c r="K11" s="52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</row>
    <row r="12">
      <c r="A12" s="69" t="n"/>
      <c r="B12" s="73" t="inlineStr">
        <is>
          <t>CALCIR - RECEITAS</t>
        </is>
      </c>
      <c r="C12" s="73" t="n"/>
      <c r="D12" s="73" t="n"/>
      <c r="E12" s="73" t="n"/>
      <c r="F12" s="73" t="n"/>
      <c r="G12" s="73" t="n"/>
      <c r="H12" s="74" t="n"/>
      <c r="I12" s="73">
        <f>YEAR(H14)</f>
        <v/>
      </c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69" t="n"/>
      <c r="U12" s="69" t="n"/>
      <c r="V12" s="69" t="n"/>
      <c r="W12" s="69" t="n"/>
      <c r="X12" s="69" t="n"/>
      <c r="Y12" s="69" t="n"/>
      <c r="Z12" s="69" t="n"/>
      <c r="AA12" s="69" t="n"/>
    </row>
    <row r="13">
      <c r="A13" s="69" t="n"/>
      <c r="B13" s="76" t="inlineStr">
        <is>
          <t>#</t>
        </is>
      </c>
      <c r="C13" s="76" t="n"/>
      <c r="D13" s="77" t="n"/>
      <c r="E13" s="78" t="n"/>
      <c r="F13" s="79" t="n"/>
      <c r="G13" s="80" t="inlineStr">
        <is>
          <t>FUNRURAL PJ</t>
        </is>
      </c>
      <c r="H13" s="81" t="inlineStr">
        <is>
          <t>Período Inicial</t>
        </is>
      </c>
      <c r="I13" s="82" t="inlineStr">
        <is>
          <t>Período Final</t>
        </is>
      </c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69" t="n"/>
      <c r="U13" s="69" t="n"/>
      <c r="V13" s="69" t="n"/>
      <c r="W13" s="69" t="n"/>
      <c r="X13" s="69" t="n"/>
      <c r="Y13" s="69" t="n"/>
      <c r="Z13" s="69" t="n"/>
      <c r="AA13" s="69" t="n"/>
    </row>
    <row r="14">
      <c r="A14" s="83" t="n"/>
      <c r="B14" s="84" t="n"/>
      <c r="C14" s="84" t="n"/>
      <c r="D14" s="85" t="n"/>
      <c r="E14" s="85" t="n"/>
      <c r="F14" s="85" t="n"/>
      <c r="G14" s="86" t="inlineStr">
        <is>
          <t>FATURAMENTO</t>
        </is>
      </c>
      <c r="H14" s="87" t="n">
        <v>46023</v>
      </c>
      <c r="I14" s="87">
        <f>(CONCATENATE("31/12/",RIGHT(H14,4)))</f>
        <v/>
      </c>
      <c r="J14" s="88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69" t="n"/>
      <c r="U14" s="69" t="n"/>
      <c r="V14" s="69" t="n"/>
      <c r="W14" s="69" t="n"/>
      <c r="X14" s="69" t="n"/>
      <c r="Y14" s="69" t="n"/>
      <c r="Z14" s="69" t="n"/>
      <c r="AA14" s="69" t="n"/>
    </row>
    <row r="15">
      <c r="A15" s="83" t="n"/>
      <c r="B15" s="89" t="n"/>
      <c r="C15" s="90" t="n"/>
      <c r="D15" s="89" t="n"/>
      <c r="E15" s="89" t="n"/>
      <c r="F15" s="89" t="n"/>
      <c r="G15" s="89" t="n"/>
      <c r="H15" s="89" t="n"/>
      <c r="I15" s="89" t="n"/>
      <c r="J15" s="88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69" t="n"/>
      <c r="U15" s="69" t="n"/>
      <c r="V15" s="69" t="n"/>
      <c r="W15" s="69" t="n"/>
      <c r="X15" s="69" t="n"/>
      <c r="Y15" s="69" t="n"/>
      <c r="Z15" s="69" t="n"/>
      <c r="AA15" s="69" t="n"/>
    </row>
    <row r="16">
      <c r="A16" s="52" t="n"/>
      <c r="B16" s="91" t="inlineStr">
        <is>
          <t>PROJEÇÕES RECEITAS</t>
        </is>
      </c>
      <c r="C16" s="92" t="inlineStr">
        <is>
          <t>OBSERVAÇÕES</t>
        </is>
      </c>
      <c r="D16" s="92" t="inlineStr">
        <is>
          <t>PJ OU PF</t>
        </is>
      </c>
      <c r="E16" s="92" t="inlineStr">
        <is>
          <t>PIS/COFINS</t>
        </is>
      </c>
      <c r="F16" s="92" t="inlineStr">
        <is>
          <t>MÊS</t>
        </is>
      </c>
      <c r="G16" s="92" t="inlineStr">
        <is>
          <t>QUANTIDADE</t>
        </is>
      </c>
      <c r="H16" s="92" t="inlineStr">
        <is>
          <t>VALOR UNITÁRIO</t>
        </is>
      </c>
      <c r="I16" s="92" t="inlineStr">
        <is>
          <t>PROJETADO TOTAL</t>
        </is>
      </c>
      <c r="J16" s="88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69" t="n"/>
      <c r="U16" s="69" t="n"/>
      <c r="V16" s="69" t="n"/>
      <c r="W16" s="69" t="n"/>
      <c r="X16" s="69" t="n"/>
      <c r="Y16" s="69" t="n"/>
      <c r="Z16" s="69" t="n"/>
      <c r="AA16" s="69" t="n"/>
    </row>
    <row r="17">
      <c r="A17" s="52" t="n"/>
      <c r="B17" s="93" t="inlineStr">
        <is>
          <t>SOJA</t>
        </is>
      </c>
      <c r="C17" s="94" t="n"/>
      <c r="D17" s="94" t="inlineStr">
        <is>
          <t>PJ</t>
        </is>
      </c>
      <c r="E17" s="94" t="inlineStr">
        <is>
          <t>NÃO</t>
        </is>
      </c>
      <c r="F17" s="94" t="inlineStr">
        <is>
          <t>Jan</t>
        </is>
      </c>
      <c r="G17" s="95" t="n">
        <v>100000</v>
      </c>
      <c r="H17" s="96" t="n">
        <v>110</v>
      </c>
      <c r="I17" s="97">
        <f>IF(G17*H17=0,"",G17*H17)</f>
        <v/>
      </c>
      <c r="J17" s="88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69" t="n"/>
      <c r="U17" s="69" t="n"/>
      <c r="V17" s="69" t="n"/>
      <c r="W17" s="69" t="n"/>
      <c r="X17" s="69" t="n"/>
      <c r="Y17" s="69" t="n"/>
      <c r="Z17" s="69" t="n"/>
      <c r="AA17" s="69" t="n"/>
    </row>
    <row r="18">
      <c r="A18" s="52" t="n"/>
      <c r="B18" s="93" t="n"/>
      <c r="C18" s="94" t="n"/>
      <c r="D18" s="94" t="n"/>
      <c r="E18" s="94" t="n"/>
      <c r="F18" s="94" t="n"/>
      <c r="G18" s="95" t="n"/>
      <c r="H18" s="96" t="n"/>
      <c r="I18" s="97">
        <f>IF(G18*H18=0,"",G18*H18)</f>
        <v/>
      </c>
      <c r="J18" s="88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69" t="n"/>
      <c r="U18" s="69" t="n"/>
      <c r="V18" s="69" t="n"/>
      <c r="W18" s="69" t="n"/>
      <c r="X18" s="69" t="n"/>
      <c r="Y18" s="69" t="n"/>
      <c r="Z18" s="69" t="n"/>
      <c r="AA18" s="69" t="n"/>
    </row>
    <row r="19">
      <c r="A19" s="52" t="n"/>
      <c r="B19" s="93" t="n"/>
      <c r="C19" s="94" t="n"/>
      <c r="D19" s="94" t="n"/>
      <c r="E19" s="94" t="n"/>
      <c r="F19" s="94" t="n"/>
      <c r="G19" s="95" t="n"/>
      <c r="H19" s="96" t="n"/>
      <c r="I19" s="97">
        <f>IF(G19*H19=0,"",G19*H19)</f>
        <v/>
      </c>
      <c r="J19" s="88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69" t="n"/>
      <c r="U19" s="69" t="n"/>
      <c r="V19" s="69" t="n"/>
      <c r="W19" s="69" t="n"/>
      <c r="X19" s="69" t="n"/>
      <c r="Y19" s="69" t="n"/>
      <c r="Z19" s="69" t="n"/>
      <c r="AA19" s="69" t="n"/>
    </row>
    <row r="20">
      <c r="A20" s="52" t="n"/>
      <c r="B20" s="93" t="n"/>
      <c r="C20" s="94" t="n"/>
      <c r="D20" s="94" t="n"/>
      <c r="E20" s="94" t="n"/>
      <c r="F20" s="94" t="n"/>
      <c r="G20" s="95" t="n"/>
      <c r="H20" s="96" t="n"/>
      <c r="I20" s="97">
        <f>IF(G20*H20=0,"",G20*H20)</f>
        <v/>
      </c>
      <c r="J20" s="88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69" t="n"/>
      <c r="U20" s="69" t="n"/>
      <c r="V20" s="69" t="n"/>
      <c r="W20" s="69" t="n"/>
      <c r="X20" s="69" t="n"/>
      <c r="Y20" s="69" t="n"/>
      <c r="Z20" s="69" t="n"/>
      <c r="AA20" s="69" t="n"/>
    </row>
    <row r="21" ht="15.75" customHeight="1" s="673">
      <c r="A21" s="52" t="n"/>
      <c r="B21" s="93" t="n"/>
      <c r="C21" s="94" t="n"/>
      <c r="D21" s="94" t="n"/>
      <c r="E21" s="94" t="n"/>
      <c r="F21" s="94" t="n"/>
      <c r="G21" s="95" t="n"/>
      <c r="H21" s="96" t="n"/>
      <c r="I21" s="97">
        <f>IF(G21*H21=0,"",G21*H21)</f>
        <v/>
      </c>
      <c r="J21" s="88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69" t="n"/>
      <c r="U21" s="69" t="n"/>
      <c r="V21" s="69" t="n"/>
      <c r="W21" s="69" t="n"/>
      <c r="X21" s="69" t="n"/>
      <c r="Y21" s="69" t="n"/>
      <c r="Z21" s="69" t="n"/>
      <c r="AA21" s="69" t="n"/>
    </row>
    <row r="22" ht="15.75" customHeight="1" s="673">
      <c r="A22" s="52" t="n"/>
      <c r="B22" s="93" t="n"/>
      <c r="C22" s="94" t="n"/>
      <c r="D22" s="94" t="n"/>
      <c r="E22" s="94" t="n"/>
      <c r="F22" s="94" t="n"/>
      <c r="G22" s="95" t="n"/>
      <c r="H22" s="96" t="n"/>
      <c r="I22" s="97">
        <f>IF(G22*H22=0,"",G22*H22)</f>
        <v/>
      </c>
      <c r="J22" s="88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69" t="n"/>
      <c r="U22" s="69" t="n"/>
      <c r="V22" s="69" t="n"/>
      <c r="W22" s="69" t="n"/>
      <c r="X22" s="69" t="n"/>
      <c r="Y22" s="69" t="n"/>
      <c r="Z22" s="69" t="n"/>
      <c r="AA22" s="69" t="n"/>
    </row>
    <row r="23" ht="15.75" customHeight="1" s="673">
      <c r="A23" s="52" t="n"/>
      <c r="B23" s="93" t="n"/>
      <c r="C23" s="94" t="n"/>
      <c r="D23" s="94" t="n"/>
      <c r="E23" s="94" t="n"/>
      <c r="F23" s="94" t="n"/>
      <c r="G23" s="95" t="n"/>
      <c r="H23" s="96" t="n"/>
      <c r="I23" s="97">
        <f>IF(G23*H23=0,"",G23*H23)</f>
        <v/>
      </c>
      <c r="J23" s="88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69" t="n"/>
      <c r="U23" s="69" t="n"/>
      <c r="V23" s="69" t="n"/>
      <c r="W23" s="69" t="n"/>
      <c r="X23" s="69" t="n"/>
      <c r="Y23" s="69" t="n"/>
      <c r="Z23" s="69" t="n"/>
      <c r="AA23" s="69" t="n"/>
    </row>
    <row r="24" ht="15.75" customHeight="1" s="673">
      <c r="A24" s="52" t="n"/>
      <c r="B24" s="93" t="n"/>
      <c r="C24" s="94" t="n"/>
      <c r="D24" s="94" t="n"/>
      <c r="E24" s="94" t="n"/>
      <c r="F24" s="94" t="n"/>
      <c r="G24" s="95" t="n"/>
      <c r="H24" s="96" t="n"/>
      <c r="I24" s="97">
        <f>IF(G24*H24=0,"",G24*H24)</f>
        <v/>
      </c>
      <c r="J24" s="88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69" t="n"/>
      <c r="U24" s="69" t="n"/>
      <c r="V24" s="69" t="n"/>
      <c r="W24" s="69" t="n"/>
      <c r="X24" s="69" t="n"/>
      <c r="Y24" s="69" t="n"/>
      <c r="Z24" s="69" t="n"/>
      <c r="AA24" s="69" t="n"/>
    </row>
    <row r="25" ht="15.75" customHeight="1" s="673">
      <c r="A25" s="52" t="n"/>
      <c r="B25" s="93" t="n"/>
      <c r="C25" s="94" t="n"/>
      <c r="D25" s="94" t="n"/>
      <c r="E25" s="94" t="n"/>
      <c r="F25" s="94" t="n"/>
      <c r="G25" s="95" t="n"/>
      <c r="H25" s="96" t="n"/>
      <c r="I25" s="97">
        <f>IF(G25*H25=0,"",G25*H25)</f>
        <v/>
      </c>
      <c r="J25" s="88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69" t="n"/>
      <c r="U25" s="69" t="n"/>
      <c r="V25" s="69" t="n"/>
      <c r="W25" s="69" t="n"/>
      <c r="X25" s="69" t="n"/>
      <c r="Y25" s="69" t="n"/>
      <c r="Z25" s="69" t="n"/>
      <c r="AA25" s="69" t="n"/>
    </row>
    <row r="26" ht="15.75" customHeight="1" s="673">
      <c r="A26" s="52" t="n"/>
      <c r="B26" s="93" t="n"/>
      <c r="C26" s="94" t="n"/>
      <c r="D26" s="94" t="n"/>
      <c r="E26" s="94" t="n"/>
      <c r="F26" s="94" t="n"/>
      <c r="G26" s="95" t="n"/>
      <c r="H26" s="96" t="n"/>
      <c r="I26" s="97">
        <f>IF(G26*H26=0,"",G26*H26)</f>
        <v/>
      </c>
      <c r="J26" s="88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69" t="n"/>
      <c r="U26" s="69" t="n"/>
      <c r="V26" s="69" t="n"/>
      <c r="W26" s="69" t="n"/>
      <c r="X26" s="69" t="n"/>
      <c r="Y26" s="69" t="n"/>
      <c r="Z26" s="69" t="n"/>
      <c r="AA26" s="69" t="n"/>
    </row>
    <row r="27" ht="15.75" customHeight="1" s="673">
      <c r="A27" s="52" t="n"/>
      <c r="B27" s="98" t="inlineStr">
        <is>
          <t>TOTAL DAS PROJEÇÕES DE RECEITAS</t>
        </is>
      </c>
      <c r="C27" s="99" t="n"/>
      <c r="D27" s="99" t="n"/>
      <c r="E27" s="99" t="n"/>
      <c r="F27" s="99" t="n"/>
      <c r="G27" s="99" t="n"/>
      <c r="H27" s="99" t="n"/>
      <c r="I27" s="100">
        <f>SUM(I17:I26)</f>
        <v/>
      </c>
      <c r="J27" s="88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69" t="n"/>
      <c r="U27" s="69" t="n"/>
      <c r="V27" s="69" t="n"/>
      <c r="W27" s="69" t="n"/>
      <c r="X27" s="69" t="n"/>
      <c r="Y27" s="69" t="n"/>
      <c r="Z27" s="69" t="n"/>
      <c r="AA27" s="69" t="n"/>
    </row>
    <row r="28" ht="15.75" customHeight="1" s="673">
      <c r="A28" s="52" t="n"/>
      <c r="B28" s="101" t="n"/>
      <c r="C28" s="101" t="n"/>
      <c r="D28" s="101" t="n"/>
      <c r="E28" s="101" t="n"/>
      <c r="F28" s="101" t="n"/>
      <c r="G28" s="123" t="inlineStr">
        <is>
          <t>TOTAL PROJEÇÕES RECEITAS PF</t>
        </is>
      </c>
      <c r="H28" s="676" t="n"/>
      <c r="I28" s="104">
        <f>SUMIF(D17:D26,"PF",I17:I26)</f>
        <v/>
      </c>
      <c r="J28" s="88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69" t="n"/>
      <c r="U28" s="69" t="n"/>
      <c r="V28" s="69" t="n"/>
      <c r="W28" s="69" t="n"/>
      <c r="X28" s="69" t="n"/>
      <c r="Y28" s="69" t="n"/>
      <c r="Z28" s="69" t="n"/>
      <c r="AA28" s="69" t="n"/>
    </row>
    <row r="29" ht="15.75" customHeight="1" s="673">
      <c r="A29" s="52" t="n"/>
      <c r="B29" s="101" t="n"/>
      <c r="C29" s="101" t="n"/>
      <c r="D29" s="101" t="n"/>
      <c r="E29" s="101" t="n"/>
      <c r="F29" s="101" t="n"/>
      <c r="G29" s="123" t="inlineStr">
        <is>
          <t>TOTAL PROJEÇÕES RECEITAS PJ</t>
        </is>
      </c>
      <c r="H29" s="676" t="n"/>
      <c r="I29" s="104">
        <f>SUMIF(D17:D26,"PJ",I17:I26)</f>
        <v/>
      </c>
      <c r="J29" s="88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69" t="n"/>
      <c r="U29" s="69" t="n"/>
      <c r="V29" s="69" t="n"/>
      <c r="W29" s="69" t="n"/>
      <c r="X29" s="69" t="n"/>
      <c r="Y29" s="69" t="n"/>
      <c r="Z29" s="69" t="n"/>
      <c r="AA29" s="69" t="n"/>
    </row>
    <row r="30" ht="15.75" customHeight="1" s="673">
      <c r="A30" s="52" t="n"/>
      <c r="B30" s="105" t="n"/>
      <c r="C30" s="101" t="n"/>
      <c r="D30" s="101" t="n"/>
      <c r="E30" s="101" t="n"/>
      <c r="F30" s="101" t="n"/>
      <c r="G30" s="101" t="n"/>
      <c r="H30" s="101" t="n"/>
      <c r="I30" s="89" t="n"/>
      <c r="J30" s="88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69" t="n"/>
      <c r="U30" s="69" t="n"/>
      <c r="V30" s="69" t="n"/>
      <c r="W30" s="69" t="n"/>
      <c r="X30" s="69" t="n"/>
      <c r="Y30" s="69" t="n"/>
      <c r="Z30" s="69" t="n"/>
      <c r="AA30" s="69" t="n"/>
    </row>
    <row r="31" ht="15.75" customHeight="1" s="673">
      <c r="A31" s="52" t="n"/>
      <c r="B31" s="91" t="inlineStr">
        <is>
          <t>REALIZAÇÕES DAS RECEITAS</t>
        </is>
      </c>
      <c r="C31" s="92" t="inlineStr">
        <is>
          <t>OBSERVAÇÕES</t>
        </is>
      </c>
      <c r="D31" s="92" t="inlineStr">
        <is>
          <t>PJ OU PF</t>
        </is>
      </c>
      <c r="E31" s="92" t="inlineStr">
        <is>
          <t>PIS/COFINS</t>
        </is>
      </c>
      <c r="F31" s="92" t="inlineStr">
        <is>
          <t>MÊS</t>
        </is>
      </c>
      <c r="G31" s="92" t="inlineStr">
        <is>
          <t>QUANTIDADE</t>
        </is>
      </c>
      <c r="H31" s="92" t="inlineStr">
        <is>
          <t>VALOR UNITÁRIO</t>
        </is>
      </c>
      <c r="I31" s="92" t="inlineStr">
        <is>
          <t>PROJETADO TOTAL</t>
        </is>
      </c>
      <c r="J31" s="88" t="n"/>
      <c r="K31" s="75" t="n"/>
      <c r="L31" s="75" t="n"/>
      <c r="M31" s="75" t="n"/>
      <c r="N31" s="106" t="n"/>
      <c r="O31" s="75" t="n"/>
      <c r="P31" s="75" t="n"/>
      <c r="Q31" s="75" t="n"/>
      <c r="R31" s="75" t="n"/>
      <c r="S31" s="75" t="n"/>
      <c r="T31" s="69" t="n"/>
      <c r="U31" s="69" t="n"/>
      <c r="V31" s="69" t="n"/>
      <c r="W31" s="69" t="n"/>
      <c r="X31" s="69" t="n"/>
      <c r="Y31" s="69" t="n"/>
      <c r="Z31" s="69" t="n"/>
      <c r="AA31" s="69" t="n"/>
    </row>
    <row r="32" ht="15.75" customHeight="1" s="673">
      <c r="A32" s="52" t="n"/>
      <c r="B32" s="93" t="n"/>
      <c r="C32" s="107" t="n"/>
      <c r="D32" s="94" t="n"/>
      <c r="E32" s="94" t="n"/>
      <c r="F32" s="94" t="n"/>
      <c r="G32" s="95" t="n"/>
      <c r="H32" s="96" t="n"/>
      <c r="I32" s="97">
        <f>IF(G32*H32=0,"",G32*H32)</f>
        <v/>
      </c>
      <c r="J32" s="88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69" t="n"/>
      <c r="U32" s="69" t="n"/>
      <c r="V32" s="69" t="n"/>
      <c r="W32" s="69" t="n"/>
      <c r="X32" s="69" t="n"/>
      <c r="Y32" s="69" t="n"/>
      <c r="Z32" s="69" t="n"/>
      <c r="AA32" s="69" t="n"/>
    </row>
    <row r="33" ht="15.75" customHeight="1" s="673">
      <c r="A33" s="52" t="n"/>
      <c r="B33" s="93" t="inlineStr">
        <is>
          <t>SOJA</t>
        </is>
      </c>
      <c r="C33" s="107" t="n"/>
      <c r="D33" s="94" t="inlineStr">
        <is>
          <t>PJ</t>
        </is>
      </c>
      <c r="E33" s="94" t="inlineStr">
        <is>
          <t>NÃO</t>
        </is>
      </c>
      <c r="F33" s="94" t="inlineStr">
        <is>
          <t>Jan</t>
        </is>
      </c>
      <c r="G33" s="95" t="n">
        <v>1</v>
      </c>
      <c r="H33" s="96" t="n">
        <v>5000000</v>
      </c>
      <c r="I33" s="97">
        <f>IF(G33*H33=0,"",G33*H33)</f>
        <v/>
      </c>
      <c r="J33" s="88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69" t="n"/>
      <c r="U33" s="69" t="n"/>
      <c r="V33" s="69" t="n"/>
      <c r="W33" s="69" t="n"/>
      <c r="X33" s="69" t="n"/>
      <c r="Y33" s="69" t="n"/>
      <c r="Z33" s="69" t="n"/>
      <c r="AA33" s="69" t="n"/>
    </row>
    <row r="34" ht="15.75" customHeight="1" s="673">
      <c r="A34" s="52" t="n"/>
      <c r="B34" s="93" t="inlineStr">
        <is>
          <t>SORGO</t>
        </is>
      </c>
      <c r="C34" s="94" t="n"/>
      <c r="D34" s="94" t="inlineStr">
        <is>
          <t>PJ</t>
        </is>
      </c>
      <c r="E34" s="94" t="inlineStr">
        <is>
          <t>NÃO</t>
        </is>
      </c>
      <c r="F34" s="94" t="inlineStr">
        <is>
          <t>Fev</t>
        </is>
      </c>
      <c r="G34" s="95" t="n">
        <v>1</v>
      </c>
      <c r="H34" s="96" t="n">
        <v>1000000</v>
      </c>
      <c r="I34" s="97">
        <f>IF(G34*H34=0,"",G34*H34)</f>
        <v/>
      </c>
      <c r="J34" s="88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69" t="n"/>
      <c r="U34" s="69" t="n"/>
      <c r="V34" s="69" t="n"/>
      <c r="W34" s="69" t="n"/>
      <c r="X34" s="69" t="n"/>
      <c r="Y34" s="69" t="n"/>
      <c r="Z34" s="69" t="n"/>
      <c r="AA34" s="69" t="n"/>
    </row>
    <row r="35" ht="15.75" customHeight="1" s="673">
      <c r="A35" s="52" t="n"/>
      <c r="B35" s="93" t="inlineStr">
        <is>
          <t>ARROZ COM CASCA</t>
        </is>
      </c>
      <c r="C35" s="94" t="n"/>
      <c r="D35" s="94" t="inlineStr">
        <is>
          <t>PJ</t>
        </is>
      </c>
      <c r="E35" s="94" t="inlineStr">
        <is>
          <t>NÃO</t>
        </is>
      </c>
      <c r="F35" s="94" t="inlineStr">
        <is>
          <t>Abr</t>
        </is>
      </c>
      <c r="G35" s="95" t="n">
        <v>1</v>
      </c>
      <c r="H35" s="96" t="n">
        <v>1200000</v>
      </c>
      <c r="I35" s="97">
        <f>IF(G35*H35=0,"",G35*H35)</f>
        <v/>
      </c>
      <c r="J35" s="88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69" t="n"/>
      <c r="U35" s="69" t="n"/>
      <c r="V35" s="69" t="n"/>
      <c r="W35" s="69" t="n"/>
      <c r="X35" s="69" t="n"/>
      <c r="Y35" s="69" t="n"/>
      <c r="Z35" s="69" t="n"/>
      <c r="AA35" s="69" t="n"/>
    </row>
    <row r="36" ht="15.75" customHeight="1" s="673">
      <c r="A36" s="52" t="n"/>
      <c r="B36" s="93" t="inlineStr">
        <is>
          <t>CAFÉ</t>
        </is>
      </c>
      <c r="C36" s="94" t="n"/>
      <c r="D36" s="94" t="inlineStr">
        <is>
          <t>PJ</t>
        </is>
      </c>
      <c r="E36" s="94" t="inlineStr">
        <is>
          <t>NÃO</t>
        </is>
      </c>
      <c r="F36" s="94" t="inlineStr">
        <is>
          <t>Mai</t>
        </is>
      </c>
      <c r="G36" s="95" t="n">
        <v>1</v>
      </c>
      <c r="H36" s="96" t="n">
        <v>1500000</v>
      </c>
      <c r="I36" s="97">
        <f>IF(G36*H36=0,"",G36*H36)</f>
        <v/>
      </c>
      <c r="J36" s="88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69" t="n"/>
      <c r="U36" s="69" t="n"/>
      <c r="V36" s="69" t="n"/>
      <c r="W36" s="69" t="n"/>
      <c r="X36" s="69" t="n"/>
      <c r="Y36" s="69" t="n"/>
      <c r="Z36" s="69" t="n"/>
      <c r="AA36" s="69" t="n"/>
    </row>
    <row r="37" ht="15.75" customHeight="1" s="673">
      <c r="A37" s="52" t="n"/>
      <c r="B37" s="93" t="inlineStr">
        <is>
          <t>GERGELIM</t>
        </is>
      </c>
      <c r="C37" s="94" t="n"/>
      <c r="D37" s="94" t="inlineStr">
        <is>
          <t>PF</t>
        </is>
      </c>
      <c r="E37" s="94" t="inlineStr">
        <is>
          <t>NÃO</t>
        </is>
      </c>
      <c r="F37" s="94" t="inlineStr">
        <is>
          <t>Jan</t>
        </is>
      </c>
      <c r="G37" s="95" t="n">
        <v>1</v>
      </c>
      <c r="H37" s="96" t="n">
        <v>1000000</v>
      </c>
      <c r="I37" s="97">
        <f>IF(G37*H37=0,"",G37*H37)</f>
        <v/>
      </c>
      <c r="J37" s="88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69" t="n"/>
      <c r="U37" s="69" t="n"/>
      <c r="V37" s="69" t="n"/>
      <c r="W37" s="69" t="n"/>
      <c r="X37" s="69" t="n"/>
      <c r="Y37" s="69" t="n"/>
      <c r="Z37" s="69" t="n"/>
      <c r="AA37" s="69" t="n"/>
    </row>
    <row r="38" ht="15.75" customHeight="1" s="673">
      <c r="A38" s="52" t="n"/>
      <c r="B38" s="93" t="n"/>
      <c r="C38" s="94" t="n"/>
      <c r="D38" s="108" t="n"/>
      <c r="E38" s="108" t="n"/>
      <c r="F38" s="94" t="n"/>
      <c r="G38" s="95" t="n"/>
      <c r="H38" s="96" t="n"/>
      <c r="I38" s="97">
        <f>IF(G38*H38=0,"",G38*H38)</f>
        <v/>
      </c>
      <c r="J38" s="88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69" t="n"/>
      <c r="U38" s="69" t="n"/>
      <c r="V38" s="69" t="n"/>
      <c r="W38" s="69" t="n"/>
      <c r="X38" s="69" t="n"/>
      <c r="Y38" s="69" t="n"/>
      <c r="Z38" s="69" t="n"/>
      <c r="AA38" s="69" t="n"/>
    </row>
    <row r="39" ht="15.75" customHeight="1" s="673">
      <c r="A39" s="52" t="n"/>
      <c r="B39" s="93" t="n"/>
      <c r="C39" s="94" t="n"/>
      <c r="D39" s="108" t="n"/>
      <c r="E39" s="108" t="n"/>
      <c r="F39" s="94" t="n"/>
      <c r="G39" s="95" t="n"/>
      <c r="H39" s="96" t="n"/>
      <c r="I39" s="97">
        <f>IF(G39*H39=0,"",G39*H39)</f>
        <v/>
      </c>
      <c r="J39" s="88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69" t="n"/>
      <c r="U39" s="69" t="n"/>
      <c r="V39" s="69" t="n"/>
      <c r="W39" s="69" t="n"/>
      <c r="X39" s="69" t="n"/>
      <c r="Y39" s="69" t="n"/>
      <c r="Z39" s="69" t="n"/>
      <c r="AA39" s="69" t="n"/>
    </row>
    <row r="40" ht="15.75" customHeight="1" s="673">
      <c r="A40" s="52" t="n"/>
      <c r="B40" s="93" t="n"/>
      <c r="C40" s="94" t="n"/>
      <c r="D40" s="108" t="n"/>
      <c r="E40" s="108" t="n"/>
      <c r="F40" s="94" t="n"/>
      <c r="G40" s="95" t="n"/>
      <c r="H40" s="96" t="n"/>
      <c r="I40" s="97">
        <f>IF(G40*H40=0,"",G40*H40)</f>
        <v/>
      </c>
      <c r="J40" s="88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69" t="n"/>
      <c r="U40" s="69" t="n"/>
      <c r="V40" s="69" t="n"/>
      <c r="W40" s="69" t="n"/>
      <c r="X40" s="69" t="n"/>
      <c r="Y40" s="69" t="n"/>
      <c r="Z40" s="69" t="n"/>
      <c r="AA40" s="69" t="n"/>
    </row>
    <row r="41" ht="15.75" customHeight="1" s="673">
      <c r="A41" s="52" t="n"/>
      <c r="B41" s="93" t="n"/>
      <c r="C41" s="94" t="n"/>
      <c r="D41" s="108" t="n"/>
      <c r="E41" s="108" t="n"/>
      <c r="F41" s="94" t="n"/>
      <c r="G41" s="95" t="n"/>
      <c r="H41" s="96" t="n"/>
      <c r="I41" s="97">
        <f>IF(G41*H41=0,"",G41*H41)</f>
        <v/>
      </c>
      <c r="J41" s="88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69" t="n"/>
      <c r="U41" s="69" t="n"/>
      <c r="V41" s="69" t="n"/>
      <c r="W41" s="69" t="n"/>
      <c r="X41" s="69" t="n"/>
      <c r="Y41" s="69" t="n"/>
      <c r="Z41" s="69" t="n"/>
      <c r="AA41" s="69" t="n"/>
    </row>
    <row r="42" ht="15.75" customHeight="1" s="673">
      <c r="A42" s="52" t="n"/>
      <c r="B42" s="98" t="inlineStr">
        <is>
          <t>TOTAL RECEITAS REALIZADAS</t>
        </is>
      </c>
      <c r="C42" s="99" t="n"/>
      <c r="D42" s="109" t="n"/>
      <c r="E42" s="109" t="n"/>
      <c r="F42" s="109" t="n"/>
      <c r="G42" s="99" t="n"/>
      <c r="H42" s="99" t="n"/>
      <c r="I42" s="104">
        <f>SUM(I32:I41)</f>
        <v/>
      </c>
      <c r="J42" s="110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69" t="n"/>
      <c r="U42" s="69" t="n"/>
      <c r="V42" s="69" t="n"/>
      <c r="W42" s="69" t="n"/>
      <c r="X42" s="69" t="n"/>
      <c r="Y42" s="69" t="n"/>
      <c r="Z42" s="69" t="n"/>
      <c r="AA42" s="69" t="n"/>
    </row>
    <row r="43" ht="15.75" customHeight="1" s="673">
      <c r="A43" s="52" t="n"/>
      <c r="B43" s="101" t="n"/>
      <c r="C43" s="101" t="n"/>
      <c r="D43" s="111" t="n"/>
      <c r="E43" s="111" t="n"/>
      <c r="F43" s="111" t="n"/>
      <c r="G43" s="111" t="n"/>
      <c r="H43" s="112" t="inlineStr">
        <is>
          <t>TOTAL REALIZADO RECEITAS PF</t>
        </is>
      </c>
      <c r="I43" s="100">
        <f>SUMIF(D32:D41,"PF",I32:I41)</f>
        <v/>
      </c>
      <c r="J43" s="88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69" t="n"/>
      <c r="U43" s="69" t="n"/>
      <c r="V43" s="69" t="n"/>
      <c r="W43" s="69" t="n"/>
      <c r="X43" s="69" t="n"/>
      <c r="Y43" s="69" t="n"/>
      <c r="Z43" s="69" t="n"/>
      <c r="AA43" s="69" t="n"/>
    </row>
    <row r="44" ht="15.75" customHeight="1" s="673">
      <c r="A44" s="52" t="n"/>
      <c r="B44" s="101" t="n"/>
      <c r="C44" s="101" t="n"/>
      <c r="D44" s="111" t="n"/>
      <c r="E44" s="111" t="n"/>
      <c r="F44" s="111" t="n"/>
      <c r="G44" s="111" t="n"/>
      <c r="H44" s="112" t="inlineStr">
        <is>
          <t>TOTAL REALIZADO RECEITAS PJ</t>
        </is>
      </c>
      <c r="I44" s="100">
        <f>SUMIF(D32:D41,"PJ",I32:I41)</f>
        <v/>
      </c>
      <c r="J44" s="88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69" t="n"/>
      <c r="U44" s="69" t="n"/>
      <c r="V44" s="69" t="n"/>
      <c r="W44" s="69" t="n"/>
      <c r="X44" s="69" t="n"/>
      <c r="Y44" s="69" t="n"/>
      <c r="Z44" s="69" t="n"/>
      <c r="AA44" s="69" t="n"/>
    </row>
    <row r="45" ht="15.75" customHeight="1" s="673">
      <c r="A45" s="52" t="n"/>
      <c r="B45" s="101" t="n"/>
      <c r="C45" s="101" t="n"/>
      <c r="D45" s="111" t="n"/>
      <c r="E45" s="111" t="n"/>
      <c r="F45" s="111" t="n"/>
      <c r="G45" s="111" t="n"/>
      <c r="H45" s="112" t="n"/>
      <c r="I45" s="112" t="n"/>
      <c r="J45" s="88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69" t="n"/>
      <c r="U45" s="69" t="n"/>
      <c r="V45" s="69" t="n"/>
      <c r="W45" s="69" t="n"/>
      <c r="X45" s="69" t="n"/>
      <c r="Y45" s="69" t="n"/>
      <c r="Z45" s="69" t="n"/>
      <c r="AA45" s="69" t="n"/>
    </row>
    <row r="46" ht="15.75" customHeight="1" s="673">
      <c r="A46" s="52" t="n"/>
      <c r="B46" s="84" t="n"/>
      <c r="C46" s="84" t="n"/>
      <c r="D46" s="84" t="n"/>
      <c r="E46" s="84" t="n"/>
      <c r="F46" s="84" t="n"/>
      <c r="G46" s="84" t="n"/>
      <c r="H46" s="112" t="inlineStr">
        <is>
          <t>TOTAL REALIZADO RECEITAS PF 2023</t>
        </is>
      </c>
      <c r="I46" s="113" t="n"/>
      <c r="J46" s="88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69" t="n"/>
      <c r="U46" s="69" t="n"/>
      <c r="V46" s="69" t="n"/>
      <c r="W46" s="69" t="n"/>
      <c r="X46" s="69" t="n"/>
      <c r="Y46" s="69" t="n"/>
      <c r="Z46" s="69" t="n"/>
      <c r="AA46" s="69" t="n"/>
    </row>
    <row r="47" ht="15.75" customHeight="1" s="673">
      <c r="A47" s="52" t="n"/>
      <c r="B47" s="89" t="n"/>
      <c r="C47" s="89" t="n"/>
      <c r="D47" s="89" t="n"/>
      <c r="E47" s="89" t="n"/>
      <c r="F47" s="89" t="n"/>
      <c r="G47" s="89" t="n"/>
      <c r="H47" s="89" t="n"/>
      <c r="I47" s="89" t="n"/>
      <c r="J47" s="88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69" t="n"/>
      <c r="U47" s="69" t="n"/>
      <c r="V47" s="69" t="n"/>
      <c r="W47" s="69" t="n"/>
      <c r="X47" s="69" t="n"/>
      <c r="Y47" s="69" t="n"/>
      <c r="Z47" s="69" t="n"/>
      <c r="AA47" s="69" t="n"/>
    </row>
    <row r="48" ht="15.75" customHeight="1" s="673">
      <c r="A48" s="52" t="n"/>
      <c r="B48" s="174" t="inlineStr">
        <is>
          <t>VENDA DE IMOBILIZADO</t>
        </is>
      </c>
      <c r="C48" s="676" t="n"/>
      <c r="D48" s="92" t="inlineStr">
        <is>
          <t>PJ OU PF</t>
        </is>
      </c>
      <c r="E48" s="676" t="n"/>
      <c r="F48" s="92" t="inlineStr">
        <is>
          <t>MÊS</t>
        </is>
      </c>
      <c r="G48" s="92" t="inlineStr">
        <is>
          <t xml:space="preserve">REALIZADO </t>
        </is>
      </c>
      <c r="H48" s="92" t="inlineStr">
        <is>
          <t>PROJETADO</t>
        </is>
      </c>
      <c r="I48" s="92" t="inlineStr">
        <is>
          <t>TOTAL 2024</t>
        </is>
      </c>
      <c r="J48" s="88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69" t="n"/>
      <c r="U48" s="69" t="n"/>
      <c r="V48" s="69" t="n"/>
      <c r="W48" s="69" t="n"/>
      <c r="X48" s="69" t="n"/>
      <c r="Y48" s="69" t="n"/>
      <c r="Z48" s="69" t="n"/>
      <c r="AA48" s="69" t="n"/>
    </row>
    <row r="49" ht="15.75" customHeight="1" s="673">
      <c r="A49" s="52" t="n"/>
      <c r="B49" s="677" t="n"/>
      <c r="C49" s="676" t="n"/>
      <c r="D49" s="94" t="n"/>
      <c r="E49" s="676" t="n"/>
      <c r="F49" s="118" t="n"/>
      <c r="G49" s="97" t="n"/>
      <c r="H49" s="113" t="n"/>
      <c r="I49" s="97">
        <f>G49+H49</f>
        <v/>
      </c>
      <c r="J49" s="88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69" t="n"/>
      <c r="U49" s="69" t="n"/>
      <c r="V49" s="69" t="n"/>
      <c r="W49" s="69" t="n"/>
      <c r="X49" s="69" t="n"/>
      <c r="Y49" s="69" t="n"/>
      <c r="Z49" s="69" t="n"/>
      <c r="AA49" s="69" t="n"/>
    </row>
    <row r="50" ht="15.75" customHeight="1" s="673">
      <c r="A50" s="52" t="n"/>
      <c r="B50" s="677" t="n"/>
      <c r="C50" s="676" t="n"/>
      <c r="D50" s="94" t="n"/>
      <c r="E50" s="676" t="n"/>
      <c r="F50" s="118" t="n"/>
      <c r="G50" s="97" t="n"/>
      <c r="H50" s="113" t="n"/>
      <c r="I50" s="97">
        <f>G50+H50</f>
        <v/>
      </c>
      <c r="J50" s="88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69" t="n"/>
      <c r="U50" s="69" t="n"/>
      <c r="V50" s="69" t="n"/>
      <c r="W50" s="69" t="n"/>
      <c r="X50" s="69" t="n"/>
      <c r="Y50" s="69" t="n"/>
      <c r="Z50" s="69" t="n"/>
      <c r="AA50" s="69" t="n"/>
    </row>
    <row r="51" ht="15.75" customHeight="1" s="673">
      <c r="A51" s="52" t="n"/>
      <c r="B51" s="677" t="n"/>
      <c r="C51" s="676" t="n"/>
      <c r="D51" s="94" t="n"/>
      <c r="E51" s="676" t="n"/>
      <c r="F51" s="118" t="n"/>
      <c r="G51" s="97" t="n"/>
      <c r="H51" s="113" t="n"/>
      <c r="I51" s="97">
        <f>G51+H51</f>
        <v/>
      </c>
      <c r="J51" s="88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69" t="n"/>
      <c r="U51" s="69" t="n"/>
      <c r="V51" s="69" t="n"/>
      <c r="W51" s="69" t="n"/>
      <c r="X51" s="69" t="n"/>
      <c r="Y51" s="69" t="n"/>
      <c r="Z51" s="69" t="n"/>
      <c r="AA51" s="69" t="n"/>
    </row>
    <row r="52" ht="15.75" customHeight="1" s="673">
      <c r="A52" s="52" t="n"/>
      <c r="B52" s="677" t="n"/>
      <c r="C52" s="676" t="n"/>
      <c r="D52" s="94" t="n"/>
      <c r="E52" s="676" t="n"/>
      <c r="F52" s="118" t="n"/>
      <c r="G52" s="97" t="n"/>
      <c r="H52" s="113" t="n"/>
      <c r="I52" s="97">
        <f>G52+H52</f>
        <v/>
      </c>
      <c r="J52" s="88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69" t="n"/>
      <c r="U52" s="69" t="n"/>
      <c r="V52" s="69" t="n"/>
      <c r="W52" s="69" t="n"/>
      <c r="X52" s="69" t="n"/>
      <c r="Y52" s="69" t="n"/>
      <c r="Z52" s="69" t="n"/>
      <c r="AA52" s="69" t="n"/>
    </row>
    <row r="53" ht="15.75" customHeight="1" s="673">
      <c r="A53" s="52" t="n"/>
      <c r="B53" s="677" t="n"/>
      <c r="C53" s="676" t="n"/>
      <c r="D53" s="94" t="n"/>
      <c r="E53" s="676" t="n"/>
      <c r="F53" s="118" t="n"/>
      <c r="G53" s="97" t="n"/>
      <c r="H53" s="113" t="n"/>
      <c r="I53" s="97">
        <f>G53+H53</f>
        <v/>
      </c>
      <c r="J53" s="88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69" t="n"/>
      <c r="U53" s="69" t="n"/>
      <c r="V53" s="69" t="n"/>
      <c r="W53" s="69" t="n"/>
      <c r="X53" s="69" t="n"/>
      <c r="Y53" s="69" t="n"/>
      <c r="Z53" s="69" t="n"/>
      <c r="AA53" s="69" t="n"/>
    </row>
    <row r="54" ht="15.75" customHeight="1" s="673">
      <c r="A54" s="52" t="n"/>
      <c r="B54" s="125" t="n"/>
      <c r="C54" s="676" t="n"/>
      <c r="D54" s="94" t="n"/>
      <c r="E54" s="676" t="n"/>
      <c r="F54" s="118" t="n"/>
      <c r="G54" s="97" t="n"/>
      <c r="H54" s="113" t="n"/>
      <c r="I54" s="97">
        <f>G54+H54</f>
        <v/>
      </c>
      <c r="J54" s="88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69" t="n"/>
      <c r="U54" s="69" t="n"/>
      <c r="V54" s="69" t="n"/>
      <c r="W54" s="69" t="n"/>
      <c r="X54" s="69" t="n"/>
      <c r="Y54" s="69" t="n"/>
      <c r="Z54" s="69" t="n"/>
      <c r="AA54" s="69" t="n"/>
    </row>
    <row r="55" ht="15.75" customHeight="1" s="673">
      <c r="A55" s="52" t="n"/>
      <c r="B55" s="125" t="n"/>
      <c r="C55" s="676" t="n"/>
      <c r="D55" s="94" t="n"/>
      <c r="E55" s="676" t="n"/>
      <c r="F55" s="118" t="n"/>
      <c r="G55" s="97" t="n"/>
      <c r="H55" s="113" t="n"/>
      <c r="I55" s="97">
        <f>G55+H55</f>
        <v/>
      </c>
      <c r="J55" s="88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69" t="n"/>
      <c r="U55" s="69" t="n"/>
      <c r="V55" s="69" t="n"/>
      <c r="W55" s="69" t="n"/>
      <c r="X55" s="69" t="n"/>
      <c r="Y55" s="69" t="n"/>
      <c r="Z55" s="69" t="n"/>
      <c r="AA55" s="69" t="n"/>
    </row>
    <row r="56" ht="15.75" customHeight="1" s="673">
      <c r="A56" s="52" t="n"/>
      <c r="B56" s="125" t="n"/>
      <c r="C56" s="676" t="n"/>
      <c r="D56" s="94" t="n"/>
      <c r="E56" s="676" t="n"/>
      <c r="F56" s="118" t="n"/>
      <c r="G56" s="97" t="n"/>
      <c r="H56" s="113" t="n"/>
      <c r="I56" s="97">
        <f>G56+H56</f>
        <v/>
      </c>
      <c r="J56" s="88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69" t="n"/>
      <c r="U56" s="69" t="n"/>
      <c r="V56" s="69" t="n"/>
      <c r="W56" s="69" t="n"/>
      <c r="X56" s="69" t="n"/>
      <c r="Y56" s="69" t="n"/>
      <c r="Z56" s="69" t="n"/>
      <c r="AA56" s="69" t="n"/>
    </row>
    <row r="57" ht="15.75" customHeight="1" s="673">
      <c r="A57" s="52" t="n"/>
      <c r="B57" s="122" t="inlineStr">
        <is>
          <t>TOTAL VENDA DE IMOBILIZADO</t>
        </is>
      </c>
      <c r="C57" s="678" t="n"/>
      <c r="D57" s="678" t="n"/>
      <c r="E57" s="676" t="n"/>
      <c r="F57" s="122" t="n"/>
      <c r="G57" s="104">
        <f>SUM(G49:G56)</f>
        <v/>
      </c>
      <c r="H57" s="104">
        <f>SUM(H49:H56)</f>
        <v/>
      </c>
      <c r="I57" s="104">
        <f>SUM(I49:I56)</f>
        <v/>
      </c>
      <c r="J57" s="88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69" t="n"/>
      <c r="U57" s="69" t="n"/>
      <c r="V57" s="69" t="n"/>
      <c r="W57" s="69" t="n"/>
      <c r="X57" s="69" t="n"/>
      <c r="Y57" s="69" t="n"/>
      <c r="Z57" s="69" t="n"/>
      <c r="AA57" s="69" t="n"/>
    </row>
    <row r="58" ht="15.75" customHeight="1" s="673">
      <c r="A58" s="52" t="n"/>
      <c r="B58" s="101" t="n"/>
      <c r="C58" s="101" t="n"/>
      <c r="D58" s="123" t="inlineStr">
        <is>
          <t>TOTAL VENDA IMOBILIZADO PF</t>
        </is>
      </c>
      <c r="E58" s="123" t="n"/>
      <c r="F58" s="123" t="n"/>
      <c r="G58" s="100">
        <f>SUMIF(D49:D56,"PF",G49:G56)</f>
        <v/>
      </c>
      <c r="H58" s="100">
        <f>SUMIF(D49:D56,"PF",H49:H56)</f>
        <v/>
      </c>
      <c r="I58" s="104">
        <f>SUMIF(D49:D56,"PF",I49:I56)</f>
        <v/>
      </c>
      <c r="J58" s="88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69" t="n"/>
      <c r="U58" s="69" t="n"/>
      <c r="V58" s="69" t="n"/>
      <c r="W58" s="69" t="n"/>
      <c r="X58" s="69" t="n"/>
      <c r="Y58" s="69" t="n"/>
      <c r="Z58" s="69" t="n"/>
      <c r="AA58" s="69" t="n"/>
    </row>
    <row r="59" ht="15.75" customHeight="1" s="673">
      <c r="A59" s="52" t="n"/>
      <c r="B59" s="101" t="n"/>
      <c r="C59" s="101" t="n"/>
      <c r="D59" s="123" t="inlineStr">
        <is>
          <t>TOTAL VENDA IMOBILIZADO PJ</t>
        </is>
      </c>
      <c r="E59" s="123" t="n"/>
      <c r="F59" s="123" t="n"/>
      <c r="G59" s="100">
        <f>SUMIF(D49:D56,"Pj",G49:G56)</f>
        <v/>
      </c>
      <c r="H59" s="100">
        <f>SUMIF(D49:E56,"PJ",H49:H56)</f>
        <v/>
      </c>
      <c r="I59" s="104">
        <f>SUMIF(D49:D56,"Pj",I49:I56)</f>
        <v/>
      </c>
      <c r="J59" s="88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69" t="n"/>
      <c r="U59" s="69" t="n"/>
      <c r="V59" s="69" t="n"/>
      <c r="W59" s="69" t="n"/>
      <c r="X59" s="69" t="n"/>
      <c r="Y59" s="69" t="n"/>
      <c r="Z59" s="69" t="n"/>
      <c r="AA59" s="69" t="n"/>
    </row>
    <row r="60" ht="15.75" customHeight="1" s="673">
      <c r="A60" s="52" t="n"/>
      <c r="B60" s="89" t="n"/>
      <c r="C60" s="89" t="n"/>
      <c r="D60" s="89" t="n"/>
      <c r="E60" s="89" t="n"/>
      <c r="F60" s="89" t="n"/>
      <c r="G60" s="89" t="n"/>
      <c r="H60" s="89" t="n"/>
      <c r="I60" s="89" t="n"/>
      <c r="J60" s="88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69" t="n"/>
      <c r="U60" s="69" t="n"/>
      <c r="V60" s="69" t="n"/>
      <c r="W60" s="69" t="n"/>
      <c r="X60" s="69" t="n"/>
      <c r="Y60" s="69" t="n"/>
      <c r="Z60" s="69" t="n"/>
      <c r="AA60" s="69" t="n"/>
    </row>
    <row r="61" ht="15.75" customHeight="1" s="673">
      <c r="A61" s="52" t="n"/>
      <c r="B61" s="89" t="n"/>
      <c r="C61" s="89" t="n"/>
      <c r="D61" s="89" t="n"/>
      <c r="E61" s="89" t="n"/>
      <c r="F61" s="89" t="n"/>
      <c r="G61" s="89" t="n"/>
      <c r="H61" s="89" t="n"/>
      <c r="I61" s="89" t="n"/>
      <c r="J61" s="88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69" t="n"/>
      <c r="U61" s="69" t="n"/>
      <c r="V61" s="69" t="n"/>
      <c r="W61" s="69" t="n"/>
      <c r="X61" s="69" t="n"/>
      <c r="Y61" s="69" t="n"/>
      <c r="Z61" s="69" t="n"/>
      <c r="AA61" s="69" t="n"/>
    </row>
    <row r="62" ht="15.75" customHeight="1" s="673">
      <c r="A62" s="52" t="n"/>
      <c r="B62" s="124" t="inlineStr">
        <is>
          <t>TOTAL RECEITAS</t>
        </is>
      </c>
      <c r="C62" s="124" t="n"/>
      <c r="D62" s="92" t="n"/>
      <c r="E62" s="92" t="n"/>
      <c r="F62" s="92" t="n"/>
      <c r="G62" s="92" t="inlineStr">
        <is>
          <t>REALIZADO</t>
        </is>
      </c>
      <c r="H62" s="92" t="inlineStr">
        <is>
          <t>PROJETADO</t>
        </is>
      </c>
      <c r="I62" s="92" t="inlineStr">
        <is>
          <t>TOTAL 2024</t>
        </is>
      </c>
      <c r="J62" s="88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69" t="n"/>
      <c r="U62" s="69" t="n"/>
      <c r="V62" s="69" t="n"/>
      <c r="W62" s="69" t="n"/>
      <c r="X62" s="69" t="n"/>
      <c r="Y62" s="69" t="n"/>
      <c r="Z62" s="69" t="n"/>
      <c r="AA62" s="69" t="n"/>
    </row>
    <row r="63" ht="15.75" customHeight="1" s="673">
      <c r="A63" s="52" t="n"/>
      <c r="B63" s="125" t="inlineStr">
        <is>
          <t>PF</t>
        </is>
      </c>
      <c r="C63" s="678" t="n"/>
      <c r="D63" s="676" t="n"/>
      <c r="E63" s="125" t="n"/>
      <c r="F63" s="125" t="n"/>
      <c r="G63" s="113">
        <f>SUMIF(D32:D41,"pf",I32:I41)+G58</f>
        <v/>
      </c>
      <c r="H63" s="97">
        <f>I28+H58</f>
        <v/>
      </c>
      <c r="I63" s="97">
        <f>G63+H63</f>
        <v/>
      </c>
      <c r="J63" s="88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69" t="n"/>
      <c r="U63" s="69" t="n"/>
      <c r="V63" s="69" t="n"/>
      <c r="W63" s="69" t="n"/>
      <c r="X63" s="69" t="n"/>
      <c r="Y63" s="69" t="n"/>
      <c r="Z63" s="69" t="n"/>
      <c r="AA63" s="69" t="n"/>
    </row>
    <row r="64" ht="15.75" customHeight="1" s="673">
      <c r="A64" s="52" t="n"/>
      <c r="B64" s="125" t="inlineStr">
        <is>
          <t>PJ</t>
        </is>
      </c>
      <c r="C64" s="678" t="n"/>
      <c r="D64" s="676" t="n"/>
      <c r="E64" s="125" t="n"/>
      <c r="F64" s="125" t="n"/>
      <c r="G64" s="113">
        <f>SUMIF(D32:D41,"pj",I32:I41)+G59</f>
        <v/>
      </c>
      <c r="H64" s="97">
        <f>H59+I29</f>
        <v/>
      </c>
      <c r="I64" s="97">
        <f>G64+H64</f>
        <v/>
      </c>
      <c r="J64" s="88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69" t="n"/>
      <c r="U64" s="69" t="n"/>
      <c r="V64" s="69" t="n"/>
      <c r="W64" s="69" t="n"/>
      <c r="X64" s="69" t="n"/>
      <c r="Y64" s="69" t="n"/>
      <c r="Z64" s="69" t="n"/>
      <c r="AA64" s="69" t="n"/>
    </row>
    <row r="65" ht="15.75" customHeight="1" s="673">
      <c r="A65" s="52" t="n"/>
      <c r="B65" s="89" t="n"/>
      <c r="C65" s="89" t="n"/>
      <c r="D65" s="126" t="inlineStr">
        <is>
          <t>TOTAL:</t>
        </is>
      </c>
      <c r="E65" s="126" t="n"/>
      <c r="F65" s="126" t="n"/>
      <c r="G65" s="127">
        <f>G63+G64</f>
        <v/>
      </c>
      <c r="H65" s="127">
        <f>H63+H64</f>
        <v/>
      </c>
      <c r="I65" s="127">
        <f>I63+I64</f>
        <v/>
      </c>
      <c r="J65" s="88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69" t="n"/>
      <c r="U65" s="69" t="n"/>
      <c r="V65" s="69" t="n"/>
      <c r="W65" s="69" t="n"/>
      <c r="X65" s="69" t="n"/>
      <c r="Y65" s="69" t="n"/>
      <c r="Z65" s="69" t="n"/>
      <c r="AA65" s="69" t="n"/>
    </row>
    <row r="66" ht="15.75" customHeight="1" s="673">
      <c r="A66" s="52" t="n"/>
      <c r="B66" s="89" t="n"/>
      <c r="C66" s="89" t="n"/>
      <c r="D66" s="89" t="n"/>
      <c r="E66" s="89" t="n"/>
      <c r="F66" s="89" t="n"/>
      <c r="G66" s="89" t="n"/>
      <c r="H66" s="89" t="n"/>
      <c r="I66" s="89" t="n"/>
      <c r="J66" s="88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69" t="n"/>
      <c r="U66" s="69" t="n"/>
      <c r="V66" s="69" t="n"/>
      <c r="W66" s="69" t="n"/>
      <c r="X66" s="69" t="n"/>
      <c r="Y66" s="69" t="n"/>
      <c r="Z66" s="69" t="n"/>
      <c r="AA66" s="69" t="n"/>
    </row>
    <row r="67" ht="15.75" customHeight="1" s="673">
      <c r="A67" s="52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69" t="n"/>
      <c r="U67" s="69" t="n"/>
      <c r="V67" s="69" t="n"/>
      <c r="W67" s="69" t="n"/>
      <c r="X67" s="69" t="n"/>
      <c r="Y67" s="69" t="n"/>
      <c r="Z67" s="69" t="n"/>
      <c r="AA67" s="69" t="n"/>
    </row>
    <row r="68" ht="15.75" customHeight="1" s="673">
      <c r="A68" s="52" t="n"/>
      <c r="B68" s="75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69" t="n"/>
      <c r="U68" s="69" t="n"/>
      <c r="V68" s="69" t="n"/>
      <c r="W68" s="69" t="n"/>
      <c r="X68" s="69" t="n"/>
      <c r="Y68" s="69" t="n"/>
      <c r="Z68" s="69" t="n"/>
      <c r="AA68" s="69" t="n"/>
    </row>
    <row r="69" ht="15.75" customHeight="1" s="673">
      <c r="A69" s="52" t="n"/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69" t="n"/>
      <c r="U69" s="69" t="n"/>
      <c r="V69" s="69" t="n"/>
      <c r="W69" s="69" t="n"/>
      <c r="X69" s="69" t="n"/>
      <c r="Y69" s="69" t="n"/>
      <c r="Z69" s="69" t="n"/>
      <c r="AA69" s="69" t="n"/>
    </row>
    <row r="70" ht="15.75" customHeight="1" s="673">
      <c r="A70" s="69" t="n"/>
      <c r="B70" s="75" t="n"/>
      <c r="C70" s="75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69" t="n"/>
      <c r="U70" s="69" t="n"/>
      <c r="V70" s="69" t="n"/>
      <c r="W70" s="69" t="n"/>
      <c r="X70" s="69" t="n"/>
      <c r="Y70" s="69" t="n"/>
      <c r="Z70" s="69" t="n"/>
      <c r="AA70" s="69" t="n"/>
    </row>
    <row r="71" ht="15.75" customHeight="1" s="673">
      <c r="A71" s="69" t="n"/>
      <c r="B71" s="75" t="n"/>
      <c r="C71" s="75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69" t="n"/>
      <c r="U71" s="69" t="n"/>
      <c r="V71" s="69" t="n"/>
      <c r="W71" s="69" t="n"/>
      <c r="X71" s="69" t="n"/>
      <c r="Y71" s="69" t="n"/>
      <c r="Z71" s="69" t="n"/>
      <c r="AA71" s="69" t="n"/>
    </row>
    <row r="72" ht="15.75" customHeight="1" s="673">
      <c r="A72" s="69" t="n"/>
      <c r="B72" s="75" t="n"/>
      <c r="C72" s="75" t="n"/>
      <c r="D72" s="75" t="n"/>
      <c r="E72" s="75" t="n"/>
      <c r="F72" s="75" t="n"/>
      <c r="G72" s="75" t="n"/>
      <c r="H72" s="75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75" t="n"/>
      <c r="T72" s="69" t="n"/>
      <c r="U72" s="69" t="n"/>
      <c r="V72" s="69" t="n"/>
      <c r="W72" s="69" t="n"/>
      <c r="X72" s="69" t="n"/>
      <c r="Y72" s="69" t="n"/>
      <c r="Z72" s="69" t="n"/>
      <c r="AA72" s="69" t="n"/>
    </row>
    <row r="73" ht="15.75" customHeight="1" s="673">
      <c r="A73" s="69" t="n"/>
      <c r="B73" s="75" t="n"/>
      <c r="C73" s="75" t="n"/>
      <c r="D73" s="75" t="n"/>
      <c r="E73" s="75" t="n"/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69" t="n"/>
      <c r="U73" s="69" t="n"/>
      <c r="V73" s="69" t="n"/>
      <c r="W73" s="69" t="n"/>
      <c r="X73" s="69" t="n"/>
      <c r="Y73" s="69" t="n"/>
      <c r="Z73" s="69" t="n"/>
      <c r="AA73" s="69" t="n"/>
    </row>
    <row r="74" ht="15.75" customHeight="1" s="673">
      <c r="A74" s="69" t="n"/>
      <c r="B74" s="75" t="n"/>
      <c r="C74" s="75" t="n"/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69" t="n"/>
      <c r="U74" s="69" t="n"/>
      <c r="V74" s="69" t="n"/>
      <c r="W74" s="69" t="n"/>
      <c r="X74" s="69" t="n"/>
      <c r="Y74" s="69" t="n"/>
      <c r="Z74" s="69" t="n"/>
      <c r="AA74" s="69" t="n"/>
    </row>
    <row r="75" ht="15.75" customHeight="1" s="673">
      <c r="A75" s="69" t="n"/>
      <c r="B75" s="75" t="n"/>
      <c r="C75" s="75" t="n"/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69" t="n"/>
      <c r="U75" s="69" t="n"/>
      <c r="V75" s="69" t="n"/>
      <c r="W75" s="69" t="n"/>
      <c r="X75" s="69" t="n"/>
      <c r="Y75" s="69" t="n"/>
      <c r="Z75" s="69" t="n"/>
      <c r="AA75" s="69" t="n"/>
    </row>
    <row r="76" ht="15.75" customHeight="1" s="673">
      <c r="A76" s="69" t="n"/>
      <c r="B76" s="75" t="n"/>
      <c r="C76" s="75" t="n"/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69" t="n"/>
      <c r="U76" s="69" t="n"/>
      <c r="V76" s="69" t="n"/>
      <c r="W76" s="69" t="n"/>
      <c r="X76" s="69" t="n"/>
      <c r="Y76" s="69" t="n"/>
      <c r="Z76" s="69" t="n"/>
      <c r="AA76" s="69" t="n"/>
    </row>
    <row r="77" ht="15.75" customHeight="1" s="673">
      <c r="A77" s="69" t="n"/>
      <c r="B77" s="75" t="n"/>
      <c r="C77" s="75" t="n"/>
      <c r="D77" s="75" t="n"/>
      <c r="E77" s="75" t="n"/>
      <c r="F77" s="75" t="n"/>
      <c r="G77" s="75" t="n"/>
      <c r="H77" s="75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69" t="n"/>
      <c r="U77" s="69" t="n"/>
      <c r="V77" s="69" t="n"/>
      <c r="W77" s="69" t="n"/>
      <c r="X77" s="69" t="n"/>
      <c r="Y77" s="69" t="n"/>
      <c r="Z77" s="69" t="n"/>
      <c r="AA77" s="69" t="n"/>
    </row>
    <row r="78" ht="15.75" customHeight="1" s="673">
      <c r="A78" s="69" t="n"/>
      <c r="B78" s="75" t="n"/>
      <c r="C78" s="75" t="n"/>
      <c r="D78" s="75" t="n"/>
      <c r="E78" s="75" t="n"/>
      <c r="F78" s="75" t="n"/>
      <c r="G78" s="75" t="n"/>
      <c r="H78" s="75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75" t="n"/>
      <c r="T78" s="69" t="n"/>
      <c r="U78" s="69" t="n"/>
      <c r="V78" s="69" t="n"/>
      <c r="W78" s="69" t="n"/>
      <c r="X78" s="69" t="n"/>
      <c r="Y78" s="69" t="n"/>
      <c r="Z78" s="69" t="n"/>
      <c r="AA78" s="69" t="n"/>
    </row>
    <row r="79" ht="15.75" customHeight="1" s="673">
      <c r="A79" s="69" t="n"/>
      <c r="B79" s="75" t="n"/>
      <c r="C79" s="75" t="n"/>
      <c r="D79" s="75" t="n"/>
      <c r="E79" s="75" t="n"/>
      <c r="F79" s="75" t="n"/>
      <c r="G79" s="75" t="n"/>
      <c r="H79" s="75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75" t="n"/>
      <c r="T79" s="69" t="n"/>
      <c r="U79" s="69" t="n"/>
      <c r="V79" s="69" t="n"/>
      <c r="W79" s="69" t="n"/>
      <c r="X79" s="69" t="n"/>
      <c r="Y79" s="69" t="n"/>
      <c r="Z79" s="69" t="n"/>
      <c r="AA79" s="69" t="n"/>
    </row>
    <row r="80" ht="15.75" customHeight="1" s="673">
      <c r="A80" s="69" t="n"/>
      <c r="B80" s="75" t="n"/>
      <c r="C80" s="75" t="n"/>
      <c r="D80" s="75" t="n"/>
      <c r="E80" s="75" t="n"/>
      <c r="F80" s="75" t="n"/>
      <c r="G80" s="75" t="n"/>
      <c r="H80" s="75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69" t="n"/>
      <c r="U80" s="69" t="n"/>
      <c r="V80" s="69" t="n"/>
      <c r="W80" s="69" t="n"/>
      <c r="X80" s="69" t="n"/>
      <c r="Y80" s="69" t="n"/>
      <c r="Z80" s="69" t="n"/>
      <c r="AA80" s="69" t="n"/>
    </row>
    <row r="81" ht="15.75" customHeight="1" s="673">
      <c r="A81" s="69" t="n"/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69" t="n"/>
      <c r="U81" s="69" t="n"/>
      <c r="V81" s="69" t="n"/>
      <c r="W81" s="69" t="n"/>
      <c r="X81" s="69" t="n"/>
      <c r="Y81" s="69" t="n"/>
      <c r="Z81" s="69" t="n"/>
      <c r="AA81" s="69" t="n"/>
    </row>
    <row r="82" ht="15.75" customHeight="1" s="673">
      <c r="A82" s="69" t="n"/>
      <c r="B82" s="75" t="n"/>
      <c r="C82" s="75" t="n"/>
      <c r="D82" s="75" t="n"/>
      <c r="E82" s="75" t="n"/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69" t="n"/>
      <c r="U82" s="69" t="n"/>
      <c r="V82" s="69" t="n"/>
      <c r="W82" s="69" t="n"/>
      <c r="X82" s="69" t="n"/>
      <c r="Y82" s="69" t="n"/>
      <c r="Z82" s="69" t="n"/>
      <c r="AA82" s="69" t="n"/>
    </row>
    <row r="83" ht="15.75" customHeight="1" s="673">
      <c r="A83" s="69" t="n"/>
      <c r="B83" s="129" t="n"/>
      <c r="C83" s="129" t="n"/>
      <c r="D83" s="129" t="n"/>
      <c r="E83" s="129" t="n"/>
      <c r="F83" s="129" t="n"/>
      <c r="G83" s="129" t="n"/>
      <c r="H83" s="129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75" t="n"/>
      <c r="T83" s="69" t="n"/>
      <c r="U83" s="69" t="n"/>
      <c r="V83" s="69" t="n"/>
      <c r="W83" s="69" t="n"/>
      <c r="X83" s="69" t="n"/>
      <c r="Y83" s="69" t="n"/>
      <c r="Z83" s="69" t="n"/>
      <c r="AA83" s="69" t="n"/>
    </row>
    <row r="84" ht="15.75" customHeight="1" s="673">
      <c r="A84" s="69" t="n"/>
      <c r="B84" s="129" t="n"/>
      <c r="C84" s="129" t="n"/>
      <c r="D84" s="129" t="n"/>
      <c r="E84" s="129" t="n"/>
      <c r="F84" s="129" t="n"/>
      <c r="G84" s="129" t="n"/>
      <c r="H84" s="129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75" t="n"/>
      <c r="T84" s="69" t="n"/>
      <c r="U84" s="69" t="n"/>
      <c r="V84" s="69" t="n"/>
      <c r="W84" s="69" t="n"/>
      <c r="X84" s="69" t="n"/>
      <c r="Y84" s="69" t="n"/>
      <c r="Z84" s="69" t="n"/>
      <c r="AA84" s="69" t="n"/>
    </row>
    <row r="85" ht="15.75" customHeight="1" s="673">
      <c r="A85" s="69" t="n"/>
      <c r="B85" s="129" t="n"/>
      <c r="C85" s="129" t="n"/>
      <c r="D85" s="129" t="n"/>
      <c r="E85" s="129" t="n"/>
      <c r="F85" s="129" t="n"/>
      <c r="G85" s="129" t="n"/>
      <c r="H85" s="129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69" t="n"/>
      <c r="U85" s="69" t="n"/>
      <c r="V85" s="69" t="n"/>
      <c r="W85" s="69" t="n"/>
      <c r="X85" s="69" t="n"/>
      <c r="Y85" s="69" t="n"/>
      <c r="Z85" s="69" t="n"/>
      <c r="AA85" s="69" t="n"/>
    </row>
    <row r="86" ht="15.75" customHeight="1" s="673">
      <c r="A86" s="6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69" t="n"/>
      <c r="U86" s="69" t="n"/>
      <c r="V86" s="69" t="n"/>
      <c r="W86" s="69" t="n"/>
      <c r="X86" s="69" t="n"/>
      <c r="Y86" s="69" t="n"/>
      <c r="Z86" s="69" t="n"/>
      <c r="AA86" s="69" t="n"/>
    </row>
    <row r="87" ht="15.75" customHeight="1" s="673">
      <c r="A87" s="6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69" t="n"/>
      <c r="U87" s="69" t="n"/>
      <c r="V87" s="69" t="n"/>
      <c r="W87" s="69" t="n"/>
      <c r="X87" s="69" t="n"/>
      <c r="Y87" s="69" t="n"/>
      <c r="Z87" s="69" t="n"/>
      <c r="AA87" s="69" t="n"/>
    </row>
    <row r="88" ht="15.75" customHeight="1" s="673">
      <c r="A88" s="6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75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  <c r="AA88" s="69" t="n"/>
    </row>
    <row r="89" ht="15.75" customHeight="1" s="673">
      <c r="A89" s="6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75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  <c r="AA89" s="69" t="n"/>
    </row>
    <row r="90" ht="15.75" customHeight="1" s="673">
      <c r="A90" s="6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75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  <c r="AA90" s="69" t="n"/>
    </row>
    <row r="91" ht="15.75" customHeight="1" s="673">
      <c r="A91" s="6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75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  <c r="Z91" s="69" t="n"/>
      <c r="AA91" s="69" t="n"/>
    </row>
    <row r="92" ht="15.75" customHeight="1" s="673">
      <c r="A92" s="6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75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  <c r="AA92" s="69" t="n"/>
    </row>
    <row r="93" ht="15.75" customHeight="1" s="673">
      <c r="A93" s="6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75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  <c r="AA93" s="69" t="n"/>
    </row>
    <row r="94" ht="15.75" customHeight="1" s="673">
      <c r="A94" s="6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75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  <c r="AA94" s="69" t="n"/>
    </row>
    <row r="95" ht="15.75" customHeight="1" s="673">
      <c r="A95" s="69" t="n"/>
      <c r="B95" s="130" t="n"/>
      <c r="C95" s="130" t="n"/>
      <c r="D95" s="130" t="n"/>
      <c r="E95" s="130" t="n"/>
      <c r="F95" s="130" t="n"/>
      <c r="G95" s="130" t="n"/>
      <c r="H95" s="130" t="n"/>
      <c r="I95" s="129" t="n"/>
      <c r="J95" s="75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  <c r="AA95" s="69" t="n"/>
    </row>
    <row r="96" ht="15.75" customHeight="1" s="673">
      <c r="A96" s="69" t="n"/>
      <c r="B96" s="130" t="n"/>
      <c r="C96" s="130" t="n"/>
      <c r="D96" s="130" t="n"/>
      <c r="E96" s="130" t="n"/>
      <c r="F96" s="130" t="n"/>
      <c r="G96" s="130" t="n"/>
      <c r="H96" s="130" t="n"/>
      <c r="I96" s="129" t="n"/>
      <c r="J96" s="75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  <c r="AA96" s="69" t="n"/>
    </row>
    <row r="97" ht="15.75" customHeight="1" s="673">
      <c r="A97" s="69" t="n"/>
      <c r="B97" s="130" t="n"/>
      <c r="C97" s="130" t="n"/>
      <c r="D97" s="130" t="n"/>
      <c r="E97" s="130" t="n"/>
      <c r="F97" s="130" t="n"/>
      <c r="G97" s="130" t="n"/>
      <c r="H97" s="130" t="n"/>
      <c r="I97" s="129" t="n"/>
      <c r="J97" s="75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  <c r="AA97" s="69" t="n"/>
    </row>
    <row r="98" ht="15.75" customHeight="1" s="673">
      <c r="A98" s="69" t="n"/>
      <c r="B98" s="130" t="n"/>
      <c r="C98" s="130" t="n"/>
      <c r="D98" s="130" t="n"/>
      <c r="E98" s="130" t="n"/>
      <c r="F98" s="130" t="n"/>
      <c r="G98" s="130" t="n"/>
      <c r="H98" s="130" t="n"/>
      <c r="I98" s="130" t="n"/>
      <c r="J98" s="75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  <c r="AA98" s="69" t="n"/>
    </row>
    <row r="99" ht="15.75" customHeight="1" s="673">
      <c r="A99" s="69" t="n"/>
      <c r="B99" s="130" t="n"/>
      <c r="C99" s="130" t="n"/>
      <c r="D99" s="130" t="n"/>
      <c r="E99" s="130" t="n"/>
      <c r="F99" s="130" t="n"/>
      <c r="G99" s="130" t="n"/>
      <c r="H99" s="130" t="n"/>
      <c r="I99" s="130" t="n"/>
      <c r="J99" s="75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  <c r="AA99" s="69" t="n"/>
    </row>
    <row r="100" ht="15.75" customHeight="1" s="673">
      <c r="A100" s="69" t="n"/>
      <c r="B100" s="130" t="n"/>
      <c r="C100" s="130" t="n"/>
      <c r="D100" s="130" t="n"/>
      <c r="E100" s="130" t="n"/>
      <c r="F100" s="130" t="n"/>
      <c r="G100" s="130" t="n"/>
      <c r="H100" s="130" t="n"/>
      <c r="I100" s="130" t="n"/>
      <c r="J100" s="75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  <c r="AA100" s="69" t="n"/>
    </row>
    <row r="101" ht="15.75" customHeight="1" s="673">
      <c r="A101" s="69" t="n"/>
      <c r="B101" s="130" t="n"/>
      <c r="C101" s="130" t="n"/>
      <c r="D101" s="130" t="n"/>
      <c r="E101" s="130" t="n"/>
      <c r="F101" s="130" t="n"/>
      <c r="G101" s="130" t="n"/>
      <c r="H101" s="130" t="n"/>
      <c r="I101" s="130" t="n"/>
      <c r="J101" s="75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  <c r="AA101" s="69" t="n"/>
    </row>
    <row r="102" ht="15.75" customHeight="1" s="673">
      <c r="A102" s="69" t="n"/>
      <c r="B102" s="130" t="n"/>
      <c r="C102" s="130" t="n"/>
      <c r="D102" s="130" t="n"/>
      <c r="E102" s="130" t="n"/>
      <c r="F102" s="130" t="n"/>
      <c r="G102" s="130" t="n"/>
      <c r="H102" s="130" t="n"/>
      <c r="I102" s="130" t="n"/>
      <c r="J102" s="75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  <c r="AA102" s="69" t="n"/>
    </row>
    <row r="103" ht="15.75" customHeight="1" s="673">
      <c r="A103" s="69" t="n"/>
      <c r="B103" s="130" t="n"/>
      <c r="C103" s="130" t="n"/>
      <c r="D103" s="130" t="n"/>
      <c r="E103" s="130" t="n"/>
      <c r="F103" s="130" t="n"/>
      <c r="G103" s="130" t="n"/>
      <c r="H103" s="130" t="n"/>
      <c r="I103" s="130" t="n"/>
      <c r="J103" s="75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69" t="n"/>
      <c r="AA103" s="69" t="n"/>
    </row>
    <row r="104" ht="15.75" customHeight="1" s="673">
      <c r="A104" s="69" t="n"/>
      <c r="B104" s="131" t="n"/>
      <c r="C104" s="131" t="n"/>
      <c r="D104" s="131" t="n"/>
      <c r="E104" s="131" t="n"/>
      <c r="F104" s="131" t="n"/>
      <c r="G104" s="131" t="n"/>
      <c r="H104" s="131" t="n"/>
      <c r="I104" s="130" t="n"/>
      <c r="J104" s="75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  <c r="AA104" s="69" t="n"/>
    </row>
    <row r="105" ht="15.75" customHeight="1" s="673">
      <c r="A105" s="69" t="n"/>
      <c r="B105" s="131" t="n"/>
      <c r="C105" s="131" t="n"/>
      <c r="D105" s="131" t="n"/>
      <c r="E105" s="131" t="n"/>
      <c r="F105" s="131" t="n"/>
      <c r="G105" s="131" t="n"/>
      <c r="H105" s="131" t="n"/>
      <c r="I105" s="130" t="n"/>
      <c r="J105" s="75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  <c r="AA105" s="69" t="n"/>
    </row>
    <row r="106" ht="15.75" customHeight="1" s="673">
      <c r="A106" s="69" t="n"/>
      <c r="B106" s="131" t="n"/>
      <c r="C106" s="131" t="n"/>
      <c r="D106" s="131" t="n"/>
      <c r="E106" s="131" t="n"/>
      <c r="F106" s="131" t="n"/>
      <c r="G106" s="131" t="n"/>
      <c r="H106" s="131" t="n"/>
      <c r="I106" s="130" t="n"/>
      <c r="J106" s="75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  <c r="AA106" s="69" t="n"/>
    </row>
    <row r="107" ht="15.75" customHeight="1" s="673">
      <c r="A107" s="69" t="n"/>
      <c r="B107" s="131" t="n"/>
      <c r="C107" s="131" t="n"/>
      <c r="D107" s="131" t="n"/>
      <c r="E107" s="131" t="n"/>
      <c r="F107" s="131" t="n"/>
      <c r="G107" s="131" t="n"/>
      <c r="H107" s="131" t="n"/>
      <c r="I107" s="131" t="n"/>
      <c r="J107" s="75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  <c r="Z107" s="69" t="n"/>
      <c r="AA107" s="69" t="n"/>
    </row>
    <row r="108" ht="15.75" customHeight="1" s="673">
      <c r="A108" s="69" t="n"/>
      <c r="B108" s="131" t="n"/>
      <c r="C108" s="131" t="n"/>
      <c r="D108" s="131" t="n"/>
      <c r="E108" s="131" t="n"/>
      <c r="F108" s="131" t="n"/>
      <c r="G108" s="131" t="n"/>
      <c r="H108" s="131" t="n"/>
      <c r="I108" s="131" t="n"/>
      <c r="J108" s="75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  <c r="AA108" s="69" t="n"/>
    </row>
    <row r="109" ht="15.75" customHeight="1" s="673">
      <c r="A109" s="69" t="n"/>
      <c r="B109" s="131" t="n"/>
      <c r="C109" s="131" t="n"/>
      <c r="D109" s="131" t="n"/>
      <c r="E109" s="131" t="n"/>
      <c r="F109" s="131" t="n"/>
      <c r="G109" s="131" t="n"/>
      <c r="H109" s="131" t="n"/>
      <c r="I109" s="131" t="n"/>
      <c r="J109" s="75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  <c r="AA109" s="69" t="n"/>
    </row>
    <row r="110" ht="15.75" customHeight="1" s="673">
      <c r="A110" s="69" t="n"/>
      <c r="B110" s="131" t="n"/>
      <c r="C110" s="131" t="n"/>
      <c r="D110" s="131" t="n"/>
      <c r="E110" s="131" t="n"/>
      <c r="F110" s="131" t="n"/>
      <c r="G110" s="131" t="n"/>
      <c r="H110" s="131" t="n"/>
      <c r="I110" s="131" t="n"/>
      <c r="J110" s="75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  <c r="AA110" s="69" t="n"/>
    </row>
    <row r="111" ht="15.75" customHeight="1" s="673">
      <c r="A111" s="69" t="n"/>
      <c r="B111" s="131" t="n"/>
      <c r="C111" s="131" t="n"/>
      <c r="D111" s="131" t="n"/>
      <c r="E111" s="131" t="n"/>
      <c r="F111" s="131" t="n"/>
      <c r="G111" s="131" t="n"/>
      <c r="H111" s="131" t="n"/>
      <c r="I111" s="131" t="n"/>
      <c r="J111" s="75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  <c r="AA111" s="69" t="n"/>
    </row>
    <row r="112" ht="15.75" customHeight="1" s="673">
      <c r="A112" s="69" t="n"/>
      <c r="B112" s="131" t="n"/>
      <c r="C112" s="131" t="n"/>
      <c r="D112" s="131" t="n"/>
      <c r="E112" s="131" t="n"/>
      <c r="F112" s="131" t="n"/>
      <c r="G112" s="131" t="n"/>
      <c r="H112" s="131" t="n"/>
      <c r="I112" s="131" t="n"/>
      <c r="J112" s="75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  <c r="AA112" s="69" t="n"/>
    </row>
    <row r="113" ht="15.75" customHeight="1" s="673">
      <c r="A113" s="69" t="n"/>
      <c r="B113" s="131" t="n"/>
      <c r="C113" s="131" t="n"/>
      <c r="D113" s="131" t="n"/>
      <c r="E113" s="131" t="n"/>
      <c r="F113" s="131" t="n"/>
      <c r="G113" s="131" t="n"/>
      <c r="H113" s="131" t="n"/>
      <c r="I113" s="131" t="n"/>
      <c r="J113" s="75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  <c r="AA113" s="69" t="n"/>
    </row>
    <row r="114" ht="15.75" customHeight="1" s="673">
      <c r="A114" s="69" t="n"/>
      <c r="B114" s="131" t="n"/>
      <c r="C114" s="131" t="n"/>
      <c r="D114" s="131" t="n"/>
      <c r="E114" s="131" t="n"/>
      <c r="F114" s="131" t="n"/>
      <c r="G114" s="131" t="n"/>
      <c r="H114" s="131" t="n"/>
      <c r="I114" s="131" t="n"/>
      <c r="J114" s="75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  <c r="AA114" s="69" t="n"/>
    </row>
    <row r="115" ht="15.75" customHeight="1" s="673">
      <c r="A115" s="69" t="n"/>
      <c r="B115" s="131" t="n"/>
      <c r="C115" s="131" t="n"/>
      <c r="D115" s="131" t="n"/>
      <c r="E115" s="131" t="n"/>
      <c r="F115" s="131" t="n"/>
      <c r="G115" s="131" t="n"/>
      <c r="H115" s="131" t="n"/>
      <c r="I115" s="131" t="n"/>
      <c r="J115" s="75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  <c r="Z115" s="69" t="n"/>
      <c r="AA115" s="69" t="n"/>
    </row>
    <row r="116" ht="15.75" customHeight="1" s="673">
      <c r="A116" s="69" t="n"/>
      <c r="B116" s="131" t="n"/>
      <c r="C116" s="131" t="n"/>
      <c r="D116" s="131" t="n"/>
      <c r="E116" s="131" t="n"/>
      <c r="F116" s="131" t="n"/>
      <c r="G116" s="131" t="n"/>
      <c r="H116" s="131" t="n"/>
      <c r="I116" s="131" t="n"/>
      <c r="J116" s="75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  <c r="AA116" s="69" t="n"/>
    </row>
    <row r="117" ht="15.75" customHeight="1" s="673">
      <c r="A117" s="69" t="n"/>
      <c r="B117" s="131" t="n"/>
      <c r="C117" s="131" t="n"/>
      <c r="D117" s="131" t="n"/>
      <c r="E117" s="131" t="n"/>
      <c r="F117" s="131" t="n"/>
      <c r="G117" s="131" t="n"/>
      <c r="H117" s="131" t="n"/>
      <c r="I117" s="131" t="n"/>
      <c r="J117" s="75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  <c r="AA117" s="69" t="n"/>
    </row>
    <row r="118" ht="15.75" customHeight="1" s="673">
      <c r="A118" s="69" t="n"/>
      <c r="B118" s="131" t="n"/>
      <c r="C118" s="131" t="n"/>
      <c r="D118" s="131" t="n"/>
      <c r="E118" s="131" t="n"/>
      <c r="F118" s="131" t="n"/>
      <c r="G118" s="131" t="n"/>
      <c r="H118" s="131" t="n"/>
      <c r="I118" s="131" t="n"/>
      <c r="J118" s="75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  <c r="AA118" s="69" t="n"/>
    </row>
    <row r="119" ht="15.75" customHeight="1" s="673">
      <c r="A119" s="69" t="n"/>
      <c r="B119" s="131" t="n"/>
      <c r="C119" s="131" t="n"/>
      <c r="D119" s="131" t="n"/>
      <c r="E119" s="131" t="n"/>
      <c r="F119" s="131" t="n"/>
      <c r="G119" s="131" t="n"/>
      <c r="H119" s="131" t="n"/>
      <c r="I119" s="131" t="n"/>
      <c r="J119" s="75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  <c r="AA119" s="69" t="n"/>
    </row>
    <row r="120" ht="15.75" customHeight="1" s="673">
      <c r="A120" s="69" t="n"/>
      <c r="B120" s="131" t="n"/>
      <c r="C120" s="131" t="n"/>
      <c r="D120" s="131" t="n"/>
      <c r="E120" s="131" t="n"/>
      <c r="F120" s="131" t="n"/>
      <c r="G120" s="131" t="n"/>
      <c r="H120" s="131" t="n"/>
      <c r="I120" s="131" t="n"/>
      <c r="J120" s="75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  <c r="AA120" s="69" t="n"/>
    </row>
    <row r="121" ht="15.75" customHeight="1" s="673">
      <c r="A121" s="69" t="n"/>
      <c r="B121" s="131" t="n"/>
      <c r="C121" s="131" t="n"/>
      <c r="D121" s="131" t="n"/>
      <c r="E121" s="131" t="n"/>
      <c r="F121" s="131" t="n"/>
      <c r="G121" s="131" t="n"/>
      <c r="H121" s="131" t="n"/>
      <c r="I121" s="131" t="n"/>
      <c r="J121" s="75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  <c r="AA121" s="69" t="n"/>
    </row>
    <row r="122" ht="15.75" customHeight="1" s="673">
      <c r="A122" s="69" t="n"/>
      <c r="B122" s="131" t="n"/>
      <c r="C122" s="131" t="n"/>
      <c r="D122" s="131" t="n"/>
      <c r="E122" s="131" t="n"/>
      <c r="F122" s="131" t="n"/>
      <c r="G122" s="131" t="n"/>
      <c r="H122" s="131" t="n"/>
      <c r="I122" s="131" t="n"/>
      <c r="J122" s="75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  <c r="AA122" s="69" t="n"/>
    </row>
    <row r="123" ht="15.75" customHeight="1" s="673">
      <c r="A123" s="69" t="n"/>
      <c r="B123" s="131" t="n"/>
      <c r="C123" s="131" t="n"/>
      <c r="D123" s="131" t="n"/>
      <c r="E123" s="131" t="n"/>
      <c r="F123" s="131" t="n"/>
      <c r="G123" s="131" t="n"/>
      <c r="H123" s="131" t="n"/>
      <c r="I123" s="131" t="n"/>
      <c r="J123" s="75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  <c r="AA123" s="69" t="n"/>
    </row>
    <row r="124" ht="15.75" customHeight="1" s="673">
      <c r="A124" s="69" t="n"/>
      <c r="B124" s="131" t="n"/>
      <c r="C124" s="131" t="n"/>
      <c r="D124" s="131" t="n"/>
      <c r="E124" s="131" t="n"/>
      <c r="F124" s="131" t="n"/>
      <c r="G124" s="131" t="n"/>
      <c r="H124" s="131" t="n"/>
      <c r="I124" s="131" t="n"/>
      <c r="J124" s="75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  <c r="AA124" s="69" t="n"/>
    </row>
    <row r="125" ht="15.75" customHeight="1" s="673">
      <c r="A125" s="69" t="n"/>
      <c r="B125" s="131" t="n"/>
      <c r="C125" s="131" t="n"/>
      <c r="D125" s="131" t="n"/>
      <c r="E125" s="131" t="n"/>
      <c r="F125" s="131" t="n"/>
      <c r="G125" s="131" t="n"/>
      <c r="H125" s="131" t="n"/>
      <c r="I125" s="131" t="n"/>
      <c r="J125" s="75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  <c r="AA125" s="69" t="n"/>
    </row>
    <row r="126" ht="15.75" customHeight="1" s="673">
      <c r="A126" s="69" t="n"/>
      <c r="B126" s="131" t="n"/>
      <c r="C126" s="131" t="n"/>
      <c r="D126" s="131" t="n"/>
      <c r="E126" s="131" t="n"/>
      <c r="F126" s="131" t="n"/>
      <c r="G126" s="131" t="n"/>
      <c r="H126" s="131" t="n"/>
      <c r="I126" s="131" t="n"/>
      <c r="J126" s="75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  <c r="AA126" s="69" t="n"/>
    </row>
    <row r="127" ht="15.75" customHeight="1" s="673">
      <c r="A127" s="69" t="n"/>
      <c r="B127" s="131" t="n"/>
      <c r="C127" s="131" t="n"/>
      <c r="D127" s="131" t="n"/>
      <c r="E127" s="131" t="n"/>
      <c r="F127" s="131" t="n"/>
      <c r="G127" s="131" t="n"/>
      <c r="H127" s="131" t="n"/>
      <c r="I127" s="131" t="n"/>
      <c r="J127" s="75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  <c r="AA127" s="69" t="n"/>
    </row>
    <row r="128" ht="15.75" customHeight="1" s="673">
      <c r="A128" s="69" t="n"/>
      <c r="B128" s="131" t="n"/>
      <c r="C128" s="131" t="n"/>
      <c r="D128" s="131" t="n"/>
      <c r="E128" s="131" t="n"/>
      <c r="F128" s="131" t="n"/>
      <c r="G128" s="131" t="n"/>
      <c r="H128" s="131" t="n"/>
      <c r="I128" s="131" t="n"/>
      <c r="J128" s="75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  <c r="AA128" s="69" t="n"/>
    </row>
    <row r="129" ht="15.75" customHeight="1" s="673">
      <c r="A129" s="69" t="n"/>
      <c r="B129" s="131" t="n"/>
      <c r="C129" s="131" t="n"/>
      <c r="D129" s="131" t="n"/>
      <c r="E129" s="131" t="n"/>
      <c r="F129" s="131" t="n"/>
      <c r="G129" s="131" t="n"/>
      <c r="H129" s="131" t="n"/>
      <c r="I129" s="131" t="n"/>
      <c r="J129" s="75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  <c r="AA129" s="69" t="n"/>
    </row>
    <row r="130" ht="15.75" customHeight="1" s="673">
      <c r="A130" s="69" t="n"/>
      <c r="B130" s="131" t="n"/>
      <c r="C130" s="131" t="n"/>
      <c r="D130" s="131" t="n"/>
      <c r="E130" s="131" t="n"/>
      <c r="F130" s="131" t="n"/>
      <c r="G130" s="131" t="n"/>
      <c r="H130" s="131" t="n"/>
      <c r="I130" s="131" t="n"/>
      <c r="J130" s="75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  <c r="AA130" s="69" t="n"/>
    </row>
    <row r="131" ht="15.75" customHeight="1" s="673">
      <c r="A131" s="69" t="n"/>
      <c r="B131" s="131" t="n"/>
      <c r="C131" s="131" t="n"/>
      <c r="D131" s="131" t="n"/>
      <c r="E131" s="131" t="n"/>
      <c r="F131" s="131" t="n"/>
      <c r="G131" s="131" t="n"/>
      <c r="H131" s="131" t="n"/>
      <c r="I131" s="131" t="n"/>
      <c r="J131" s="75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  <c r="AA131" s="69" t="n"/>
    </row>
    <row r="132" ht="15.75" customHeight="1" s="673">
      <c r="A132" s="69" t="n"/>
      <c r="B132" s="131" t="n"/>
      <c r="C132" s="131" t="n"/>
      <c r="D132" s="131" t="n"/>
      <c r="E132" s="131" t="n"/>
      <c r="F132" s="131" t="n"/>
      <c r="G132" s="131" t="n"/>
      <c r="H132" s="131" t="n"/>
      <c r="I132" s="131" t="n"/>
      <c r="J132" s="75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  <c r="AA132" s="69" t="n"/>
    </row>
    <row r="133" ht="15.75" customHeight="1" s="673">
      <c r="A133" s="69" t="n"/>
      <c r="B133" s="131" t="n"/>
      <c r="C133" s="131" t="n"/>
      <c r="D133" s="131" t="n"/>
      <c r="E133" s="131" t="n"/>
      <c r="F133" s="131" t="n"/>
      <c r="G133" s="131" t="n"/>
      <c r="H133" s="131" t="n"/>
      <c r="I133" s="131" t="n"/>
      <c r="J133" s="75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  <c r="AA133" s="69" t="n"/>
    </row>
    <row r="134" ht="15.75" customHeight="1" s="673">
      <c r="A134" s="69" t="n"/>
      <c r="B134" s="131" t="n"/>
      <c r="C134" s="131" t="n"/>
      <c r="D134" s="131" t="n"/>
      <c r="E134" s="131" t="n"/>
      <c r="F134" s="131" t="n"/>
      <c r="G134" s="131" t="n"/>
      <c r="H134" s="131" t="n"/>
      <c r="I134" s="131" t="n"/>
      <c r="J134" s="75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  <c r="AA134" s="69" t="n"/>
    </row>
    <row r="135" ht="15.75" customHeight="1" s="673">
      <c r="A135" s="69" t="n"/>
      <c r="B135" s="131" t="n"/>
      <c r="C135" s="131" t="n"/>
      <c r="D135" s="131" t="n"/>
      <c r="E135" s="131" t="n"/>
      <c r="F135" s="131" t="n"/>
      <c r="G135" s="131" t="n"/>
      <c r="H135" s="131" t="n"/>
      <c r="I135" s="131" t="n"/>
      <c r="J135" s="75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  <c r="Z135" s="69" t="n"/>
      <c r="AA135" s="69" t="n"/>
    </row>
    <row r="136" ht="15.75" customHeight="1" s="673">
      <c r="A136" s="69" t="n"/>
      <c r="B136" s="131" t="n"/>
      <c r="C136" s="131" t="n"/>
      <c r="D136" s="131" t="n"/>
      <c r="E136" s="131" t="n"/>
      <c r="F136" s="131" t="n"/>
      <c r="G136" s="131" t="n"/>
      <c r="H136" s="131" t="n"/>
      <c r="I136" s="131" t="n"/>
      <c r="J136" s="75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  <c r="AA136" s="69" t="n"/>
    </row>
    <row r="137" ht="15.75" customHeight="1" s="673">
      <c r="A137" s="69" t="n"/>
      <c r="B137" s="131" t="n"/>
      <c r="C137" s="131" t="n"/>
      <c r="D137" s="131" t="n"/>
      <c r="E137" s="131" t="n"/>
      <c r="F137" s="131" t="n"/>
      <c r="G137" s="131" t="n"/>
      <c r="H137" s="131" t="n"/>
      <c r="I137" s="131" t="n"/>
      <c r="J137" s="75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  <c r="AA137" s="69" t="n"/>
    </row>
    <row r="138" ht="15.75" customHeight="1" s="673">
      <c r="A138" s="69" t="n"/>
      <c r="B138" s="131" t="n"/>
      <c r="C138" s="131" t="n"/>
      <c r="D138" s="131" t="n"/>
      <c r="E138" s="131" t="n"/>
      <c r="F138" s="131" t="n"/>
      <c r="G138" s="131" t="n"/>
      <c r="H138" s="131" t="n"/>
      <c r="I138" s="131" t="n"/>
      <c r="J138" s="75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  <c r="AA138" s="69" t="n"/>
    </row>
    <row r="139" ht="15.75" customHeight="1" s="673">
      <c r="A139" s="69" t="n"/>
      <c r="B139" s="131" t="n"/>
      <c r="C139" s="131" t="n"/>
      <c r="D139" s="131" t="n"/>
      <c r="E139" s="131" t="n"/>
      <c r="F139" s="131" t="n"/>
      <c r="G139" s="131" t="n"/>
      <c r="H139" s="131" t="n"/>
      <c r="I139" s="131" t="n"/>
      <c r="J139" s="75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  <c r="AA139" s="69" t="n"/>
    </row>
    <row r="140" ht="15.75" customHeight="1" s="673">
      <c r="A140" s="69" t="n"/>
      <c r="B140" s="131" t="n"/>
      <c r="C140" s="131" t="n"/>
      <c r="D140" s="131" t="n"/>
      <c r="E140" s="131" t="n"/>
      <c r="F140" s="131" t="n"/>
      <c r="G140" s="131" t="n"/>
      <c r="H140" s="131" t="n"/>
      <c r="I140" s="131" t="n"/>
      <c r="J140" s="75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  <c r="AA140" s="69" t="n"/>
    </row>
    <row r="141" ht="15.75" customHeight="1" s="673">
      <c r="A141" s="69" t="n"/>
      <c r="B141" s="131" t="n"/>
      <c r="C141" s="131" t="n"/>
      <c r="D141" s="131" t="n"/>
      <c r="E141" s="131" t="n"/>
      <c r="F141" s="131" t="n"/>
      <c r="G141" s="131" t="n"/>
      <c r="H141" s="131" t="n"/>
      <c r="I141" s="131" t="n"/>
      <c r="J141" s="75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  <c r="AA141" s="69" t="n"/>
    </row>
    <row r="142" ht="15.75" customHeight="1" s="673">
      <c r="A142" s="69" t="n"/>
      <c r="B142" s="131" t="n"/>
      <c r="C142" s="131" t="n"/>
      <c r="D142" s="131" t="n"/>
      <c r="E142" s="131" t="n"/>
      <c r="F142" s="131" t="n"/>
      <c r="G142" s="131" t="n"/>
      <c r="H142" s="131" t="n"/>
      <c r="I142" s="131" t="n"/>
      <c r="J142" s="75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  <c r="AA142" s="69" t="n"/>
    </row>
    <row r="143" ht="15.75" customHeight="1" s="673">
      <c r="A143" s="69" t="n"/>
      <c r="B143" s="131" t="n"/>
      <c r="C143" s="131" t="n"/>
      <c r="D143" s="131" t="n"/>
      <c r="E143" s="131" t="n"/>
      <c r="F143" s="131" t="n"/>
      <c r="G143" s="131" t="n"/>
      <c r="H143" s="131" t="n"/>
      <c r="I143" s="131" t="n"/>
      <c r="J143" s="75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  <c r="AA143" s="69" t="n"/>
    </row>
    <row r="144" ht="15.75" customHeight="1" s="673">
      <c r="A144" s="69" t="n"/>
      <c r="B144" s="131" t="n"/>
      <c r="C144" s="131" t="n"/>
      <c r="D144" s="131" t="n"/>
      <c r="E144" s="131" t="n"/>
      <c r="F144" s="131" t="n"/>
      <c r="G144" s="131" t="n"/>
      <c r="H144" s="131" t="n"/>
      <c r="I144" s="131" t="n"/>
      <c r="J144" s="75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  <c r="AA144" s="69" t="n"/>
    </row>
    <row r="145" ht="15.75" customHeight="1" s="673">
      <c r="A145" s="69" t="n"/>
      <c r="B145" s="131" t="n"/>
      <c r="C145" s="131" t="n"/>
      <c r="D145" s="131" t="n"/>
      <c r="E145" s="131" t="n"/>
      <c r="F145" s="131" t="n"/>
      <c r="G145" s="131" t="n"/>
      <c r="H145" s="131" t="n"/>
      <c r="I145" s="131" t="n"/>
      <c r="J145" s="75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  <c r="AA145" s="69" t="n"/>
    </row>
    <row r="146" ht="15.75" customHeight="1" s="673">
      <c r="A146" s="69" t="n"/>
      <c r="B146" s="131" t="n"/>
      <c r="C146" s="131" t="n"/>
      <c r="D146" s="131" t="n"/>
      <c r="E146" s="131" t="n"/>
      <c r="F146" s="131" t="n"/>
      <c r="G146" s="131" t="n"/>
      <c r="H146" s="131" t="n"/>
      <c r="I146" s="131" t="n"/>
      <c r="J146" s="75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  <c r="AA146" s="69" t="n"/>
    </row>
    <row r="147" ht="15.75" customHeight="1" s="673">
      <c r="A147" s="69" t="n"/>
      <c r="B147" s="131" t="n"/>
      <c r="C147" s="131" t="n"/>
      <c r="D147" s="131" t="n"/>
      <c r="E147" s="131" t="n"/>
      <c r="F147" s="131" t="n"/>
      <c r="G147" s="131" t="n"/>
      <c r="H147" s="131" t="n"/>
      <c r="I147" s="131" t="n"/>
      <c r="J147" s="75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  <c r="AA147" s="69" t="n"/>
    </row>
    <row r="148" ht="15.75" customHeight="1" s="673">
      <c r="A148" s="69" t="n"/>
      <c r="B148" s="131" t="n"/>
      <c r="C148" s="131" t="n"/>
      <c r="D148" s="131" t="n"/>
      <c r="E148" s="131" t="n"/>
      <c r="F148" s="131" t="n"/>
      <c r="G148" s="131" t="n"/>
      <c r="H148" s="131" t="n"/>
      <c r="I148" s="131" t="n"/>
      <c r="J148" s="75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  <c r="AA148" s="69" t="n"/>
    </row>
    <row r="149" ht="15.75" customHeight="1" s="673">
      <c r="A149" s="69" t="n"/>
      <c r="B149" s="131" t="n"/>
      <c r="C149" s="131" t="n"/>
      <c r="D149" s="131" t="n"/>
      <c r="E149" s="131" t="n"/>
      <c r="F149" s="131" t="n"/>
      <c r="G149" s="131" t="n"/>
      <c r="H149" s="131" t="n"/>
      <c r="I149" s="131" t="n"/>
      <c r="J149" s="75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  <c r="AA149" s="69" t="n"/>
    </row>
    <row r="150" ht="15.75" customHeight="1" s="673">
      <c r="A150" s="69" t="n"/>
      <c r="B150" s="131" t="n"/>
      <c r="C150" s="131" t="n"/>
      <c r="D150" s="131" t="n"/>
      <c r="E150" s="131" t="n"/>
      <c r="F150" s="131" t="n"/>
      <c r="G150" s="131" t="n"/>
      <c r="H150" s="131" t="n"/>
      <c r="I150" s="131" t="n"/>
      <c r="J150" s="75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  <c r="AA150" s="69" t="n"/>
    </row>
    <row r="151" ht="15.75" customHeight="1" s="673">
      <c r="A151" s="69" t="n"/>
      <c r="B151" s="131" t="n"/>
      <c r="C151" s="131" t="n"/>
      <c r="D151" s="131" t="n"/>
      <c r="E151" s="131" t="n"/>
      <c r="F151" s="131" t="n"/>
      <c r="G151" s="131" t="n"/>
      <c r="H151" s="131" t="n"/>
      <c r="I151" s="131" t="n"/>
      <c r="J151" s="75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  <c r="AA151" s="69" t="n"/>
    </row>
    <row r="152" ht="15.75" customHeight="1" s="673">
      <c r="A152" s="69" t="n"/>
      <c r="B152" s="131" t="n"/>
      <c r="C152" s="131" t="n"/>
      <c r="D152" s="131" t="n"/>
      <c r="E152" s="131" t="n"/>
      <c r="F152" s="131" t="n"/>
      <c r="G152" s="131" t="n"/>
      <c r="H152" s="131" t="n"/>
      <c r="I152" s="131" t="n"/>
      <c r="J152" s="75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  <c r="AA152" s="69" t="n"/>
    </row>
    <row r="153" ht="15.75" customHeight="1" s="673">
      <c r="A153" s="69" t="n"/>
      <c r="B153" s="131" t="n"/>
      <c r="C153" s="131" t="n"/>
      <c r="D153" s="131" t="n"/>
      <c r="E153" s="131" t="n"/>
      <c r="F153" s="131" t="n"/>
      <c r="G153" s="131" t="n"/>
      <c r="H153" s="131" t="n"/>
      <c r="I153" s="131" t="n"/>
      <c r="J153" s="75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  <c r="AA153" s="69" t="n"/>
    </row>
    <row r="154" ht="15.75" customHeight="1" s="673">
      <c r="A154" s="69" t="n"/>
      <c r="B154" s="131" t="n"/>
      <c r="C154" s="131" t="n"/>
      <c r="D154" s="131" t="n"/>
      <c r="E154" s="131" t="n"/>
      <c r="F154" s="131" t="n"/>
      <c r="G154" s="131" t="n"/>
      <c r="H154" s="131" t="n"/>
      <c r="I154" s="131" t="n"/>
      <c r="J154" s="75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  <c r="AA154" s="69" t="n"/>
    </row>
    <row r="155" ht="15.75" customHeight="1" s="673">
      <c r="A155" s="69" t="n"/>
      <c r="B155" s="131" t="n"/>
      <c r="C155" s="131" t="n"/>
      <c r="D155" s="131" t="n"/>
      <c r="E155" s="131" t="n"/>
      <c r="F155" s="131" t="n"/>
      <c r="G155" s="131" t="n"/>
      <c r="H155" s="131" t="n"/>
      <c r="I155" s="131" t="n"/>
      <c r="J155" s="75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  <c r="AA155" s="69" t="n"/>
    </row>
    <row r="156" ht="15.75" customHeight="1" s="673">
      <c r="A156" s="69" t="n"/>
      <c r="B156" s="131" t="n"/>
      <c r="C156" s="131" t="n"/>
      <c r="D156" s="131" t="n"/>
      <c r="E156" s="131" t="n"/>
      <c r="F156" s="131" t="n"/>
      <c r="G156" s="131" t="n"/>
      <c r="H156" s="131" t="n"/>
      <c r="I156" s="131" t="n"/>
      <c r="J156" s="75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  <c r="AA156" s="69" t="n"/>
    </row>
    <row r="157" ht="15.75" customHeight="1" s="673">
      <c r="A157" s="69" t="n"/>
      <c r="B157" s="131" t="n"/>
      <c r="C157" s="131" t="n"/>
      <c r="D157" s="131" t="n"/>
      <c r="E157" s="131" t="n"/>
      <c r="F157" s="131" t="n"/>
      <c r="G157" s="131" t="n"/>
      <c r="H157" s="131" t="n"/>
      <c r="I157" s="131" t="n"/>
      <c r="J157" s="75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  <c r="AA157" s="69" t="n"/>
    </row>
    <row r="158" ht="15.75" customHeight="1" s="673">
      <c r="A158" s="69" t="n"/>
      <c r="B158" s="131" t="n"/>
      <c r="C158" s="131" t="n"/>
      <c r="D158" s="131" t="n"/>
      <c r="E158" s="131" t="n"/>
      <c r="F158" s="131" t="n"/>
      <c r="G158" s="131" t="n"/>
      <c r="H158" s="131" t="n"/>
      <c r="I158" s="131" t="n"/>
      <c r="J158" s="75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  <c r="AA158" s="69" t="n"/>
    </row>
    <row r="159" ht="15.75" customHeight="1" s="673">
      <c r="A159" s="69" t="n"/>
      <c r="B159" s="131" t="n"/>
      <c r="C159" s="131" t="n"/>
      <c r="D159" s="131" t="n"/>
      <c r="E159" s="131" t="n"/>
      <c r="F159" s="131" t="n"/>
      <c r="G159" s="131" t="n"/>
      <c r="H159" s="131" t="n"/>
      <c r="I159" s="131" t="n"/>
      <c r="J159" s="75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  <c r="AA159" s="69" t="n"/>
    </row>
    <row r="160" ht="15.75" customHeight="1" s="673">
      <c r="A160" s="69" t="n"/>
      <c r="B160" s="131" t="n"/>
      <c r="C160" s="131" t="n"/>
      <c r="D160" s="131" t="n"/>
      <c r="E160" s="131" t="n"/>
      <c r="F160" s="131" t="n"/>
      <c r="G160" s="131" t="n"/>
      <c r="H160" s="131" t="n"/>
      <c r="I160" s="131" t="n"/>
      <c r="J160" s="75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  <c r="AA160" s="69" t="n"/>
    </row>
    <row r="161" ht="15.75" customHeight="1" s="673">
      <c r="A161" s="69" t="n"/>
      <c r="B161" s="131" t="n"/>
      <c r="C161" s="131" t="n"/>
      <c r="D161" s="131" t="n"/>
      <c r="E161" s="131" t="n"/>
      <c r="F161" s="131" t="n"/>
      <c r="G161" s="131" t="n"/>
      <c r="H161" s="131" t="n"/>
      <c r="I161" s="131" t="n"/>
      <c r="J161" s="75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  <c r="AA161" s="69" t="n"/>
    </row>
    <row r="162" ht="15.75" customHeight="1" s="673">
      <c r="A162" s="69" t="n"/>
      <c r="B162" s="131" t="n"/>
      <c r="C162" s="131" t="n"/>
      <c r="D162" s="131" t="n"/>
      <c r="E162" s="131" t="n"/>
      <c r="F162" s="131" t="n"/>
      <c r="G162" s="131" t="n"/>
      <c r="H162" s="131" t="n"/>
      <c r="I162" s="131" t="n"/>
      <c r="J162" s="75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  <c r="AA162" s="69" t="n"/>
    </row>
    <row r="163" ht="15.75" customHeight="1" s="673">
      <c r="A163" s="69" t="n"/>
      <c r="B163" s="131" t="n"/>
      <c r="C163" s="131" t="n"/>
      <c r="D163" s="131" t="n"/>
      <c r="E163" s="131" t="n"/>
      <c r="F163" s="131" t="n"/>
      <c r="G163" s="131" t="n"/>
      <c r="H163" s="131" t="n"/>
      <c r="I163" s="131" t="n"/>
      <c r="J163" s="75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  <c r="AA163" s="69" t="n"/>
    </row>
    <row r="164" ht="15.75" customHeight="1" s="673">
      <c r="A164" s="69" t="n"/>
      <c r="B164" s="131" t="n"/>
      <c r="C164" s="131" t="n"/>
      <c r="D164" s="131" t="n"/>
      <c r="E164" s="131" t="n"/>
      <c r="F164" s="131" t="n"/>
      <c r="G164" s="131" t="n"/>
      <c r="H164" s="131" t="n"/>
      <c r="I164" s="131" t="n"/>
      <c r="J164" s="75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  <c r="AA164" s="69" t="n"/>
    </row>
    <row r="165" ht="15.75" customHeight="1" s="673">
      <c r="A165" s="69" t="n"/>
      <c r="B165" s="131" t="n"/>
      <c r="C165" s="131" t="n"/>
      <c r="D165" s="131" t="n"/>
      <c r="E165" s="131" t="n"/>
      <c r="F165" s="131" t="n"/>
      <c r="G165" s="131" t="n"/>
      <c r="H165" s="131" t="n"/>
      <c r="I165" s="131" t="n"/>
      <c r="J165" s="75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  <c r="Z165" s="69" t="n"/>
      <c r="AA165" s="69" t="n"/>
    </row>
    <row r="166" ht="15.75" customHeight="1" s="673">
      <c r="A166" s="69" t="n"/>
      <c r="B166" s="131" t="n"/>
      <c r="C166" s="131" t="n"/>
      <c r="D166" s="131" t="n"/>
      <c r="E166" s="131" t="n"/>
      <c r="F166" s="131" t="n"/>
      <c r="G166" s="131" t="n"/>
      <c r="H166" s="131" t="n"/>
      <c r="I166" s="131" t="n"/>
      <c r="J166" s="75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  <c r="AA166" s="69" t="n"/>
    </row>
    <row r="167" ht="15.75" customHeight="1" s="673">
      <c r="A167" s="69" t="n"/>
      <c r="B167" s="131" t="n"/>
      <c r="C167" s="131" t="n"/>
      <c r="D167" s="131" t="n"/>
      <c r="E167" s="131" t="n"/>
      <c r="F167" s="131" t="n"/>
      <c r="G167" s="131" t="n"/>
      <c r="H167" s="131" t="n"/>
      <c r="I167" s="131" t="n"/>
      <c r="J167" s="75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  <c r="AA167" s="69" t="n"/>
    </row>
    <row r="168" ht="15.75" customHeight="1" s="673">
      <c r="A168" s="69" t="n"/>
      <c r="B168" s="131" t="n"/>
      <c r="C168" s="131" t="n"/>
      <c r="D168" s="131" t="n"/>
      <c r="E168" s="131" t="n"/>
      <c r="F168" s="131" t="n"/>
      <c r="G168" s="131" t="n"/>
      <c r="H168" s="131" t="n"/>
      <c r="I168" s="131" t="n"/>
      <c r="J168" s="75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  <c r="AA168" s="69" t="n"/>
    </row>
    <row r="169" ht="15.75" customHeight="1" s="673">
      <c r="A169" s="69" t="n"/>
      <c r="B169" s="131" t="n"/>
      <c r="C169" s="131" t="n"/>
      <c r="D169" s="131" t="n"/>
      <c r="E169" s="131" t="n"/>
      <c r="F169" s="131" t="n"/>
      <c r="G169" s="131" t="n"/>
      <c r="H169" s="131" t="n"/>
      <c r="I169" s="131" t="n"/>
      <c r="J169" s="75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  <c r="AA169" s="69" t="n"/>
    </row>
    <row r="170" ht="15.75" customHeight="1" s="673">
      <c r="A170" s="69" t="n"/>
      <c r="B170" s="131" t="n"/>
      <c r="C170" s="131" t="n"/>
      <c r="D170" s="131" t="n"/>
      <c r="E170" s="131" t="n"/>
      <c r="F170" s="131" t="n"/>
      <c r="G170" s="131" t="n"/>
      <c r="H170" s="131" t="n"/>
      <c r="I170" s="131" t="n"/>
      <c r="J170" s="75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  <c r="AA170" s="69" t="n"/>
    </row>
    <row r="171" ht="15.75" customHeight="1" s="673">
      <c r="A171" s="69" t="n"/>
      <c r="B171" s="131" t="n"/>
      <c r="C171" s="131" t="n"/>
      <c r="D171" s="131" t="n"/>
      <c r="E171" s="131" t="n"/>
      <c r="F171" s="131" t="n"/>
      <c r="G171" s="131" t="n"/>
      <c r="H171" s="131" t="n"/>
      <c r="I171" s="131" t="n"/>
      <c r="J171" s="75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  <c r="AA171" s="69" t="n"/>
    </row>
    <row r="172" ht="15.75" customHeight="1" s="673">
      <c r="A172" s="69" t="n"/>
      <c r="B172" s="131" t="n"/>
      <c r="C172" s="131" t="n"/>
      <c r="D172" s="131" t="n"/>
      <c r="E172" s="131" t="n"/>
      <c r="F172" s="131" t="n"/>
      <c r="G172" s="131" t="n"/>
      <c r="H172" s="131" t="n"/>
      <c r="I172" s="131" t="n"/>
      <c r="J172" s="75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  <c r="AA172" s="69" t="n"/>
    </row>
    <row r="173" ht="15.75" customHeight="1" s="673">
      <c r="A173" s="69" t="n"/>
      <c r="B173" s="131" t="n"/>
      <c r="C173" s="131" t="n"/>
      <c r="D173" s="131" t="n"/>
      <c r="E173" s="131" t="n"/>
      <c r="F173" s="131" t="n"/>
      <c r="G173" s="131" t="n"/>
      <c r="H173" s="131" t="n"/>
      <c r="I173" s="131" t="n"/>
      <c r="J173" s="75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  <c r="AA173" s="69" t="n"/>
    </row>
    <row r="174" ht="15.75" customHeight="1" s="673">
      <c r="A174" s="69" t="n"/>
      <c r="B174" s="131" t="n"/>
      <c r="C174" s="131" t="n"/>
      <c r="D174" s="131" t="n"/>
      <c r="E174" s="131" t="n"/>
      <c r="F174" s="131" t="n"/>
      <c r="G174" s="131" t="n"/>
      <c r="H174" s="131" t="n"/>
      <c r="I174" s="131" t="n"/>
      <c r="J174" s="75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  <c r="AA174" s="69" t="n"/>
    </row>
    <row r="175" ht="15.75" customHeight="1" s="673">
      <c r="A175" s="69" t="n"/>
      <c r="B175" s="131" t="n"/>
      <c r="C175" s="131" t="n"/>
      <c r="D175" s="131" t="n"/>
      <c r="E175" s="131" t="n"/>
      <c r="F175" s="131" t="n"/>
      <c r="G175" s="131" t="n"/>
      <c r="H175" s="131" t="n"/>
      <c r="I175" s="131" t="n"/>
      <c r="J175" s="75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  <c r="AA175" s="69" t="n"/>
    </row>
    <row r="176" ht="15.75" customHeight="1" s="673">
      <c r="A176" s="69" t="n"/>
      <c r="B176" s="131" t="n"/>
      <c r="C176" s="131" t="n"/>
      <c r="D176" s="131" t="n"/>
      <c r="E176" s="131" t="n"/>
      <c r="F176" s="131" t="n"/>
      <c r="G176" s="131" t="n"/>
      <c r="H176" s="131" t="n"/>
      <c r="I176" s="131" t="n"/>
      <c r="J176" s="75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  <c r="AA176" s="69" t="n"/>
    </row>
    <row r="177" ht="15.75" customHeight="1" s="673">
      <c r="A177" s="69" t="n"/>
      <c r="B177" s="131" t="n"/>
      <c r="C177" s="131" t="n"/>
      <c r="D177" s="131" t="n"/>
      <c r="E177" s="131" t="n"/>
      <c r="F177" s="131" t="n"/>
      <c r="G177" s="131" t="n"/>
      <c r="H177" s="131" t="n"/>
      <c r="I177" s="131" t="n"/>
      <c r="J177" s="75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  <c r="AA177" s="69" t="n"/>
    </row>
    <row r="178" ht="15.75" customHeight="1" s="673">
      <c r="A178" s="69" t="n"/>
      <c r="B178" s="131" t="n"/>
      <c r="C178" s="131" t="n"/>
      <c r="D178" s="131" t="n"/>
      <c r="E178" s="131" t="n"/>
      <c r="F178" s="131" t="n"/>
      <c r="G178" s="131" t="n"/>
      <c r="H178" s="131" t="n"/>
      <c r="I178" s="131" t="n"/>
      <c r="J178" s="75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  <c r="AA178" s="69" t="n"/>
    </row>
    <row r="179" ht="15.75" customHeight="1" s="673">
      <c r="A179" s="69" t="n"/>
      <c r="B179" s="131" t="n"/>
      <c r="C179" s="131" t="n"/>
      <c r="D179" s="131" t="n"/>
      <c r="E179" s="131" t="n"/>
      <c r="F179" s="131" t="n"/>
      <c r="G179" s="131" t="n"/>
      <c r="H179" s="131" t="n"/>
      <c r="I179" s="131" t="n"/>
      <c r="J179" s="75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  <c r="AA179" s="69" t="n"/>
    </row>
    <row r="180" ht="15.75" customHeight="1" s="673">
      <c r="A180" s="69" t="n"/>
      <c r="B180" s="131" t="n"/>
      <c r="C180" s="131" t="n"/>
      <c r="D180" s="131" t="n"/>
      <c r="E180" s="131" t="n"/>
      <c r="F180" s="131" t="n"/>
      <c r="G180" s="131" t="n"/>
      <c r="H180" s="131" t="n"/>
      <c r="I180" s="131" t="n"/>
      <c r="J180" s="75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  <c r="AA180" s="69" t="n"/>
    </row>
    <row r="181" ht="15.75" customHeight="1" s="673">
      <c r="A181" s="69" t="n"/>
      <c r="B181" s="131" t="n"/>
      <c r="C181" s="131" t="n"/>
      <c r="D181" s="131" t="n"/>
      <c r="E181" s="131" t="n"/>
      <c r="F181" s="131" t="n"/>
      <c r="G181" s="131" t="n"/>
      <c r="H181" s="131" t="n"/>
      <c r="I181" s="131" t="n"/>
      <c r="J181" s="75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  <c r="AA181" s="69" t="n"/>
    </row>
    <row r="182" ht="15.75" customHeight="1" s="673">
      <c r="A182" s="69" t="n"/>
      <c r="B182" s="131" t="n"/>
      <c r="C182" s="131" t="n"/>
      <c r="D182" s="131" t="n"/>
      <c r="E182" s="131" t="n"/>
      <c r="F182" s="131" t="n"/>
      <c r="G182" s="131" t="n"/>
      <c r="H182" s="131" t="n"/>
      <c r="I182" s="131" t="n"/>
      <c r="J182" s="75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  <c r="AA182" s="69" t="n"/>
    </row>
    <row r="183" ht="15.75" customHeight="1" s="673">
      <c r="A183" s="69" t="n"/>
      <c r="B183" s="131" t="n"/>
      <c r="C183" s="131" t="n"/>
      <c r="D183" s="131" t="n"/>
      <c r="E183" s="131" t="n"/>
      <c r="F183" s="131" t="n"/>
      <c r="G183" s="131" t="n"/>
      <c r="H183" s="131" t="n"/>
      <c r="I183" s="131" t="n"/>
      <c r="J183" s="75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  <c r="AA183" s="69" t="n"/>
    </row>
    <row r="184" ht="15.75" customHeight="1" s="673">
      <c r="A184" s="69" t="n"/>
      <c r="B184" s="131" t="n"/>
      <c r="C184" s="131" t="n"/>
      <c r="D184" s="131" t="n"/>
      <c r="E184" s="131" t="n"/>
      <c r="F184" s="131" t="n"/>
      <c r="G184" s="131" t="n"/>
      <c r="H184" s="131" t="n"/>
      <c r="I184" s="131" t="n"/>
      <c r="J184" s="75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  <c r="AA184" s="69" t="n"/>
    </row>
    <row r="185" ht="15.75" customHeight="1" s="673">
      <c r="A185" s="69" t="n"/>
      <c r="B185" s="131" t="n"/>
      <c r="C185" s="131" t="n"/>
      <c r="D185" s="131" t="n"/>
      <c r="E185" s="131" t="n"/>
      <c r="F185" s="131" t="n"/>
      <c r="G185" s="131" t="n"/>
      <c r="H185" s="131" t="n"/>
      <c r="I185" s="131" t="n"/>
      <c r="J185" s="75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  <c r="Z185" s="69" t="n"/>
      <c r="AA185" s="69" t="n"/>
    </row>
    <row r="186" ht="15.75" customHeight="1" s="673">
      <c r="A186" s="69" t="n"/>
      <c r="B186" s="131" t="n"/>
      <c r="C186" s="131" t="n"/>
      <c r="D186" s="131" t="n"/>
      <c r="E186" s="131" t="n"/>
      <c r="F186" s="131" t="n"/>
      <c r="G186" s="131" t="n"/>
      <c r="H186" s="131" t="n"/>
      <c r="I186" s="131" t="n"/>
      <c r="J186" s="75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  <c r="AA186" s="69" t="n"/>
    </row>
    <row r="187" ht="15.75" customHeight="1" s="673">
      <c r="A187" s="69" t="n"/>
      <c r="B187" s="131" t="n"/>
      <c r="C187" s="131" t="n"/>
      <c r="D187" s="131" t="n"/>
      <c r="E187" s="131" t="n"/>
      <c r="F187" s="131" t="n"/>
      <c r="G187" s="131" t="n"/>
      <c r="H187" s="131" t="n"/>
      <c r="I187" s="131" t="n"/>
      <c r="J187" s="75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  <c r="AA187" s="69" t="n"/>
    </row>
    <row r="188" ht="15.75" customHeight="1" s="673">
      <c r="A188" s="69" t="n"/>
      <c r="B188" s="131" t="n"/>
      <c r="C188" s="131" t="n"/>
      <c r="D188" s="131" t="n"/>
      <c r="E188" s="131" t="n"/>
      <c r="F188" s="131" t="n"/>
      <c r="G188" s="131" t="n"/>
      <c r="H188" s="131" t="n"/>
      <c r="I188" s="131" t="n"/>
      <c r="J188" s="75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  <c r="AA188" s="69" t="n"/>
    </row>
    <row r="189" ht="15.75" customHeight="1" s="673">
      <c r="A189" s="69" t="n"/>
      <c r="B189" s="131" t="n"/>
      <c r="C189" s="131" t="n"/>
      <c r="D189" s="131" t="n"/>
      <c r="E189" s="131" t="n"/>
      <c r="F189" s="131" t="n"/>
      <c r="G189" s="131" t="n"/>
      <c r="H189" s="131" t="n"/>
      <c r="I189" s="131" t="n"/>
      <c r="J189" s="75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  <c r="AA189" s="69" t="n"/>
    </row>
    <row r="190" ht="15.75" customHeight="1" s="673">
      <c r="A190" s="69" t="n"/>
      <c r="B190" s="131" t="n"/>
      <c r="C190" s="131" t="n"/>
      <c r="D190" s="131" t="n"/>
      <c r="E190" s="131" t="n"/>
      <c r="F190" s="131" t="n"/>
      <c r="G190" s="131" t="n"/>
      <c r="H190" s="131" t="n"/>
      <c r="I190" s="131" t="n"/>
      <c r="J190" s="75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  <c r="AA190" s="69" t="n"/>
    </row>
    <row r="191" ht="15.75" customHeight="1" s="673">
      <c r="A191" s="69" t="n"/>
      <c r="B191" s="131" t="n"/>
      <c r="C191" s="131" t="n"/>
      <c r="D191" s="131" t="n"/>
      <c r="E191" s="131" t="n"/>
      <c r="F191" s="131" t="n"/>
      <c r="G191" s="131" t="n"/>
      <c r="H191" s="131" t="n"/>
      <c r="I191" s="131" t="n"/>
      <c r="J191" s="75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  <c r="AA191" s="69" t="n"/>
    </row>
    <row r="192" ht="15.75" customHeight="1" s="673">
      <c r="A192" s="69" t="n"/>
      <c r="B192" s="131" t="n"/>
      <c r="C192" s="131" t="n"/>
      <c r="D192" s="131" t="n"/>
      <c r="E192" s="131" t="n"/>
      <c r="F192" s="131" t="n"/>
      <c r="G192" s="131" t="n"/>
      <c r="H192" s="131" t="n"/>
      <c r="I192" s="131" t="n"/>
      <c r="J192" s="75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  <c r="AA192" s="69" t="n"/>
    </row>
    <row r="193" ht="15.75" customHeight="1" s="673">
      <c r="A193" s="69" t="n"/>
      <c r="B193" s="131" t="n"/>
      <c r="C193" s="131" t="n"/>
      <c r="D193" s="131" t="n"/>
      <c r="E193" s="131" t="n"/>
      <c r="F193" s="131" t="n"/>
      <c r="G193" s="131" t="n"/>
      <c r="H193" s="131" t="n"/>
      <c r="I193" s="131" t="n"/>
      <c r="J193" s="75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  <c r="AA193" s="69" t="n"/>
    </row>
    <row r="194" ht="15.75" customHeight="1" s="673">
      <c r="A194" s="69" t="n"/>
      <c r="B194" s="131" t="n"/>
      <c r="C194" s="131" t="n"/>
      <c r="D194" s="131" t="n"/>
      <c r="E194" s="131" t="n"/>
      <c r="F194" s="131" t="n"/>
      <c r="G194" s="131" t="n"/>
      <c r="H194" s="131" t="n"/>
      <c r="I194" s="131" t="n"/>
      <c r="J194" s="75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  <c r="AA194" s="69" t="n"/>
    </row>
    <row r="195" ht="15.75" customHeight="1" s="673">
      <c r="A195" s="69" t="n"/>
      <c r="B195" s="131" t="n"/>
      <c r="C195" s="131" t="n"/>
      <c r="D195" s="131" t="n"/>
      <c r="E195" s="131" t="n"/>
      <c r="F195" s="131" t="n"/>
      <c r="G195" s="131" t="n"/>
      <c r="H195" s="131" t="n"/>
      <c r="I195" s="131" t="n"/>
      <c r="J195" s="75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  <c r="AA195" s="69" t="n"/>
    </row>
    <row r="196" ht="15.75" customHeight="1" s="673">
      <c r="A196" s="69" t="n"/>
      <c r="B196" s="131" t="n"/>
      <c r="C196" s="131" t="n"/>
      <c r="D196" s="131" t="n"/>
      <c r="E196" s="131" t="n"/>
      <c r="F196" s="131" t="n"/>
      <c r="G196" s="131" t="n"/>
      <c r="H196" s="131" t="n"/>
      <c r="I196" s="131" t="n"/>
      <c r="J196" s="75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  <c r="AA196" s="69" t="n"/>
    </row>
    <row r="197" ht="15.75" customHeight="1" s="673">
      <c r="A197" s="69" t="n"/>
      <c r="B197" s="131" t="n"/>
      <c r="C197" s="131" t="n"/>
      <c r="D197" s="131" t="n"/>
      <c r="E197" s="131" t="n"/>
      <c r="F197" s="131" t="n"/>
      <c r="G197" s="131" t="n"/>
      <c r="H197" s="131" t="n"/>
      <c r="I197" s="131" t="n"/>
      <c r="J197" s="75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  <c r="AA197" s="69" t="n"/>
    </row>
    <row r="198" ht="15.75" customHeight="1" s="673">
      <c r="A198" s="69" t="n"/>
      <c r="B198" s="131" t="n"/>
      <c r="C198" s="131" t="n"/>
      <c r="D198" s="131" t="n"/>
      <c r="E198" s="131" t="n"/>
      <c r="F198" s="131" t="n"/>
      <c r="G198" s="131" t="n"/>
      <c r="H198" s="131" t="n"/>
      <c r="I198" s="131" t="n"/>
      <c r="J198" s="75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  <c r="AA198" s="69" t="n"/>
    </row>
    <row r="199" ht="15.75" customHeight="1" s="673">
      <c r="A199" s="69" t="n"/>
      <c r="B199" s="131" t="n"/>
      <c r="C199" s="131" t="n"/>
      <c r="D199" s="131" t="n"/>
      <c r="E199" s="131" t="n"/>
      <c r="F199" s="131" t="n"/>
      <c r="G199" s="131" t="n"/>
      <c r="H199" s="131" t="n"/>
      <c r="I199" s="131" t="n"/>
      <c r="J199" s="75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  <c r="AA199" s="69" t="n"/>
    </row>
    <row r="200" ht="15.75" customHeight="1" s="673">
      <c r="A200" s="69" t="n"/>
      <c r="B200" s="131" t="n"/>
      <c r="C200" s="131" t="n"/>
      <c r="D200" s="131" t="n"/>
      <c r="E200" s="131" t="n"/>
      <c r="F200" s="131" t="n"/>
      <c r="G200" s="131" t="n"/>
      <c r="H200" s="131" t="n"/>
      <c r="I200" s="131" t="n"/>
      <c r="J200" s="75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  <c r="AA200" s="69" t="n"/>
    </row>
    <row r="201" ht="15.75" customHeight="1" s="673">
      <c r="A201" s="69" t="n"/>
      <c r="B201" s="131" t="n"/>
      <c r="C201" s="131" t="n"/>
      <c r="D201" s="131" t="n"/>
      <c r="E201" s="131" t="n"/>
      <c r="F201" s="131" t="n"/>
      <c r="G201" s="131" t="n"/>
      <c r="H201" s="131" t="n"/>
      <c r="I201" s="131" t="n"/>
      <c r="J201" s="75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  <c r="AA201" s="69" t="n"/>
    </row>
    <row r="202" ht="15.75" customHeight="1" s="673">
      <c r="A202" s="69" t="n"/>
      <c r="B202" s="131" t="n"/>
      <c r="C202" s="131" t="n"/>
      <c r="D202" s="131" t="n"/>
      <c r="E202" s="131" t="n"/>
      <c r="F202" s="131" t="n"/>
      <c r="G202" s="131" t="n"/>
      <c r="H202" s="131" t="n"/>
      <c r="I202" s="131" t="n"/>
      <c r="J202" s="75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  <c r="AA202" s="69" t="n"/>
    </row>
    <row r="203" ht="15.75" customHeight="1" s="673">
      <c r="A203" s="69" t="n"/>
      <c r="B203" s="131" t="n"/>
      <c r="C203" s="131" t="n"/>
      <c r="D203" s="131" t="n"/>
      <c r="E203" s="131" t="n"/>
      <c r="F203" s="131" t="n"/>
      <c r="G203" s="131" t="n"/>
      <c r="H203" s="131" t="n"/>
      <c r="I203" s="131" t="n"/>
      <c r="J203" s="75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  <c r="AA203" s="69" t="n"/>
    </row>
    <row r="204" ht="15.75" customHeight="1" s="673">
      <c r="A204" s="69" t="n"/>
      <c r="B204" s="131" t="n"/>
      <c r="C204" s="131" t="n"/>
      <c r="D204" s="131" t="n"/>
      <c r="E204" s="131" t="n"/>
      <c r="F204" s="131" t="n"/>
      <c r="G204" s="131" t="n"/>
      <c r="H204" s="131" t="n"/>
      <c r="I204" s="131" t="n"/>
      <c r="J204" s="75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  <c r="AA204" s="69" t="n"/>
    </row>
    <row r="205" ht="15.75" customHeight="1" s="673">
      <c r="A205" s="69" t="n"/>
      <c r="B205" s="131" t="n"/>
      <c r="C205" s="131" t="n"/>
      <c r="D205" s="131" t="n"/>
      <c r="E205" s="131" t="n"/>
      <c r="F205" s="131" t="n"/>
      <c r="G205" s="131" t="n"/>
      <c r="H205" s="131" t="n"/>
      <c r="I205" s="131" t="n"/>
      <c r="J205" s="75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  <c r="AA205" s="69" t="n"/>
    </row>
    <row r="206" ht="15.75" customHeight="1" s="673">
      <c r="A206" s="69" t="n"/>
      <c r="B206" s="131" t="n"/>
      <c r="C206" s="131" t="n"/>
      <c r="D206" s="131" t="n"/>
      <c r="E206" s="131" t="n"/>
      <c r="F206" s="131" t="n"/>
      <c r="G206" s="131" t="n"/>
      <c r="H206" s="131" t="n"/>
      <c r="I206" s="131" t="n"/>
      <c r="J206" s="75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  <c r="AA206" s="69" t="n"/>
    </row>
    <row r="207" ht="15.75" customHeight="1" s="673">
      <c r="A207" s="69" t="n"/>
      <c r="B207" s="131" t="n"/>
      <c r="C207" s="131" t="n"/>
      <c r="D207" s="131" t="n"/>
      <c r="E207" s="131" t="n"/>
      <c r="F207" s="131" t="n"/>
      <c r="G207" s="131" t="n"/>
      <c r="H207" s="131" t="n"/>
      <c r="I207" s="131" t="n"/>
      <c r="J207" s="75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  <c r="AA207" s="69" t="n"/>
    </row>
    <row r="208" ht="15.75" customHeight="1" s="673">
      <c r="A208" s="69" t="n"/>
      <c r="B208" s="131" t="n"/>
      <c r="C208" s="131" t="n"/>
      <c r="D208" s="131" t="n"/>
      <c r="E208" s="131" t="n"/>
      <c r="F208" s="131" t="n"/>
      <c r="G208" s="131" t="n"/>
      <c r="H208" s="131" t="n"/>
      <c r="I208" s="131" t="n"/>
      <c r="J208" s="75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  <c r="AA208" s="69" t="n"/>
    </row>
    <row r="209" ht="15.75" customHeight="1" s="673">
      <c r="A209" s="69" t="n"/>
      <c r="B209" s="131" t="n"/>
      <c r="C209" s="131" t="n"/>
      <c r="D209" s="131" t="n"/>
      <c r="E209" s="131" t="n"/>
      <c r="F209" s="131" t="n"/>
      <c r="G209" s="131" t="n"/>
      <c r="H209" s="131" t="n"/>
      <c r="I209" s="131" t="n"/>
      <c r="J209" s="75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  <c r="AA209" s="69" t="n"/>
    </row>
    <row r="210" ht="15.75" customHeight="1" s="673">
      <c r="A210" s="69" t="n"/>
      <c r="B210" s="131" t="n"/>
      <c r="C210" s="131" t="n"/>
      <c r="D210" s="131" t="n"/>
      <c r="E210" s="131" t="n"/>
      <c r="F210" s="131" t="n"/>
      <c r="G210" s="131" t="n"/>
      <c r="H210" s="131" t="n"/>
      <c r="I210" s="131" t="n"/>
      <c r="J210" s="75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  <c r="AA210" s="69" t="n"/>
    </row>
    <row r="211" ht="15.75" customHeight="1" s="673">
      <c r="A211" s="69" t="n"/>
      <c r="B211" s="131" t="n"/>
      <c r="C211" s="131" t="n"/>
      <c r="D211" s="131" t="n"/>
      <c r="E211" s="131" t="n"/>
      <c r="F211" s="131" t="n"/>
      <c r="G211" s="131" t="n"/>
      <c r="H211" s="131" t="n"/>
      <c r="I211" s="131" t="n"/>
      <c r="J211" s="75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  <c r="Z211" s="69" t="n"/>
      <c r="AA211" s="69" t="n"/>
    </row>
    <row r="212" ht="15.75" customHeight="1" s="673">
      <c r="A212" s="69" t="n"/>
      <c r="B212" s="131" t="n"/>
      <c r="C212" s="131" t="n"/>
      <c r="D212" s="131" t="n"/>
      <c r="E212" s="131" t="n"/>
      <c r="F212" s="131" t="n"/>
      <c r="G212" s="131" t="n"/>
      <c r="H212" s="131" t="n"/>
      <c r="I212" s="131" t="n"/>
      <c r="J212" s="75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  <c r="AA212" s="69" t="n"/>
    </row>
    <row r="213" ht="15.75" customHeight="1" s="673">
      <c r="A213" s="69" t="n"/>
      <c r="B213" s="131" t="n"/>
      <c r="C213" s="131" t="n"/>
      <c r="D213" s="131" t="n"/>
      <c r="E213" s="131" t="n"/>
      <c r="F213" s="131" t="n"/>
      <c r="G213" s="131" t="n"/>
      <c r="H213" s="131" t="n"/>
      <c r="I213" s="131" t="n"/>
      <c r="J213" s="75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  <c r="Z213" s="69" t="n"/>
      <c r="AA213" s="69" t="n"/>
    </row>
    <row r="214" ht="15.75" customHeight="1" s="673">
      <c r="A214" s="69" t="n"/>
      <c r="B214" s="131" t="n"/>
      <c r="C214" s="131" t="n"/>
      <c r="D214" s="131" t="n"/>
      <c r="E214" s="131" t="n"/>
      <c r="F214" s="131" t="n"/>
      <c r="G214" s="131" t="n"/>
      <c r="H214" s="131" t="n"/>
      <c r="I214" s="131" t="n"/>
      <c r="J214" s="75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  <c r="AA214" s="69" t="n"/>
    </row>
    <row r="215" ht="15.75" customHeight="1" s="673">
      <c r="A215" s="69" t="n"/>
      <c r="B215" s="131" t="n"/>
      <c r="C215" s="131" t="n"/>
      <c r="D215" s="131" t="n"/>
      <c r="E215" s="131" t="n"/>
      <c r="F215" s="131" t="n"/>
      <c r="G215" s="131" t="n"/>
      <c r="H215" s="131" t="n"/>
      <c r="I215" s="131" t="n"/>
      <c r="J215" s="75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  <c r="AA215" s="69" t="n"/>
    </row>
    <row r="216" ht="15.75" customHeight="1" s="673">
      <c r="A216" s="69" t="n"/>
      <c r="B216" s="131" t="n"/>
      <c r="C216" s="131" t="n"/>
      <c r="D216" s="131" t="n"/>
      <c r="E216" s="131" t="n"/>
      <c r="F216" s="131" t="n"/>
      <c r="G216" s="131" t="n"/>
      <c r="H216" s="131" t="n"/>
      <c r="I216" s="131" t="n"/>
      <c r="J216" s="75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  <c r="AA216" s="69" t="n"/>
    </row>
    <row r="217" ht="15.75" customHeight="1" s="673">
      <c r="A217" s="69" t="n"/>
      <c r="B217" s="131" t="n"/>
      <c r="C217" s="131" t="n"/>
      <c r="D217" s="131" t="n"/>
      <c r="E217" s="131" t="n"/>
      <c r="F217" s="131" t="n"/>
      <c r="G217" s="131" t="n"/>
      <c r="H217" s="131" t="n"/>
      <c r="I217" s="131" t="n"/>
      <c r="J217" s="75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  <c r="Z217" s="69" t="n"/>
      <c r="AA217" s="69" t="n"/>
    </row>
    <row r="218" ht="15.75" customHeight="1" s="673">
      <c r="A218" s="69" t="n"/>
      <c r="B218" s="131" t="n"/>
      <c r="C218" s="131" t="n"/>
      <c r="D218" s="131" t="n"/>
      <c r="E218" s="131" t="n"/>
      <c r="F218" s="131" t="n"/>
      <c r="G218" s="131" t="n"/>
      <c r="H218" s="131" t="n"/>
      <c r="I218" s="131" t="n"/>
      <c r="J218" s="75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  <c r="AA218" s="69" t="n"/>
    </row>
    <row r="219" ht="15.75" customHeight="1" s="673">
      <c r="A219" s="69" t="n"/>
      <c r="B219" s="131" t="n"/>
      <c r="C219" s="131" t="n"/>
      <c r="D219" s="131" t="n"/>
      <c r="E219" s="131" t="n"/>
      <c r="F219" s="131" t="n"/>
      <c r="G219" s="131" t="n"/>
      <c r="H219" s="131" t="n"/>
      <c r="I219" s="131" t="n"/>
      <c r="J219" s="75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  <c r="Z219" s="69" t="n"/>
      <c r="AA219" s="69" t="n"/>
    </row>
    <row r="220" ht="15.75" customHeight="1" s="673">
      <c r="A220" s="69" t="n"/>
      <c r="B220" s="131" t="n"/>
      <c r="C220" s="131" t="n"/>
      <c r="D220" s="131" t="n"/>
      <c r="E220" s="131" t="n"/>
      <c r="F220" s="131" t="n"/>
      <c r="G220" s="131" t="n"/>
      <c r="H220" s="131" t="n"/>
      <c r="I220" s="131" t="n"/>
      <c r="J220" s="75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  <c r="AA220" s="69" t="n"/>
    </row>
    <row r="221" ht="15.75" customHeight="1" s="673">
      <c r="A221" s="69" t="n"/>
      <c r="B221" s="131" t="n"/>
      <c r="C221" s="131" t="n"/>
      <c r="D221" s="131" t="n"/>
      <c r="E221" s="131" t="n"/>
      <c r="F221" s="131" t="n"/>
      <c r="G221" s="131" t="n"/>
      <c r="H221" s="131" t="n"/>
      <c r="I221" s="131" t="n"/>
      <c r="J221" s="75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  <c r="AA221" s="69" t="n"/>
    </row>
    <row r="222" ht="15.75" customHeight="1" s="673">
      <c r="A222" s="69" t="n"/>
      <c r="B222" s="131" t="n"/>
      <c r="C222" s="131" t="n"/>
      <c r="D222" s="131" t="n"/>
      <c r="E222" s="131" t="n"/>
      <c r="F222" s="131" t="n"/>
      <c r="G222" s="131" t="n"/>
      <c r="H222" s="131" t="n"/>
      <c r="I222" s="131" t="n"/>
      <c r="J222" s="75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  <c r="AA222" s="69" t="n"/>
    </row>
    <row r="223" ht="15.75" customHeight="1" s="673">
      <c r="A223" s="69" t="n"/>
      <c r="B223" s="131" t="n"/>
      <c r="C223" s="131" t="n"/>
      <c r="D223" s="131" t="n"/>
      <c r="E223" s="131" t="n"/>
      <c r="F223" s="131" t="n"/>
      <c r="G223" s="131" t="n"/>
      <c r="H223" s="131" t="n"/>
      <c r="I223" s="131" t="n"/>
      <c r="J223" s="75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  <c r="Z223" s="69" t="n"/>
      <c r="AA223" s="69" t="n"/>
    </row>
    <row r="224" ht="15.75" customHeight="1" s="673">
      <c r="A224" s="69" t="n"/>
      <c r="B224" s="131" t="n"/>
      <c r="C224" s="131" t="n"/>
      <c r="D224" s="131" t="n"/>
      <c r="E224" s="131" t="n"/>
      <c r="F224" s="131" t="n"/>
      <c r="G224" s="131" t="n"/>
      <c r="H224" s="131" t="n"/>
      <c r="I224" s="131" t="n"/>
      <c r="J224" s="75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  <c r="AA224" s="69" t="n"/>
    </row>
    <row r="225" ht="15.75" customHeight="1" s="673">
      <c r="A225" s="69" t="n"/>
      <c r="B225" s="131" t="n"/>
      <c r="C225" s="131" t="n"/>
      <c r="D225" s="131" t="n"/>
      <c r="E225" s="131" t="n"/>
      <c r="F225" s="131" t="n"/>
      <c r="G225" s="131" t="n"/>
      <c r="H225" s="131" t="n"/>
      <c r="I225" s="131" t="n"/>
      <c r="J225" s="75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  <c r="Z225" s="69" t="n"/>
      <c r="AA225" s="69" t="n"/>
    </row>
    <row r="226" ht="15.75" customHeight="1" s="673">
      <c r="A226" s="69" t="n"/>
      <c r="B226" s="131" t="n"/>
      <c r="C226" s="131" t="n"/>
      <c r="D226" s="131" t="n"/>
      <c r="E226" s="131" t="n"/>
      <c r="F226" s="131" t="n"/>
      <c r="G226" s="131" t="n"/>
      <c r="H226" s="131" t="n"/>
      <c r="I226" s="131" t="n"/>
      <c r="J226" s="75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  <c r="AA226" s="69" t="n"/>
    </row>
    <row r="227" ht="15.75" customHeight="1" s="673">
      <c r="A227" s="69" t="n"/>
      <c r="B227" s="131" t="n"/>
      <c r="C227" s="131" t="n"/>
      <c r="D227" s="131" t="n"/>
      <c r="E227" s="131" t="n"/>
      <c r="F227" s="131" t="n"/>
      <c r="G227" s="131" t="n"/>
      <c r="H227" s="131" t="n"/>
      <c r="I227" s="131" t="n"/>
      <c r="J227" s="75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  <c r="Z227" s="69" t="n"/>
      <c r="AA227" s="69" t="n"/>
    </row>
    <row r="228" ht="15.75" customHeight="1" s="673">
      <c r="A228" s="69" t="n"/>
      <c r="B228" s="131" t="n"/>
      <c r="C228" s="131" t="n"/>
      <c r="D228" s="131" t="n"/>
      <c r="E228" s="131" t="n"/>
      <c r="F228" s="131" t="n"/>
      <c r="G228" s="131" t="n"/>
      <c r="H228" s="131" t="n"/>
      <c r="I228" s="131" t="n"/>
      <c r="J228" s="75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  <c r="AA228" s="69" t="n"/>
    </row>
    <row r="229" ht="15.75" customHeight="1" s="673">
      <c r="A229" s="69" t="n"/>
      <c r="B229" s="131" t="n"/>
      <c r="C229" s="131" t="n"/>
      <c r="D229" s="131" t="n"/>
      <c r="E229" s="131" t="n"/>
      <c r="F229" s="131" t="n"/>
      <c r="G229" s="131" t="n"/>
      <c r="H229" s="131" t="n"/>
      <c r="I229" s="131" t="n"/>
      <c r="J229" s="75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  <c r="Z229" s="69" t="n"/>
      <c r="AA229" s="69" t="n"/>
    </row>
    <row r="230" ht="15.75" customHeight="1" s="673">
      <c r="A230" s="69" t="n"/>
      <c r="B230" s="131" t="n"/>
      <c r="C230" s="131" t="n"/>
      <c r="D230" s="131" t="n"/>
      <c r="E230" s="131" t="n"/>
      <c r="F230" s="131" t="n"/>
      <c r="G230" s="131" t="n"/>
      <c r="H230" s="131" t="n"/>
      <c r="I230" s="131" t="n"/>
      <c r="J230" s="75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  <c r="AA230" s="69" t="n"/>
    </row>
    <row r="231" ht="15.75" customHeight="1" s="673">
      <c r="A231" s="69" t="n"/>
      <c r="B231" s="131" t="n"/>
      <c r="C231" s="131" t="n"/>
      <c r="D231" s="131" t="n"/>
      <c r="E231" s="131" t="n"/>
      <c r="F231" s="131" t="n"/>
      <c r="G231" s="131" t="n"/>
      <c r="H231" s="131" t="n"/>
      <c r="I231" s="131" t="n"/>
      <c r="J231" s="75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  <c r="Z231" s="69" t="n"/>
      <c r="AA231" s="69" t="n"/>
    </row>
    <row r="232" ht="15.75" customHeight="1" s="673">
      <c r="A232" s="69" t="n"/>
      <c r="B232" s="131" t="n"/>
      <c r="C232" s="131" t="n"/>
      <c r="D232" s="131" t="n"/>
      <c r="E232" s="131" t="n"/>
      <c r="F232" s="131" t="n"/>
      <c r="G232" s="131" t="n"/>
      <c r="H232" s="131" t="n"/>
      <c r="I232" s="131" t="n"/>
      <c r="J232" s="75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  <c r="AA232" s="69" t="n"/>
    </row>
    <row r="233" ht="15.75" customHeight="1" s="673">
      <c r="A233" s="69" t="n"/>
      <c r="B233" s="131" t="n"/>
      <c r="C233" s="131" t="n"/>
      <c r="D233" s="131" t="n"/>
      <c r="E233" s="131" t="n"/>
      <c r="F233" s="131" t="n"/>
      <c r="G233" s="131" t="n"/>
      <c r="H233" s="131" t="n"/>
      <c r="I233" s="131" t="n"/>
      <c r="J233" s="75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  <c r="Z233" s="69" t="n"/>
      <c r="AA233" s="69" t="n"/>
    </row>
    <row r="234" ht="15.75" customHeight="1" s="673">
      <c r="A234" s="69" t="n"/>
      <c r="B234" s="131" t="n"/>
      <c r="C234" s="131" t="n"/>
      <c r="D234" s="131" t="n"/>
      <c r="E234" s="131" t="n"/>
      <c r="F234" s="131" t="n"/>
      <c r="G234" s="131" t="n"/>
      <c r="H234" s="131" t="n"/>
      <c r="I234" s="131" t="n"/>
      <c r="J234" s="75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  <c r="AA234" s="69" t="n"/>
    </row>
    <row r="235" ht="15.75" customHeight="1" s="673">
      <c r="A235" s="69" t="n"/>
      <c r="B235" s="131" t="n"/>
      <c r="C235" s="131" t="n"/>
      <c r="D235" s="131" t="n"/>
      <c r="E235" s="131" t="n"/>
      <c r="F235" s="131" t="n"/>
      <c r="G235" s="131" t="n"/>
      <c r="H235" s="131" t="n"/>
      <c r="I235" s="131" t="n"/>
      <c r="J235" s="75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  <c r="Z235" s="69" t="n"/>
      <c r="AA235" s="69" t="n"/>
    </row>
    <row r="236" ht="15.75" customHeight="1" s="673">
      <c r="A236" s="69" t="n"/>
      <c r="B236" s="131" t="n"/>
      <c r="C236" s="131" t="n"/>
      <c r="D236" s="131" t="n"/>
      <c r="E236" s="131" t="n"/>
      <c r="F236" s="131" t="n"/>
      <c r="G236" s="131" t="n"/>
      <c r="H236" s="131" t="n"/>
      <c r="I236" s="131" t="n"/>
      <c r="J236" s="75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  <c r="AA236" s="69" t="n"/>
    </row>
    <row r="237" ht="15.75" customHeight="1" s="673">
      <c r="A237" s="69" t="n"/>
      <c r="B237" s="131" t="n"/>
      <c r="C237" s="131" t="n"/>
      <c r="D237" s="131" t="n"/>
      <c r="E237" s="131" t="n"/>
      <c r="F237" s="131" t="n"/>
      <c r="G237" s="131" t="n"/>
      <c r="H237" s="131" t="n"/>
      <c r="I237" s="131" t="n"/>
      <c r="J237" s="75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  <c r="Z237" s="69" t="n"/>
      <c r="AA237" s="69" t="n"/>
    </row>
    <row r="238" ht="15.75" customHeight="1" s="673">
      <c r="A238" s="69" t="n"/>
      <c r="B238" s="131" t="n"/>
      <c r="C238" s="131" t="n"/>
      <c r="D238" s="131" t="n"/>
      <c r="E238" s="131" t="n"/>
      <c r="F238" s="131" t="n"/>
      <c r="G238" s="131" t="n"/>
      <c r="H238" s="131" t="n"/>
      <c r="I238" s="131" t="n"/>
      <c r="J238" s="75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  <c r="AA238" s="69" t="n"/>
    </row>
    <row r="239" ht="15.75" customHeight="1" s="673">
      <c r="A239" s="69" t="n"/>
      <c r="B239" s="131" t="n"/>
      <c r="C239" s="131" t="n"/>
      <c r="D239" s="131" t="n"/>
      <c r="E239" s="131" t="n"/>
      <c r="F239" s="131" t="n"/>
      <c r="G239" s="131" t="n"/>
      <c r="H239" s="131" t="n"/>
      <c r="I239" s="131" t="n"/>
      <c r="J239" s="75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  <c r="Z239" s="69" t="n"/>
      <c r="AA239" s="69" t="n"/>
    </row>
    <row r="240" ht="15.75" customHeight="1" s="673">
      <c r="A240" s="69" t="n"/>
      <c r="B240" s="131" t="n"/>
      <c r="C240" s="131" t="n"/>
      <c r="D240" s="131" t="n"/>
      <c r="E240" s="131" t="n"/>
      <c r="F240" s="131" t="n"/>
      <c r="G240" s="131" t="n"/>
      <c r="H240" s="131" t="n"/>
      <c r="I240" s="131" t="n"/>
      <c r="J240" s="75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  <c r="AA240" s="69" t="n"/>
    </row>
    <row r="241" ht="15.75" customHeight="1" s="673">
      <c r="A241" s="69" t="n"/>
      <c r="B241" s="131" t="n"/>
      <c r="C241" s="131" t="n"/>
      <c r="D241" s="131" t="n"/>
      <c r="E241" s="131" t="n"/>
      <c r="F241" s="131" t="n"/>
      <c r="G241" s="131" t="n"/>
      <c r="H241" s="131" t="n"/>
      <c r="I241" s="131" t="n"/>
      <c r="J241" s="75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  <c r="Z241" s="69" t="n"/>
      <c r="AA241" s="69" t="n"/>
    </row>
    <row r="242" ht="15.75" customHeight="1" s="673">
      <c r="A242" s="69" t="n"/>
      <c r="B242" s="131" t="n"/>
      <c r="C242" s="131" t="n"/>
      <c r="D242" s="131" t="n"/>
      <c r="E242" s="131" t="n"/>
      <c r="F242" s="131" t="n"/>
      <c r="G242" s="131" t="n"/>
      <c r="H242" s="131" t="n"/>
      <c r="I242" s="131" t="n"/>
      <c r="J242" s="75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  <c r="AA242" s="69" t="n"/>
    </row>
    <row r="243" ht="15.75" customHeight="1" s="673">
      <c r="A243" s="69" t="n"/>
      <c r="B243" s="131" t="n"/>
      <c r="C243" s="131" t="n"/>
      <c r="D243" s="131" t="n"/>
      <c r="E243" s="131" t="n"/>
      <c r="F243" s="131" t="n"/>
      <c r="G243" s="131" t="n"/>
      <c r="H243" s="131" t="n"/>
      <c r="I243" s="131" t="n"/>
      <c r="J243" s="75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  <c r="Z243" s="69" t="n"/>
      <c r="AA243" s="69" t="n"/>
    </row>
    <row r="244" ht="15.75" customHeight="1" s="673">
      <c r="A244" s="69" t="n"/>
      <c r="B244" s="131" t="n"/>
      <c r="C244" s="131" t="n"/>
      <c r="D244" s="131" t="n"/>
      <c r="E244" s="131" t="n"/>
      <c r="F244" s="131" t="n"/>
      <c r="G244" s="131" t="n"/>
      <c r="H244" s="131" t="n"/>
      <c r="I244" s="131" t="n"/>
      <c r="J244" s="75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  <c r="AA244" s="69" t="n"/>
    </row>
    <row r="245" ht="15.75" customHeight="1" s="673">
      <c r="A245" s="69" t="n"/>
      <c r="B245" s="131" t="n"/>
      <c r="C245" s="131" t="n"/>
      <c r="D245" s="131" t="n"/>
      <c r="E245" s="131" t="n"/>
      <c r="F245" s="131" t="n"/>
      <c r="G245" s="131" t="n"/>
      <c r="H245" s="131" t="n"/>
      <c r="I245" s="131" t="n"/>
      <c r="J245" s="75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  <c r="Z245" s="69" t="n"/>
      <c r="AA245" s="69" t="n"/>
    </row>
    <row r="246" ht="15.75" customHeight="1" s="673">
      <c r="A246" s="69" t="n"/>
      <c r="B246" s="131" t="n"/>
      <c r="C246" s="131" t="n"/>
      <c r="D246" s="131" t="n"/>
      <c r="E246" s="131" t="n"/>
      <c r="F246" s="131" t="n"/>
      <c r="G246" s="131" t="n"/>
      <c r="H246" s="131" t="n"/>
      <c r="I246" s="131" t="n"/>
      <c r="J246" s="75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  <c r="Z246" s="69" t="n"/>
      <c r="AA246" s="69" t="n"/>
    </row>
    <row r="247" ht="15.75" customHeight="1" s="673">
      <c r="A247" s="69" t="n"/>
      <c r="B247" s="131" t="n"/>
      <c r="C247" s="131" t="n"/>
      <c r="D247" s="131" t="n"/>
      <c r="E247" s="131" t="n"/>
      <c r="F247" s="131" t="n"/>
      <c r="G247" s="131" t="n"/>
      <c r="H247" s="131" t="n"/>
      <c r="I247" s="131" t="n"/>
      <c r="J247" s="75" t="n"/>
      <c r="K247" s="69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  <c r="Z247" s="69" t="n"/>
      <c r="AA247" s="69" t="n"/>
    </row>
    <row r="248" ht="15.75" customHeight="1" s="673">
      <c r="A248" s="69" t="n"/>
      <c r="B248" s="131" t="n"/>
      <c r="C248" s="131" t="n"/>
      <c r="D248" s="131" t="n"/>
      <c r="E248" s="131" t="n"/>
      <c r="F248" s="131" t="n"/>
      <c r="G248" s="131" t="n"/>
      <c r="H248" s="131" t="n"/>
      <c r="I248" s="131" t="n"/>
      <c r="J248" s="75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  <c r="AA248" s="69" t="n"/>
    </row>
    <row r="249" ht="15.75" customHeight="1" s="673">
      <c r="A249" s="69" t="n"/>
      <c r="B249" s="131" t="n"/>
      <c r="C249" s="131" t="n"/>
      <c r="D249" s="131" t="n"/>
      <c r="E249" s="131" t="n"/>
      <c r="F249" s="131" t="n"/>
      <c r="G249" s="131" t="n"/>
      <c r="H249" s="131" t="n"/>
      <c r="I249" s="131" t="n"/>
      <c r="J249" s="75" t="n"/>
      <c r="K249" s="69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  <c r="Z249" s="69" t="n"/>
      <c r="AA249" s="69" t="n"/>
    </row>
    <row r="250" ht="15.75" customHeight="1" s="673">
      <c r="A250" s="69" t="n"/>
      <c r="B250" s="131" t="n"/>
      <c r="C250" s="131" t="n"/>
      <c r="D250" s="131" t="n"/>
      <c r="E250" s="131" t="n"/>
      <c r="F250" s="131" t="n"/>
      <c r="G250" s="131" t="n"/>
      <c r="H250" s="131" t="n"/>
      <c r="I250" s="131" t="n"/>
      <c r="J250" s="75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  <c r="AA250" s="69" t="n"/>
    </row>
    <row r="251" ht="15.75" customHeight="1" s="673">
      <c r="A251" s="69" t="n"/>
      <c r="B251" s="131" t="n"/>
      <c r="C251" s="131" t="n"/>
      <c r="D251" s="131" t="n"/>
      <c r="E251" s="131" t="n"/>
      <c r="F251" s="131" t="n"/>
      <c r="G251" s="131" t="n"/>
      <c r="H251" s="131" t="n"/>
      <c r="I251" s="131" t="n"/>
      <c r="J251" s="75" t="n"/>
      <c r="K251" s="69" t="n"/>
      <c r="L251" s="69" t="n"/>
      <c r="M251" s="69" t="n"/>
      <c r="N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W251" s="69" t="n"/>
      <c r="X251" s="69" t="n"/>
      <c r="Y251" s="69" t="n"/>
      <c r="Z251" s="69" t="n"/>
      <c r="AA251" s="69" t="n"/>
    </row>
    <row r="252" ht="15.75" customHeight="1" s="673">
      <c r="A252" s="69" t="n"/>
      <c r="B252" s="131" t="n"/>
      <c r="C252" s="131" t="n"/>
      <c r="D252" s="131" t="n"/>
      <c r="E252" s="131" t="n"/>
      <c r="F252" s="131" t="n"/>
      <c r="G252" s="131" t="n"/>
      <c r="H252" s="131" t="n"/>
      <c r="I252" s="131" t="n"/>
      <c r="J252" s="75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  <c r="Z252" s="69" t="n"/>
      <c r="AA252" s="69" t="n"/>
    </row>
    <row r="253" ht="15.75" customHeight="1" s="673">
      <c r="A253" s="69" t="n"/>
      <c r="B253" s="131" t="n"/>
      <c r="C253" s="131" t="n"/>
      <c r="D253" s="131" t="n"/>
      <c r="E253" s="131" t="n"/>
      <c r="F253" s="131" t="n"/>
      <c r="G253" s="131" t="n"/>
      <c r="H253" s="131" t="n"/>
      <c r="I253" s="131" t="n"/>
      <c r="J253" s="75" t="n"/>
      <c r="K253" s="69" t="n"/>
      <c r="L253" s="69" t="n"/>
      <c r="M253" s="69" t="n"/>
      <c r="N253" s="69" t="n"/>
      <c r="O253" s="69" t="n"/>
      <c r="P253" s="69" t="n"/>
      <c r="Q253" s="69" t="n"/>
      <c r="R253" s="69" t="n"/>
      <c r="S253" s="69" t="n"/>
      <c r="T253" s="69" t="n"/>
      <c r="U253" s="69" t="n"/>
      <c r="V253" s="69" t="n"/>
      <c r="W253" s="69" t="n"/>
      <c r="X253" s="69" t="n"/>
      <c r="Y253" s="69" t="n"/>
      <c r="Z253" s="69" t="n"/>
      <c r="AA253" s="69" t="n"/>
    </row>
    <row r="254" ht="15.75" customHeight="1" s="673">
      <c r="A254" s="69" t="n"/>
      <c r="B254" s="131" t="n"/>
      <c r="C254" s="131" t="n"/>
      <c r="D254" s="131" t="n"/>
      <c r="E254" s="131" t="n"/>
      <c r="F254" s="131" t="n"/>
      <c r="G254" s="131" t="n"/>
      <c r="H254" s="131" t="n"/>
      <c r="I254" s="131" t="n"/>
      <c r="J254" s="75" t="n"/>
      <c r="K254" s="69" t="n"/>
      <c r="L254" s="69" t="n"/>
      <c r="M254" s="69" t="n"/>
      <c r="N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  <c r="Z254" s="69" t="n"/>
      <c r="AA254" s="69" t="n"/>
    </row>
    <row r="255" ht="15.75" customHeight="1" s="673">
      <c r="A255" s="69" t="n"/>
      <c r="B255" s="131" t="n"/>
      <c r="C255" s="131" t="n"/>
      <c r="D255" s="131" t="n"/>
      <c r="E255" s="131" t="n"/>
      <c r="F255" s="131" t="n"/>
      <c r="G255" s="131" t="n"/>
      <c r="H255" s="131" t="n"/>
      <c r="I255" s="131" t="n"/>
      <c r="J255" s="75" t="n"/>
      <c r="K255" s="69" t="n"/>
      <c r="L255" s="69" t="n"/>
      <c r="M255" s="69" t="n"/>
      <c r="N255" s="69" t="n"/>
      <c r="O255" s="69" t="n"/>
      <c r="P255" s="69" t="n"/>
      <c r="Q255" s="69" t="n"/>
      <c r="R255" s="69" t="n"/>
      <c r="S255" s="69" t="n"/>
      <c r="T255" s="69" t="n"/>
      <c r="U255" s="69" t="n"/>
      <c r="V255" s="69" t="n"/>
      <c r="W255" s="69" t="n"/>
      <c r="X255" s="69" t="n"/>
      <c r="Y255" s="69" t="n"/>
      <c r="Z255" s="69" t="n"/>
      <c r="AA255" s="69" t="n"/>
    </row>
    <row r="256" ht="15.75" customHeight="1" s="673">
      <c r="A256" s="69" t="n"/>
      <c r="B256" s="131" t="n"/>
      <c r="C256" s="131" t="n"/>
      <c r="D256" s="131" t="n"/>
      <c r="E256" s="131" t="n"/>
      <c r="F256" s="131" t="n"/>
      <c r="G256" s="131" t="n"/>
      <c r="H256" s="131" t="n"/>
      <c r="I256" s="131" t="n"/>
      <c r="J256" s="75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  <c r="Z256" s="69" t="n"/>
      <c r="AA256" s="69" t="n"/>
    </row>
    <row r="257" ht="15.75" customHeight="1" s="673">
      <c r="A257" s="69" t="n"/>
      <c r="B257" s="131" t="n"/>
      <c r="C257" s="131" t="n"/>
      <c r="D257" s="131" t="n"/>
      <c r="E257" s="131" t="n"/>
      <c r="F257" s="131" t="n"/>
      <c r="G257" s="131" t="n"/>
      <c r="H257" s="131" t="n"/>
      <c r="I257" s="131" t="n"/>
      <c r="J257" s="75" t="n"/>
      <c r="K257" s="69" t="n"/>
      <c r="L257" s="69" t="n"/>
      <c r="M257" s="69" t="n"/>
      <c r="N257" s="69" t="n"/>
      <c r="O257" s="69" t="n"/>
      <c r="P257" s="69" t="n"/>
      <c r="Q257" s="69" t="n"/>
      <c r="R257" s="69" t="n"/>
      <c r="S257" s="69" t="n"/>
      <c r="T257" s="69" t="n"/>
      <c r="U257" s="69" t="n"/>
      <c r="V257" s="69" t="n"/>
      <c r="W257" s="69" t="n"/>
      <c r="X257" s="69" t="n"/>
      <c r="Y257" s="69" t="n"/>
      <c r="Z257" s="69" t="n"/>
      <c r="AA257" s="69" t="n"/>
    </row>
    <row r="258" ht="15.75" customHeight="1" s="673">
      <c r="A258" s="69" t="n"/>
      <c r="B258" s="131" t="n"/>
      <c r="C258" s="131" t="n"/>
      <c r="D258" s="131" t="n"/>
      <c r="E258" s="131" t="n"/>
      <c r="F258" s="131" t="n"/>
      <c r="G258" s="131" t="n"/>
      <c r="H258" s="131" t="n"/>
      <c r="I258" s="131" t="n"/>
      <c r="J258" s="75" t="n"/>
      <c r="K258" s="69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  <c r="Z258" s="69" t="n"/>
      <c r="AA258" s="69" t="n"/>
    </row>
    <row r="259" ht="15.75" customHeight="1" s="673">
      <c r="A259" s="69" t="n"/>
      <c r="B259" s="131" t="n"/>
      <c r="C259" s="131" t="n"/>
      <c r="D259" s="131" t="n"/>
      <c r="E259" s="131" t="n"/>
      <c r="F259" s="131" t="n"/>
      <c r="G259" s="131" t="n"/>
      <c r="H259" s="131" t="n"/>
      <c r="I259" s="131" t="n"/>
      <c r="J259" s="75" t="n"/>
      <c r="K259" s="69" t="n"/>
      <c r="L259" s="69" t="n"/>
      <c r="M259" s="69" t="n"/>
      <c r="N259" s="69" t="n"/>
      <c r="O259" s="69" t="n"/>
      <c r="P259" s="69" t="n"/>
      <c r="Q259" s="69" t="n"/>
      <c r="R259" s="69" t="n"/>
      <c r="S259" s="69" t="n"/>
      <c r="T259" s="69" t="n"/>
      <c r="U259" s="69" t="n"/>
      <c r="V259" s="69" t="n"/>
      <c r="W259" s="69" t="n"/>
      <c r="X259" s="69" t="n"/>
      <c r="Y259" s="69" t="n"/>
      <c r="Z259" s="69" t="n"/>
      <c r="AA259" s="69" t="n"/>
    </row>
    <row r="260" ht="15.75" customHeight="1" s="673">
      <c r="A260" s="69" t="n"/>
      <c r="B260" s="131" t="n"/>
      <c r="C260" s="131" t="n"/>
      <c r="D260" s="131" t="n"/>
      <c r="E260" s="131" t="n"/>
      <c r="F260" s="131" t="n"/>
      <c r="G260" s="131" t="n"/>
      <c r="H260" s="131" t="n"/>
      <c r="I260" s="131" t="n"/>
      <c r="J260" s="75" t="n"/>
      <c r="K260" s="69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  <c r="Z260" s="69" t="n"/>
      <c r="AA260" s="69" t="n"/>
    </row>
    <row r="261" ht="15.75" customHeight="1" s="673">
      <c r="A261" s="69" t="n"/>
      <c r="B261" s="131" t="n"/>
      <c r="C261" s="131" t="n"/>
      <c r="D261" s="131" t="n"/>
      <c r="E261" s="131" t="n"/>
      <c r="F261" s="131" t="n"/>
      <c r="G261" s="131" t="n"/>
      <c r="H261" s="131" t="n"/>
      <c r="I261" s="131" t="n"/>
      <c r="J261" s="75" t="n"/>
      <c r="K261" s="69" t="n"/>
      <c r="L261" s="69" t="n"/>
      <c r="M261" s="69" t="n"/>
      <c r="N261" s="69" t="n"/>
      <c r="O261" s="69" t="n"/>
      <c r="P261" s="69" t="n"/>
      <c r="Q261" s="69" t="n"/>
      <c r="R261" s="69" t="n"/>
      <c r="S261" s="69" t="n"/>
      <c r="T261" s="69" t="n"/>
      <c r="U261" s="69" t="n"/>
      <c r="V261" s="69" t="n"/>
      <c r="W261" s="69" t="n"/>
      <c r="X261" s="69" t="n"/>
      <c r="Y261" s="69" t="n"/>
      <c r="Z261" s="69" t="n"/>
      <c r="AA261" s="69" t="n"/>
    </row>
    <row r="262" ht="15.75" customHeight="1" s="673">
      <c r="A262" s="69" t="n"/>
      <c r="B262" s="131" t="n"/>
      <c r="C262" s="131" t="n"/>
      <c r="D262" s="131" t="n"/>
      <c r="E262" s="131" t="n"/>
      <c r="F262" s="131" t="n"/>
      <c r="G262" s="131" t="n"/>
      <c r="H262" s="131" t="n"/>
      <c r="I262" s="131" t="n"/>
      <c r="J262" s="75" t="n"/>
      <c r="K262" s="69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  <c r="Z262" s="69" t="n"/>
      <c r="AA262" s="69" t="n"/>
    </row>
    <row r="263" ht="15.75" customHeight="1" s="673">
      <c r="A263" s="69" t="n"/>
      <c r="B263" s="131" t="n"/>
      <c r="C263" s="131" t="n"/>
      <c r="D263" s="131" t="n"/>
      <c r="E263" s="131" t="n"/>
      <c r="F263" s="131" t="n"/>
      <c r="G263" s="131" t="n"/>
      <c r="H263" s="131" t="n"/>
      <c r="I263" s="131" t="n"/>
      <c r="J263" s="75" t="n"/>
      <c r="K263" s="69" t="n"/>
      <c r="L263" s="69" t="n"/>
      <c r="M263" s="69" t="n"/>
      <c r="N263" s="69" t="n"/>
      <c r="O263" s="69" t="n"/>
      <c r="P263" s="69" t="n"/>
      <c r="Q263" s="69" t="n"/>
      <c r="R263" s="69" t="n"/>
      <c r="S263" s="69" t="n"/>
      <c r="T263" s="69" t="n"/>
      <c r="U263" s="69" t="n"/>
      <c r="V263" s="69" t="n"/>
      <c r="W263" s="69" t="n"/>
      <c r="X263" s="69" t="n"/>
      <c r="Y263" s="69" t="n"/>
      <c r="Z263" s="69" t="n"/>
      <c r="AA263" s="69" t="n"/>
    </row>
    <row r="264" ht="15.75" customHeight="1" s="673">
      <c r="A264" s="69" t="n"/>
      <c r="B264" s="131" t="n"/>
      <c r="C264" s="131" t="n"/>
      <c r="D264" s="131" t="n"/>
      <c r="E264" s="131" t="n"/>
      <c r="F264" s="131" t="n"/>
      <c r="G264" s="131" t="n"/>
      <c r="H264" s="131" t="n"/>
      <c r="I264" s="131" t="n"/>
      <c r="J264" s="75" t="n"/>
      <c r="K264" s="69" t="n"/>
      <c r="L264" s="69" t="n"/>
      <c r="M264" s="69" t="n"/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9" t="n"/>
      <c r="X264" s="69" t="n"/>
      <c r="Y264" s="69" t="n"/>
      <c r="Z264" s="69" t="n"/>
      <c r="AA264" s="69" t="n"/>
    </row>
    <row r="265" ht="15.75" customHeight="1" s="673">
      <c r="A265" s="69" t="n"/>
      <c r="B265" s="131" t="n"/>
      <c r="C265" s="131" t="n"/>
      <c r="D265" s="131" t="n"/>
      <c r="E265" s="131" t="n"/>
      <c r="F265" s="131" t="n"/>
      <c r="G265" s="131" t="n"/>
      <c r="H265" s="131" t="n"/>
      <c r="I265" s="131" t="n"/>
      <c r="J265" s="75" t="n"/>
      <c r="K265" s="69" t="n"/>
      <c r="L265" s="69" t="n"/>
      <c r="M265" s="69" t="n"/>
      <c r="N265" s="69" t="n"/>
      <c r="O265" s="69" t="n"/>
      <c r="P265" s="69" t="n"/>
      <c r="Q265" s="69" t="n"/>
      <c r="R265" s="69" t="n"/>
      <c r="S265" s="69" t="n"/>
      <c r="T265" s="69" t="n"/>
      <c r="U265" s="69" t="n"/>
      <c r="V265" s="69" t="n"/>
      <c r="W265" s="69" t="n"/>
      <c r="X265" s="69" t="n"/>
      <c r="Y265" s="69" t="n"/>
      <c r="Z265" s="69" t="n"/>
      <c r="AA265" s="69" t="n"/>
    </row>
    <row r="266" ht="15.75" customHeight="1" s="673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  <c r="AA266" s="52" t="n"/>
    </row>
    <row r="267" ht="15.75" customHeight="1" s="673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  <c r="AA267" s="52" t="n"/>
    </row>
    <row r="268" ht="15.75" customHeight="1" s="673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  <c r="AA268" s="52" t="n"/>
    </row>
    <row r="269" ht="15.75" customHeight="1" s="673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  <c r="AA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  <c r="AA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  <c r="AA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  <c r="AA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  <c r="AA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  <c r="AA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  <c r="AA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  <c r="AA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  <c r="AA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  <c r="AA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  <c r="AA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  <c r="AA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  <c r="AA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  <c r="AA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  <c r="AA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  <c r="AA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  <c r="AA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  <c r="AA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  <c r="AA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  <c r="AA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  <c r="AA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  <c r="AA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  <c r="AA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  <c r="AA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  <c r="AA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  <c r="AA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  <c r="AA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  <c r="AA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  <c r="AA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  <c r="AA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  <c r="AA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  <c r="AA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  <c r="AA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  <c r="AA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  <c r="AA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  <c r="AA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  <c r="AA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  <c r="AA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  <c r="AA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  <c r="AA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  <c r="AA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  <c r="AA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  <c r="AA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  <c r="AA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  <c r="AA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  <c r="AA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  <c r="AA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  <c r="AA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  <c r="AA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  <c r="AA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  <c r="AA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  <c r="AA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  <c r="AA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  <c r="AA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  <c r="AA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  <c r="AA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  <c r="AA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  <c r="AA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  <c r="AA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  <c r="AA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  <c r="AA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  <c r="AA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  <c r="AA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  <c r="AA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  <c r="AA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  <c r="AA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  <c r="AA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  <c r="AA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  <c r="AA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  <c r="AA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  <c r="AA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  <c r="AA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  <c r="AA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  <c r="AA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  <c r="AA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  <c r="AA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  <c r="AA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  <c r="AA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  <c r="AA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  <c r="AA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  <c r="AA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  <c r="AA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  <c r="AA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  <c r="AA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  <c r="AA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  <c r="AA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  <c r="AA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  <c r="AA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  <c r="AA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  <c r="AA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  <c r="AA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  <c r="AA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  <c r="AA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  <c r="AA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  <c r="AA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  <c r="AA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  <c r="AA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  <c r="AA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  <c r="AA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  <c r="AA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  <c r="AA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  <c r="AA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  <c r="AA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  <c r="AA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  <c r="AA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  <c r="AA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  <c r="AA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  <c r="AA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  <c r="AA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  <c r="AA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  <c r="AA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  <c r="AA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  <c r="AA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  <c r="AA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  <c r="AA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  <c r="AA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  <c r="AA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  <c r="AA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  <c r="AA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  <c r="AA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  <c r="AA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  <c r="AA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  <c r="AA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  <c r="AA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  <c r="AA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  <c r="AA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  <c r="AA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  <c r="AA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  <c r="AA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  <c r="AA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  <c r="AA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  <c r="AA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  <c r="AA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  <c r="AA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  <c r="AA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  <c r="AA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  <c r="AA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  <c r="AA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  <c r="AA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  <c r="AA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  <c r="AA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  <c r="AA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  <c r="AA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  <c r="AA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  <c r="AA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  <c r="AA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  <c r="AA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  <c r="AA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  <c r="AA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  <c r="AA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  <c r="AA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  <c r="AA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  <c r="AA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  <c r="AA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  <c r="AA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  <c r="AA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  <c r="AA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  <c r="AA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  <c r="AA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  <c r="AA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  <c r="AA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  <c r="AA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  <c r="AA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  <c r="AA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  <c r="AA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  <c r="AA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  <c r="AA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  <c r="AA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  <c r="AA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  <c r="AA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  <c r="AA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  <c r="AA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  <c r="AA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  <c r="AA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  <c r="AA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  <c r="AA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  <c r="AA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  <c r="AA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  <c r="AA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  <c r="AA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  <c r="AA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  <c r="AA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  <c r="AA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  <c r="AA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  <c r="AA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  <c r="AA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  <c r="AA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  <c r="AA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  <c r="AA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  <c r="AA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  <c r="AA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  <c r="AA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  <c r="AA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  <c r="AA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  <c r="AA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  <c r="AA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  <c r="AA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  <c r="AA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  <c r="AA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  <c r="AA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  <c r="AA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  <c r="AA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  <c r="AA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  <c r="AA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  <c r="AA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  <c r="AA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  <c r="AA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  <c r="AA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  <c r="AA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  <c r="AA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  <c r="AA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  <c r="AA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  <c r="AA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  <c r="AA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  <c r="AA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  <c r="AA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  <c r="AA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  <c r="AA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  <c r="AA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  <c r="AA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  <c r="AA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  <c r="AA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  <c r="AA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  <c r="AA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  <c r="AA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  <c r="AA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  <c r="AA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  <c r="AA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  <c r="AA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  <c r="AA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  <c r="AA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  <c r="AA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  <c r="AA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  <c r="AA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  <c r="AA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  <c r="AA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  <c r="AA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  <c r="AA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  <c r="AA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  <c r="AA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  <c r="AA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  <c r="AA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  <c r="AA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  <c r="AA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  <c r="AA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  <c r="AA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  <c r="AA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  <c r="AA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  <c r="AA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  <c r="AA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  <c r="AA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  <c r="AA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  <c r="AA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  <c r="AA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  <c r="AA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  <c r="AA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  <c r="AA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  <c r="AA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  <c r="AA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  <c r="AA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  <c r="AA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  <c r="AA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  <c r="AA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  <c r="AA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  <c r="AA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  <c r="AA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  <c r="AA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  <c r="AA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  <c r="AA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  <c r="AA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  <c r="AA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  <c r="AA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  <c r="AA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  <c r="AA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  <c r="AA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  <c r="AA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  <c r="AA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  <c r="AA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  <c r="AA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  <c r="AA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  <c r="AA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  <c r="AA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  <c r="AA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  <c r="AA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  <c r="AA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  <c r="AA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  <c r="AA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  <c r="AA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  <c r="AA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  <c r="AA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  <c r="AA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  <c r="AA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  <c r="AA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  <c r="AA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  <c r="AA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  <c r="AA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  <c r="AA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  <c r="AA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  <c r="AA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  <c r="AA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  <c r="AA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  <c r="AA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  <c r="AA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  <c r="AA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  <c r="AA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  <c r="AA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  <c r="AA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  <c r="AA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  <c r="AA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  <c r="AA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  <c r="AA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  <c r="AA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  <c r="AA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  <c r="AA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  <c r="AA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  <c r="AA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  <c r="AA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  <c r="AA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  <c r="AA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  <c r="AA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  <c r="AA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  <c r="AA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  <c r="AA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  <c r="AA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  <c r="AA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  <c r="AA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  <c r="AA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  <c r="AA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  <c r="AA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  <c r="AA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  <c r="AA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  <c r="AA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  <c r="AA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  <c r="AA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  <c r="AA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  <c r="AA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  <c r="AA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  <c r="AA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  <c r="AA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  <c r="AA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  <c r="AA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  <c r="AA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  <c r="AA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  <c r="AA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  <c r="AA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  <c r="AA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  <c r="AA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  <c r="AA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  <c r="AA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  <c r="AA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  <c r="AA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  <c r="AA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  <c r="AA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  <c r="AA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  <c r="AA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  <c r="AA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  <c r="AA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  <c r="AA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  <c r="AA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  <c r="AA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  <c r="AA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  <c r="AA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  <c r="AA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  <c r="AA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  <c r="AA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  <c r="AA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  <c r="AA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  <c r="AA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  <c r="AA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  <c r="AA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  <c r="AA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  <c r="AA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  <c r="AA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  <c r="AA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  <c r="AA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  <c r="AA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  <c r="AA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  <c r="AA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  <c r="AA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  <c r="AA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  <c r="AA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  <c r="AA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  <c r="AA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  <c r="AA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  <c r="AA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  <c r="AA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  <c r="AA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  <c r="AA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  <c r="AA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  <c r="AA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  <c r="AA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  <c r="AA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  <c r="AA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  <c r="AA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  <c r="AA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  <c r="AA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  <c r="AA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  <c r="AA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  <c r="AA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  <c r="AA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  <c r="AA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  <c r="AA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  <c r="AA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  <c r="AA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  <c r="AA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  <c r="AA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  <c r="AA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  <c r="AA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  <c r="AA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  <c r="AA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  <c r="AA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  <c r="AA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  <c r="AA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  <c r="AA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  <c r="AA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  <c r="AA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  <c r="AA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  <c r="AA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  <c r="AA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  <c r="AA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  <c r="AA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  <c r="AA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  <c r="AA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  <c r="AA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  <c r="AA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  <c r="AA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  <c r="AA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  <c r="AA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  <c r="AA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  <c r="AA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  <c r="AA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  <c r="AA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  <c r="AA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  <c r="AA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  <c r="AA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  <c r="AA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  <c r="AA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  <c r="AA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  <c r="AA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  <c r="AA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  <c r="AA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  <c r="AA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  <c r="AA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  <c r="AA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  <c r="AA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  <c r="AA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  <c r="AA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  <c r="AA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  <c r="AA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  <c r="AA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  <c r="AA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  <c r="AA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  <c r="AA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  <c r="AA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  <c r="AA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  <c r="AA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  <c r="AA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  <c r="AA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  <c r="AA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  <c r="AA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  <c r="AA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  <c r="AA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  <c r="AA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  <c r="AA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  <c r="AA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  <c r="AA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  <c r="AA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  <c r="AA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  <c r="AA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  <c r="AA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  <c r="AA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  <c r="AA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  <c r="AA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  <c r="AA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  <c r="AA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  <c r="AA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  <c r="AA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  <c r="AA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  <c r="AA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  <c r="AA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  <c r="AA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  <c r="AA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  <c r="AA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  <c r="AA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  <c r="AA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  <c r="AA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  <c r="AA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  <c r="AA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  <c r="AA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  <c r="AA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  <c r="AA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  <c r="AA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  <c r="AA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  <c r="AA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  <c r="AA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  <c r="AA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  <c r="AA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  <c r="AA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  <c r="AA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  <c r="AA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  <c r="AA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  <c r="AA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  <c r="AA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  <c r="AA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  <c r="AA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  <c r="AA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  <c r="AA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  <c r="AA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  <c r="AA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  <c r="AA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  <c r="AA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  <c r="AA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  <c r="AA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  <c r="AA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  <c r="AA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  <c r="AA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  <c r="AA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  <c r="AA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  <c r="AA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  <c r="AA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  <c r="AA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  <c r="AA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  <c r="AA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  <c r="AA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  <c r="AA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  <c r="AA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  <c r="AA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  <c r="AA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  <c r="AA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  <c r="AA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  <c r="AA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  <c r="AA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  <c r="AA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  <c r="AA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  <c r="AA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  <c r="AA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  <c r="AA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  <c r="AA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  <c r="AA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  <c r="AA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  <c r="AA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  <c r="AA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  <c r="AA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  <c r="AA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  <c r="AA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  <c r="AA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  <c r="AA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  <c r="AA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  <c r="AA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  <c r="AA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  <c r="AA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  <c r="AA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  <c r="AA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  <c r="AA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  <c r="AA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  <c r="AA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  <c r="AA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  <c r="AA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  <c r="AA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  <c r="AA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  <c r="AA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  <c r="AA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  <c r="AA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  <c r="AA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  <c r="AA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  <c r="AA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  <c r="AA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  <c r="AA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  <c r="AA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  <c r="AA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  <c r="AA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  <c r="AA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  <c r="AA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  <c r="AA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  <c r="AA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  <c r="AA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  <c r="AA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  <c r="AA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  <c r="AA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  <c r="AA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  <c r="AA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  <c r="AA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  <c r="AA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  <c r="AA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  <c r="AA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  <c r="AA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  <c r="AA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  <c r="AA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  <c r="AA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  <c r="AA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  <c r="AA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  <c r="AA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  <c r="AA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  <c r="AA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  <c r="AA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  <c r="AA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  <c r="AA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  <c r="AA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  <c r="AA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  <c r="AA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  <c r="AA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  <c r="AA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  <c r="AA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  <c r="AA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  <c r="AA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  <c r="AA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  <c r="AA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  <c r="AA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  <c r="AA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  <c r="AA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  <c r="AA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  <c r="AA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  <c r="AA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  <c r="AA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  <c r="AA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  <c r="AA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  <c r="AA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  <c r="AA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  <c r="AA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  <c r="AA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  <c r="AA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  <c r="AA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  <c r="AA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  <c r="AA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  <c r="AA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  <c r="AA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  <c r="AA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  <c r="AA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  <c r="AA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  <c r="AA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  <c r="AA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  <c r="AA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  <c r="AA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  <c r="AA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  <c r="AA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  <c r="AA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  <c r="AA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  <c r="AA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  <c r="AA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  <c r="AA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  <c r="AA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  <c r="AA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  <c r="AA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  <c r="AA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  <c r="AA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  <c r="AA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  <c r="AA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  <c r="AA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  <c r="AA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  <c r="AA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  <c r="AA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  <c r="AA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  <c r="AA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  <c r="AA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  <c r="AA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  <c r="AA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  <c r="AA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  <c r="AA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  <c r="AA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  <c r="AA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  <c r="AA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  <c r="AA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  <c r="AA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  <c r="AA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  <c r="AA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  <c r="AA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  <c r="AA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  <c r="AA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  <c r="AA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  <c r="AA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  <c r="AA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  <c r="AA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  <c r="AA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  <c r="AA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  <c r="AA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  <c r="AA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  <c r="AA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  <c r="AA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  <c r="AA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  <c r="AA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  <c r="AA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  <c r="AA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  <c r="AA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  <c r="AA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  <c r="AA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  <c r="AA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  <c r="AA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  <c r="AA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  <c r="AA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  <c r="AA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  <c r="AA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  <c r="AA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  <c r="AA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  <c r="AA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  <c r="AA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  <c r="AA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  <c r="AA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  <c r="AA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  <c r="AA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  <c r="AA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  <c r="AA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  <c r="AA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  <c r="AA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  <c r="AA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  <c r="AA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  <c r="AA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  <c r="AA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  <c r="AA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  <c r="AA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  <c r="AA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  <c r="AA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  <c r="AA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  <c r="AA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  <c r="AA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  <c r="AA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  <c r="AA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  <c r="AA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  <c r="AA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  <c r="AA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  <c r="AA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  <c r="AA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  <c r="AA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  <c r="AA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  <c r="AA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  <c r="AA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  <c r="AA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  <c r="AA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  <c r="AA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  <c r="AA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  <c r="AA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  <c r="AA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  <c r="AA1000" s="52" t="n"/>
    </row>
  </sheetData>
  <mergeCells count="24">
    <mergeCell ref="B54:C54"/>
    <mergeCell ref="B56:C56"/>
    <mergeCell ref="B52:C52"/>
    <mergeCell ref="B48:C48"/>
    <mergeCell ref="D52:E52"/>
    <mergeCell ref="D49:E49"/>
    <mergeCell ref="C1:G1"/>
    <mergeCell ref="G28:H28"/>
    <mergeCell ref="D48:E48"/>
    <mergeCell ref="B53:C53"/>
    <mergeCell ref="B64:D64"/>
    <mergeCell ref="D53:E53"/>
    <mergeCell ref="B63:D63"/>
    <mergeCell ref="D56:E56"/>
    <mergeCell ref="B49:C49"/>
    <mergeCell ref="G29:H29"/>
    <mergeCell ref="B55:C55"/>
    <mergeCell ref="B57:E57"/>
    <mergeCell ref="D55:E55"/>
    <mergeCell ref="B51:C51"/>
    <mergeCell ref="D51:E51"/>
    <mergeCell ref="B50:C50"/>
    <mergeCell ref="D54:E54"/>
    <mergeCell ref="D50:E50"/>
  </mergeCells>
  <conditionalFormatting sqref="I49:I56">
    <cfRule type="cellIs" priority="1" operator="equal" dxfId="0">
      <formula>0</formula>
    </cfRule>
  </conditionalFormatting>
  <dataValidations count="5">
    <dataValidation sqref="E17:E26 E32:E41" showDropDown="0" showInputMessage="0" showErrorMessage="1" allowBlank="1" type="list">
      <formula1>'BANCO DE DADOS'!$E$29:$E$30</formula1>
    </dataValidation>
    <dataValidation sqref="D17:D26 D32:D41 D49:D56" showDropDown="0" showInputMessage="0" showErrorMessage="1" allowBlank="1" type="list">
      <formula1>'BANCO DE DADOS'!$G$29:$G$30</formula1>
    </dataValidation>
    <dataValidation sqref="F17:F26 F32:F41 F49:F56" showDropDown="0" showInputMessage="0" showErrorMessage="1" allowBlank="1" type="list">
      <formula1>"Jan,Fev,Mar,Abr,Mai,Jun,Jul,Ago,Set,Out,Nov,Dez"</formula1>
    </dataValidation>
    <dataValidation sqref="G14" showDropDown="0" showInputMessage="0" showErrorMessage="1" allowBlank="1" type="list">
      <formula1>'BANCO DE DADOS'!$I$29:$I$30</formula1>
    </dataValidation>
    <dataValidation sqref="B17:B26 B32:B41" showDropDown="0" showInputMessage="0" showErrorMessage="0" allowBlank="1" type="list">
      <formula1>'BANCO DE DADOS'!$B$29:$B$50</formula1>
    </dataValidation>
  </dataValidations>
  <pageMargins left="0.5905511811023623" right="0.5905511811023623" top="0.5905511811023623" bottom="0.5905511811023623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496F90"/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13" customWidth="1" style="673" min="1" max="1"/>
    <col width="11.25" customWidth="1" style="673" min="2" max="2"/>
    <col width="11.13" customWidth="1" style="673" min="3" max="3"/>
    <col width="31.75" customWidth="1" style="673" min="4" max="4"/>
    <col width="32.75" customWidth="1" style="673" min="5" max="5"/>
    <col width="10.75" customWidth="1" style="673" min="6" max="6"/>
    <col width="10.88" customWidth="1" style="673" min="7" max="7"/>
    <col width="2.13" customWidth="1" style="673" min="8" max="8"/>
    <col width="28.88" customWidth="1" style="673" min="9" max="9"/>
    <col width="8.630000000000001" customWidth="1" style="673" min="10" max="26"/>
  </cols>
  <sheetData>
    <row r="1">
      <c r="A1" s="69" t="n"/>
      <c r="B1" s="69" t="n"/>
      <c r="C1" s="69" t="n"/>
      <c r="D1" s="69" t="n"/>
      <c r="E1" s="679" t="inlineStr">
        <is>
          <t xml:space="preserve">FAVOR NÃO EDITAR ESSE CAMPO </t>
        </is>
      </c>
      <c r="F1" s="675" t="n"/>
      <c r="G1" s="675" t="n"/>
      <c r="H1" s="131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</row>
    <row r="2">
      <c r="A2" s="69" t="n"/>
      <c r="B2" s="69" t="n"/>
      <c r="C2" s="69" t="n"/>
      <c r="D2" s="69" t="n"/>
      <c r="E2" s="70" t="inlineStr">
        <is>
          <t>Descrição</t>
        </is>
      </c>
      <c r="F2" s="70" t="inlineStr">
        <is>
          <t>Realizado</t>
        </is>
      </c>
      <c r="G2" s="70" t="inlineStr">
        <is>
          <t>Projetado</t>
        </is>
      </c>
      <c r="H2" s="131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  <c r="Z2" s="69" t="n"/>
    </row>
    <row r="3">
      <c r="A3" s="69" t="n"/>
      <c r="B3" s="69" t="n"/>
      <c r="C3" s="69" t="n"/>
      <c r="D3" s="69" t="n"/>
      <c r="E3" s="135" t="inlineStr">
        <is>
          <t>Receitas PF</t>
        </is>
      </c>
      <c r="F3" s="136">
        <f>G56</f>
        <v/>
      </c>
      <c r="G3" s="136">
        <f>H56</f>
        <v/>
      </c>
      <c r="H3" s="131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</row>
    <row r="4">
      <c r="A4" s="69" t="n"/>
      <c r="B4" s="69" t="n"/>
      <c r="C4" s="69" t="n"/>
      <c r="D4" s="131" t="n"/>
      <c r="E4" s="135" t="inlineStr">
        <is>
          <t>Receitas PJ</t>
        </is>
      </c>
      <c r="F4" s="136">
        <f>G57</f>
        <v/>
      </c>
      <c r="G4" s="136">
        <f>H57</f>
        <v/>
      </c>
      <c r="H4" s="131" t="n"/>
      <c r="I4" s="131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</row>
    <row r="5">
      <c r="A5" s="69" t="n"/>
      <c r="B5" s="69" t="n"/>
      <c r="C5" s="69" t="n"/>
      <c r="D5" s="131" t="n"/>
      <c r="E5" s="131" t="n"/>
      <c r="F5" s="131" t="n"/>
      <c r="G5" s="131" t="n"/>
      <c r="H5" s="131" t="n"/>
      <c r="I5" s="131" t="n"/>
      <c r="J5" s="131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</row>
    <row r="6">
      <c r="A6" s="69" t="n"/>
      <c r="B6" s="69" t="n"/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69" t="n"/>
      <c r="U6" s="69" t="n"/>
      <c r="V6" s="69" t="n"/>
      <c r="W6" s="69" t="n"/>
      <c r="X6" s="69" t="n"/>
      <c r="Y6" s="69" t="n"/>
      <c r="Z6" s="69" t="n"/>
    </row>
    <row r="7">
      <c r="A7" s="69" t="n"/>
      <c r="B7" s="69" t="n"/>
      <c r="C7" s="69" t="n"/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69" t="n"/>
      <c r="U7" s="69" t="n"/>
      <c r="V7" s="69" t="n"/>
      <c r="W7" s="69" t="n"/>
      <c r="X7" s="69" t="n"/>
      <c r="Y7" s="69" t="n"/>
      <c r="Z7" s="69" t="n"/>
    </row>
    <row r="8">
      <c r="A8" s="69" t="n"/>
      <c r="B8" s="69" t="n"/>
      <c r="C8" s="69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69" t="n"/>
      <c r="U8" s="69" t="n"/>
      <c r="V8" s="69" t="n"/>
      <c r="W8" s="69" t="n"/>
      <c r="X8" s="69" t="n"/>
      <c r="Y8" s="69" t="n"/>
      <c r="Z8" s="69" t="n"/>
    </row>
    <row r="9">
      <c r="A9" s="69" t="n"/>
      <c r="B9" s="69" t="n"/>
      <c r="C9" s="69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69" t="n"/>
      <c r="U9" s="69" t="n"/>
      <c r="V9" s="69" t="n"/>
      <c r="W9" s="69" t="n"/>
      <c r="X9" s="69" t="n"/>
      <c r="Y9" s="69" t="n"/>
      <c r="Z9" s="69" t="n"/>
    </row>
    <row r="10">
      <c r="A10" s="69" t="n"/>
      <c r="B10" s="69" t="n"/>
      <c r="C10" s="69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69" t="n"/>
      <c r="U10" s="69" t="n"/>
      <c r="V10" s="69" t="n"/>
      <c r="W10" s="69" t="n"/>
      <c r="X10" s="69" t="n"/>
      <c r="Y10" s="69" t="n"/>
      <c r="Z10" s="69" t="n"/>
    </row>
    <row r="11">
      <c r="A11" s="69" t="n"/>
      <c r="B11" s="69" t="n"/>
      <c r="C11" s="69" t="n"/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69" t="n"/>
      <c r="U11" s="69" t="n"/>
      <c r="V11" s="69" t="n"/>
      <c r="W11" s="69" t="n"/>
      <c r="X11" s="69" t="n"/>
      <c r="Y11" s="69" t="n"/>
      <c r="Z11" s="69" t="n"/>
    </row>
    <row r="12">
      <c r="A12" s="69" t="n"/>
      <c r="B12" s="69" t="n"/>
      <c r="C12" s="69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69" t="n"/>
      <c r="U12" s="69" t="n"/>
      <c r="V12" s="69" t="n"/>
      <c r="W12" s="69" t="n"/>
      <c r="X12" s="69" t="n"/>
      <c r="Y12" s="69" t="n"/>
      <c r="Z12" s="69" t="n"/>
    </row>
    <row r="13">
      <c r="A13" s="69" t="n"/>
      <c r="B13" s="69" t="n"/>
      <c r="C13" s="69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69" t="n"/>
      <c r="U13" s="69" t="n"/>
      <c r="V13" s="69" t="n"/>
      <c r="W13" s="69" t="n"/>
      <c r="X13" s="69" t="n"/>
      <c r="Y13" s="69" t="n"/>
      <c r="Z13" s="69" t="n"/>
    </row>
    <row r="14">
      <c r="A14" s="69" t="n"/>
      <c r="B14" s="69" t="n"/>
      <c r="C14" s="69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69" t="n"/>
      <c r="U14" s="69" t="n"/>
      <c r="V14" s="69" t="n"/>
      <c r="W14" s="69" t="n"/>
      <c r="X14" s="69" t="n"/>
      <c r="Y14" s="69" t="n"/>
      <c r="Z14" s="69" t="n"/>
    </row>
    <row r="15">
      <c r="A15" s="69" t="n"/>
      <c r="B15" s="69" t="n"/>
      <c r="C15" s="69" t="n"/>
      <c r="D15" s="680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69" t="n"/>
      <c r="U15" s="69" t="n"/>
      <c r="V15" s="69" t="n"/>
      <c r="W15" s="69" t="n"/>
      <c r="X15" s="69" t="n"/>
      <c r="Y15" s="69" t="n"/>
      <c r="Z15" s="69" t="n"/>
    </row>
    <row r="16">
      <c r="A16" s="69" t="n"/>
      <c r="B16" s="69" t="n"/>
      <c r="C16" s="69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69" t="n"/>
      <c r="U16" s="69" t="n"/>
      <c r="V16" s="69" t="n"/>
      <c r="W16" s="69" t="n"/>
      <c r="X16" s="69" t="n"/>
      <c r="Y16" s="69" t="n"/>
      <c r="Z16" s="69" t="n"/>
    </row>
    <row r="17">
      <c r="A17" s="69" t="n"/>
      <c r="B17" s="69" t="n"/>
      <c r="C17" s="69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69" t="n"/>
      <c r="U17" s="69" t="n"/>
      <c r="V17" s="69" t="n"/>
      <c r="W17" s="69" t="n"/>
      <c r="X17" s="69" t="n"/>
      <c r="Y17" s="69" t="n"/>
      <c r="Z17" s="69" t="n"/>
    </row>
    <row r="18">
      <c r="A18" s="69" t="n"/>
      <c r="B18" s="69" t="n"/>
      <c r="C18" s="69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69" t="n"/>
      <c r="U18" s="69" t="n"/>
      <c r="V18" s="69" t="n"/>
      <c r="W18" s="69" t="n"/>
      <c r="X18" s="69" t="n"/>
      <c r="Y18" s="69" t="n"/>
      <c r="Z18" s="69" t="n"/>
    </row>
    <row r="19">
      <c r="A19" s="69" t="n"/>
      <c r="B19" s="69" t="n"/>
      <c r="C19" s="69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69" t="n"/>
      <c r="U19" s="69" t="n"/>
      <c r="V19" s="69" t="n"/>
      <c r="W19" s="69" t="n"/>
      <c r="X19" s="69" t="n"/>
      <c r="Y19" s="69" t="n"/>
      <c r="Z19" s="69" t="n"/>
    </row>
    <row r="20">
      <c r="A20" s="69" t="n"/>
      <c r="B20" s="69" t="n"/>
      <c r="C20" s="69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69" t="n"/>
      <c r="U20" s="69" t="n"/>
      <c r="V20" s="69" t="n"/>
      <c r="W20" s="69" t="n"/>
      <c r="X20" s="69" t="n"/>
      <c r="Y20" s="69" t="n"/>
      <c r="Z20" s="69" t="n"/>
    </row>
    <row r="21" ht="15.75" customHeight="1" s="673">
      <c r="A21" s="69" t="n"/>
      <c r="B21" s="69" t="n"/>
      <c r="C21" s="69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69" t="n"/>
      <c r="U21" s="69" t="n"/>
      <c r="V21" s="69" t="n"/>
      <c r="W21" s="69" t="n"/>
      <c r="X21" s="69" t="n"/>
      <c r="Y21" s="69" t="n"/>
      <c r="Z21" s="69" t="n"/>
    </row>
    <row r="22" ht="15.75" customHeight="1" s="673">
      <c r="A22" s="69" t="n"/>
      <c r="B22" s="69" t="n"/>
      <c r="C22" s="69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69" t="n"/>
      <c r="U22" s="69" t="n"/>
      <c r="V22" s="69" t="n"/>
      <c r="W22" s="69" t="n"/>
      <c r="X22" s="69" t="n"/>
      <c r="Y22" s="69" t="n"/>
      <c r="Z22" s="69" t="n"/>
    </row>
    <row r="23" ht="15.75" customHeight="1" s="673">
      <c r="A23" s="69" t="n"/>
      <c r="B23" s="69" t="n"/>
      <c r="C23" s="69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69" t="n"/>
      <c r="U23" s="69" t="n"/>
      <c r="V23" s="69" t="n"/>
      <c r="W23" s="69" t="n"/>
      <c r="X23" s="69" t="n"/>
      <c r="Y23" s="69" t="n"/>
      <c r="Z23" s="69" t="n"/>
    </row>
    <row r="24" ht="15.75" customHeight="1" s="673">
      <c r="A24" s="69" t="n"/>
      <c r="B24" s="69" t="n"/>
      <c r="C24" s="69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69" t="n"/>
      <c r="U24" s="69" t="n"/>
      <c r="V24" s="69" t="n"/>
      <c r="W24" s="69" t="n"/>
      <c r="X24" s="69" t="n"/>
      <c r="Y24" s="69" t="n"/>
      <c r="Z24" s="69" t="n"/>
    </row>
    <row r="25" ht="15.75" customHeight="1" s="673">
      <c r="A25" s="69" t="n"/>
      <c r="B25" s="69" t="n"/>
      <c r="C25" s="69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106" t="n"/>
      <c r="O25" s="75" t="n"/>
      <c r="P25" s="75" t="n"/>
      <c r="Q25" s="75" t="n"/>
      <c r="R25" s="75" t="n"/>
      <c r="S25" s="75" t="n"/>
      <c r="T25" s="69" t="n"/>
      <c r="U25" s="69" t="n"/>
      <c r="V25" s="69" t="n"/>
      <c r="W25" s="69" t="n"/>
      <c r="X25" s="69" t="n"/>
      <c r="Y25" s="69" t="n"/>
      <c r="Z25" s="69" t="n"/>
    </row>
    <row r="26" ht="15.75" customHeight="1" s="673">
      <c r="A26" s="69" t="n"/>
      <c r="B26" s="69" t="n"/>
      <c r="C26" s="69" t="n"/>
      <c r="D26" s="75" t="n"/>
      <c r="E26" s="75" t="n"/>
      <c r="F26" s="75" t="n"/>
      <c r="G26" s="75" t="n"/>
      <c r="H26" s="14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69" t="n"/>
      <c r="U26" s="69" t="n"/>
      <c r="V26" s="69" t="n"/>
      <c r="W26" s="69" t="n"/>
      <c r="X26" s="69" t="n"/>
      <c r="Y26" s="69" t="n"/>
      <c r="Z26" s="69" t="n"/>
    </row>
    <row r="27" ht="15.75" customHeight="1" s="673">
      <c r="A27" s="69" t="n"/>
      <c r="B27" s="69" t="n"/>
      <c r="C27" s="69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69" t="n"/>
      <c r="U27" s="69" t="n"/>
      <c r="V27" s="69" t="n"/>
      <c r="W27" s="69" t="n"/>
      <c r="X27" s="69" t="n"/>
      <c r="Y27" s="69" t="n"/>
      <c r="Z27" s="69" t="n"/>
    </row>
    <row r="28" ht="15.75" customHeight="1" s="673">
      <c r="A28" s="69" t="n"/>
      <c r="B28" s="69" t="n"/>
      <c r="C28" s="69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69" t="n"/>
      <c r="U28" s="69" t="n"/>
      <c r="V28" s="69" t="n"/>
      <c r="W28" s="69" t="n"/>
      <c r="X28" s="69" t="n"/>
      <c r="Y28" s="69" t="n"/>
      <c r="Z28" s="69" t="n"/>
    </row>
    <row r="29" ht="15.75" customHeight="1" s="673">
      <c r="A29" s="69" t="n"/>
      <c r="B29" s="69" t="n"/>
      <c r="C29" s="69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69" t="n"/>
      <c r="U29" s="69" t="n"/>
      <c r="V29" s="69" t="n"/>
      <c r="W29" s="69" t="n"/>
      <c r="X29" s="69" t="n"/>
      <c r="Y29" s="69" t="n"/>
      <c r="Z29" s="69" t="n"/>
    </row>
    <row r="30" ht="15.75" customHeight="1" s="673">
      <c r="A30" s="69" t="n"/>
      <c r="B30" s="69" t="n"/>
      <c r="C30" s="69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69" t="n"/>
      <c r="U30" s="69" t="n"/>
      <c r="V30" s="69" t="n"/>
      <c r="W30" s="69" t="n"/>
      <c r="X30" s="69" t="n"/>
      <c r="Y30" s="69" t="n"/>
      <c r="Z30" s="69" t="n"/>
    </row>
    <row r="31" ht="15.75" customHeight="1" s="673">
      <c r="A31" s="69" t="n"/>
      <c r="B31" s="69" t="n"/>
      <c r="C31" s="69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69" t="n"/>
      <c r="U31" s="69" t="n"/>
      <c r="V31" s="69" t="n"/>
      <c r="W31" s="69" t="n"/>
      <c r="X31" s="69" t="n"/>
      <c r="Y31" s="69" t="n"/>
      <c r="Z31" s="69" t="n"/>
    </row>
    <row r="32" ht="15.75" customHeight="1" s="673">
      <c r="A32" s="69" t="n"/>
      <c r="B32" s="69" t="n"/>
      <c r="C32" s="69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69" t="n"/>
      <c r="U32" s="69" t="n"/>
      <c r="V32" s="69" t="n"/>
      <c r="W32" s="69" t="n"/>
      <c r="X32" s="69" t="n"/>
      <c r="Y32" s="69" t="n"/>
      <c r="Z32" s="69" t="n"/>
    </row>
    <row r="33" ht="15.75" customHeight="1" s="673">
      <c r="A33" s="69" t="n"/>
      <c r="B33" s="69" t="n"/>
      <c r="C33" s="69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69" t="n"/>
      <c r="U33" s="69" t="n"/>
      <c r="V33" s="69" t="n"/>
      <c r="W33" s="69" t="n"/>
      <c r="X33" s="69" t="n"/>
      <c r="Y33" s="69" t="n"/>
      <c r="Z33" s="69" t="n"/>
    </row>
    <row r="34" hidden="1" ht="15.75" customHeight="1" s="673">
      <c r="A34" s="69" t="n"/>
      <c r="B34" s="69" t="n"/>
      <c r="C34" s="69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69" t="n"/>
      <c r="U34" s="69" t="n"/>
      <c r="V34" s="69" t="n"/>
      <c r="W34" s="69" t="n"/>
      <c r="X34" s="69" t="n"/>
      <c r="Y34" s="69" t="n"/>
      <c r="Z34" s="69" t="n"/>
    </row>
    <row r="35" hidden="1" ht="15.75" customHeight="1" s="673">
      <c r="A35" s="69" t="n"/>
      <c r="B35" s="69" t="n"/>
      <c r="C35" s="69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69" t="n"/>
      <c r="U35" s="69" t="n"/>
      <c r="V35" s="69" t="n"/>
      <c r="W35" s="69" t="n"/>
      <c r="X35" s="69" t="n"/>
      <c r="Y35" s="69" t="n"/>
      <c r="Z35" s="69" t="n"/>
    </row>
    <row r="36" hidden="1" ht="15.75" customHeight="1" s="673">
      <c r="A36" s="69" t="n"/>
      <c r="B36" s="69" t="n"/>
      <c r="C36" s="69" t="n"/>
      <c r="D36" s="75" t="n"/>
      <c r="E36" s="75" t="n"/>
      <c r="F36" s="75" t="n"/>
      <c r="G36" s="75" t="n"/>
      <c r="H36" s="75" t="n"/>
      <c r="I36" s="75" t="n"/>
      <c r="J36" s="146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69" t="n"/>
      <c r="U36" s="69" t="n"/>
      <c r="V36" s="69" t="n"/>
      <c r="W36" s="69" t="n"/>
      <c r="X36" s="69" t="n"/>
      <c r="Y36" s="69" t="n"/>
      <c r="Z36" s="69" t="n"/>
    </row>
    <row r="37" hidden="1" ht="15.75" customHeight="1" s="673">
      <c r="A37" s="69" t="n"/>
      <c r="B37" s="69" t="n"/>
      <c r="C37" s="69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69" t="n"/>
      <c r="U37" s="69" t="n"/>
      <c r="V37" s="69" t="n"/>
      <c r="W37" s="69" t="n"/>
      <c r="X37" s="69" t="n"/>
      <c r="Y37" s="69" t="n"/>
      <c r="Z37" s="69" t="n"/>
    </row>
    <row r="38" hidden="1" ht="15.75" customHeight="1" s="673">
      <c r="A38" s="69" t="n"/>
      <c r="B38" s="69" t="n"/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69" t="n"/>
      <c r="U38" s="69" t="n"/>
      <c r="V38" s="69" t="n"/>
      <c r="W38" s="69" t="n"/>
      <c r="X38" s="69" t="n"/>
      <c r="Y38" s="69" t="n"/>
      <c r="Z38" s="69" t="n"/>
    </row>
    <row r="39" hidden="1" ht="15.75" customHeight="1" s="673">
      <c r="A39" s="69" t="n"/>
      <c r="B39" s="69" t="n"/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69" t="n"/>
      <c r="U39" s="69" t="n"/>
      <c r="V39" s="69" t="n"/>
      <c r="W39" s="69" t="n"/>
      <c r="X39" s="69" t="n"/>
      <c r="Y39" s="69" t="n"/>
      <c r="Z39" s="69" t="n"/>
    </row>
    <row r="40" hidden="1" ht="15.75" customHeight="1" s="673">
      <c r="A40" s="69" t="n"/>
      <c r="B40" s="69" t="n"/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69" t="n"/>
      <c r="U40" s="69" t="n"/>
      <c r="V40" s="69" t="n"/>
      <c r="W40" s="69" t="n"/>
      <c r="X40" s="69" t="n"/>
      <c r="Y40" s="69" t="n"/>
      <c r="Z40" s="69" t="n"/>
    </row>
    <row r="41" hidden="1" ht="15.75" customHeight="1" s="673">
      <c r="A41" s="69" t="n"/>
      <c r="B41" s="69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69" t="n"/>
      <c r="U41" s="69" t="n"/>
      <c r="V41" s="69" t="n"/>
      <c r="W41" s="69" t="n"/>
      <c r="X41" s="69" t="n"/>
      <c r="Y41" s="69" t="n"/>
      <c r="Z41" s="69" t="n"/>
    </row>
    <row r="42" hidden="1" ht="15.75" customHeight="1" s="673">
      <c r="A42" s="69" t="n"/>
      <c r="B42" s="69" t="n"/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69" t="n"/>
      <c r="U42" s="69" t="n"/>
      <c r="V42" s="69" t="n"/>
      <c r="W42" s="69" t="n"/>
      <c r="X42" s="69" t="n"/>
      <c r="Y42" s="69" t="n"/>
      <c r="Z42" s="69" t="n"/>
    </row>
    <row r="43" hidden="1" ht="15.75" customHeight="1" s="673">
      <c r="A43" s="69" t="n"/>
      <c r="B43" s="69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69" t="n"/>
      <c r="U43" s="69" t="n"/>
      <c r="V43" s="69" t="n"/>
      <c r="W43" s="69" t="n"/>
      <c r="X43" s="69" t="n"/>
      <c r="Y43" s="69" t="n"/>
      <c r="Z43" s="69" t="n"/>
    </row>
    <row r="44" hidden="1" ht="15.75" customHeight="1" s="673">
      <c r="A44" s="69" t="n"/>
      <c r="B44" s="69" t="n"/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69" t="n"/>
      <c r="U44" s="69" t="n"/>
      <c r="V44" s="69" t="n"/>
      <c r="W44" s="69" t="n"/>
      <c r="X44" s="69" t="n"/>
      <c r="Y44" s="69" t="n"/>
      <c r="Z44" s="69" t="n"/>
    </row>
    <row r="45" hidden="1" ht="15.75" customHeight="1" s="673">
      <c r="A45" s="69" t="n"/>
      <c r="B45" s="69" t="n"/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69" t="n"/>
      <c r="U45" s="69" t="n"/>
      <c r="V45" s="69" t="n"/>
      <c r="W45" s="69" t="n"/>
      <c r="X45" s="69" t="n"/>
      <c r="Y45" s="69" t="n"/>
      <c r="Z45" s="69" t="n"/>
    </row>
    <row r="46" hidden="1" ht="15.75" customHeight="1" s="673">
      <c r="A46" s="69" t="n"/>
      <c r="B46" s="69" t="n"/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69" t="n"/>
      <c r="U46" s="69" t="n"/>
      <c r="V46" s="69" t="n"/>
      <c r="W46" s="69" t="n"/>
      <c r="X46" s="69" t="n"/>
      <c r="Y46" s="69" t="n"/>
      <c r="Z46" s="69" t="n"/>
    </row>
    <row r="47" hidden="1" ht="15.75" customHeight="1" s="673">
      <c r="A47" s="69" t="n"/>
      <c r="B47" s="69" t="n"/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69" t="n"/>
      <c r="U47" s="69" t="n"/>
      <c r="V47" s="69" t="n"/>
      <c r="W47" s="69" t="n"/>
      <c r="X47" s="69" t="n"/>
      <c r="Y47" s="69" t="n"/>
      <c r="Z47" s="69" t="n"/>
    </row>
    <row r="48" hidden="1" ht="15.75" customHeight="1" s="673">
      <c r="A48" s="69" t="n"/>
      <c r="B48" s="69" t="n"/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69" t="n"/>
      <c r="U48" s="69" t="n"/>
      <c r="V48" s="69" t="n"/>
      <c r="W48" s="69" t="n"/>
      <c r="X48" s="69" t="n"/>
      <c r="Y48" s="69" t="n"/>
      <c r="Z48" s="69" t="n"/>
    </row>
    <row r="49" hidden="1" ht="15.75" customHeight="1" s="673">
      <c r="A49" s="69" t="n"/>
      <c r="B49" s="69" t="n"/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69" t="n"/>
      <c r="U49" s="69" t="n"/>
      <c r="V49" s="69" t="n"/>
      <c r="W49" s="69" t="n"/>
      <c r="X49" s="69" t="n"/>
      <c r="Y49" s="69" t="n"/>
      <c r="Z49" s="69" t="n"/>
    </row>
    <row r="50" hidden="1" ht="15.75" customHeight="1" s="673">
      <c r="A50" s="69" t="n"/>
      <c r="B50" s="69" t="n"/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69" t="n"/>
      <c r="U50" s="69" t="n"/>
      <c r="V50" s="69" t="n"/>
      <c r="W50" s="69" t="n"/>
      <c r="X50" s="69" t="n"/>
      <c r="Y50" s="69" t="n"/>
      <c r="Z50" s="69" t="n"/>
    </row>
    <row r="51" hidden="1" ht="15.75" customHeight="1" s="673">
      <c r="A51" s="69" t="n"/>
      <c r="B51" s="69" t="n"/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69" t="n"/>
      <c r="U51" s="69" t="n"/>
      <c r="V51" s="69" t="n"/>
      <c r="W51" s="69" t="n"/>
      <c r="X51" s="69" t="n"/>
      <c r="Y51" s="69" t="n"/>
      <c r="Z51" s="69" t="n"/>
    </row>
    <row r="52" hidden="1" ht="15.75" customHeight="1" s="673">
      <c r="A52" s="69" t="n"/>
      <c r="B52" s="69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69" t="n"/>
      <c r="U52" s="69" t="n"/>
      <c r="V52" s="69" t="n"/>
      <c r="W52" s="69" t="n"/>
      <c r="X52" s="69" t="n"/>
      <c r="Y52" s="69" t="n"/>
      <c r="Z52" s="69" t="n"/>
    </row>
    <row r="53" hidden="1" ht="15.75" customHeight="1" s="673">
      <c r="A53" s="69" t="n"/>
      <c r="B53" s="69" t="n"/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69" t="n"/>
      <c r="U53" s="69" t="n"/>
      <c r="V53" s="69" t="n"/>
      <c r="W53" s="69" t="n"/>
      <c r="X53" s="69" t="n"/>
      <c r="Y53" s="69" t="n"/>
      <c r="Z53" s="69" t="n"/>
    </row>
    <row r="54" hidden="1" ht="15.75" customHeight="1" s="673">
      <c r="A54" s="69" t="n"/>
      <c r="B54" s="69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69" t="n"/>
      <c r="U54" s="69" t="n"/>
      <c r="V54" s="69" t="n"/>
      <c r="W54" s="69" t="n"/>
      <c r="X54" s="69" t="n"/>
      <c r="Y54" s="69" t="n"/>
      <c r="Z54" s="69" t="n"/>
    </row>
    <row r="55" hidden="1" ht="15.75" customHeight="1" s="673">
      <c r="A55" s="69" t="n"/>
      <c r="B55" s="69" t="n"/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69" t="n"/>
      <c r="U55" s="69" t="n"/>
      <c r="V55" s="69" t="n"/>
      <c r="W55" s="69" t="n"/>
      <c r="X55" s="69" t="n"/>
      <c r="Y55" s="69" t="n"/>
      <c r="Z55" s="69" t="n"/>
    </row>
    <row r="56" hidden="1" ht="15.75" customHeight="1" s="673">
      <c r="A56" s="69" t="n"/>
      <c r="B56" s="69" t="n"/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69" t="n"/>
      <c r="U56" s="69" t="n"/>
      <c r="V56" s="69" t="n"/>
      <c r="W56" s="69" t="n"/>
      <c r="X56" s="69" t="n"/>
      <c r="Y56" s="69" t="n"/>
      <c r="Z56" s="69" t="n"/>
    </row>
    <row r="57" hidden="1" ht="15.75" customHeight="1" s="673">
      <c r="A57" s="69" t="n"/>
      <c r="B57" s="69" t="n"/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69" t="n"/>
      <c r="U57" s="69" t="n"/>
      <c r="V57" s="69" t="n"/>
      <c r="W57" s="69" t="n"/>
      <c r="X57" s="69" t="n"/>
      <c r="Y57" s="69" t="n"/>
      <c r="Z57" s="69" t="n"/>
    </row>
    <row r="58" hidden="1" ht="15.75" customHeight="1" s="673">
      <c r="A58" s="69" t="n"/>
      <c r="B58" s="69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69" t="n"/>
      <c r="U58" s="69" t="n"/>
      <c r="V58" s="69" t="n"/>
      <c r="W58" s="69" t="n"/>
      <c r="X58" s="69" t="n"/>
      <c r="Y58" s="69" t="n"/>
      <c r="Z58" s="69" t="n"/>
    </row>
    <row r="59" hidden="1" ht="15.75" customHeight="1" s="673">
      <c r="A59" s="69" t="n"/>
      <c r="B59" s="69" t="n"/>
      <c r="C59" s="75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69" t="n"/>
      <c r="U59" s="69" t="n"/>
      <c r="V59" s="69" t="n"/>
      <c r="W59" s="69" t="n"/>
      <c r="X59" s="69" t="n"/>
      <c r="Y59" s="69" t="n"/>
      <c r="Z59" s="69" t="n"/>
    </row>
    <row r="60" hidden="1" ht="15.75" customHeight="1" s="673">
      <c r="A60" s="69" t="n"/>
      <c r="B60" s="69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69" t="n"/>
      <c r="U60" s="69" t="n"/>
      <c r="V60" s="69" t="n"/>
      <c r="W60" s="69" t="n"/>
      <c r="X60" s="69" t="n"/>
      <c r="Y60" s="69" t="n"/>
      <c r="Z60" s="69" t="n"/>
    </row>
    <row r="61" hidden="1" ht="15.75" customHeight="1" s="673">
      <c r="A61" s="69" t="n"/>
      <c r="B61" s="69" t="n"/>
      <c r="C61" s="75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69" t="n"/>
      <c r="U61" s="69" t="n"/>
      <c r="V61" s="69" t="n"/>
      <c r="W61" s="69" t="n"/>
      <c r="X61" s="69" t="n"/>
      <c r="Y61" s="69" t="n"/>
      <c r="Z61" s="69" t="n"/>
    </row>
    <row r="62" hidden="1" ht="15.75" customHeight="1" s="673">
      <c r="A62" s="69" t="n"/>
      <c r="B62" s="69" t="n"/>
      <c r="C62" s="75" t="n"/>
      <c r="D62" s="75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69" t="n"/>
      <c r="U62" s="69" t="n"/>
      <c r="V62" s="69" t="n"/>
      <c r="W62" s="69" t="n"/>
      <c r="X62" s="69" t="n"/>
      <c r="Y62" s="69" t="n"/>
      <c r="Z62" s="69" t="n"/>
    </row>
    <row r="63" hidden="1" ht="15.75" customHeight="1" s="673">
      <c r="A63" s="69" t="n"/>
      <c r="B63" s="69" t="n"/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69" t="n"/>
      <c r="U63" s="69" t="n"/>
      <c r="V63" s="69" t="n"/>
      <c r="W63" s="69" t="n"/>
      <c r="X63" s="69" t="n"/>
      <c r="Y63" s="69" t="n"/>
      <c r="Z63" s="69" t="n"/>
    </row>
    <row r="64" hidden="1" ht="15.75" customHeight="1" s="673">
      <c r="A64" s="69" t="n"/>
      <c r="B64" s="69" t="n"/>
      <c r="C64" s="75" t="n"/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69" t="n"/>
      <c r="U64" s="69" t="n"/>
      <c r="V64" s="69" t="n"/>
      <c r="W64" s="69" t="n"/>
      <c r="X64" s="69" t="n"/>
      <c r="Y64" s="69" t="n"/>
      <c r="Z64" s="69" t="n"/>
    </row>
    <row r="65" hidden="1" ht="15.75" customHeight="1" s="673">
      <c r="A65" s="69" t="n"/>
      <c r="B65" s="69" t="n"/>
      <c r="C65" s="75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69" t="n"/>
      <c r="U65" s="69" t="n"/>
      <c r="V65" s="69" t="n"/>
      <c r="W65" s="69" t="n"/>
      <c r="X65" s="69" t="n"/>
      <c r="Y65" s="69" t="n"/>
      <c r="Z65" s="69" t="n"/>
    </row>
    <row r="66" hidden="1" ht="15.75" customHeight="1" s="673">
      <c r="A66" s="69" t="n"/>
      <c r="B66" s="69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69" t="n"/>
      <c r="U66" s="69" t="n"/>
      <c r="V66" s="69" t="n"/>
      <c r="W66" s="69" t="n"/>
      <c r="X66" s="69" t="n"/>
      <c r="Y66" s="69" t="n"/>
      <c r="Z66" s="69" t="n"/>
    </row>
    <row r="67" hidden="1" ht="15.75" customHeight="1" s="673">
      <c r="A67" s="69" t="n"/>
      <c r="B67" s="69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69" t="n"/>
      <c r="U67" s="69" t="n"/>
      <c r="V67" s="69" t="n"/>
      <c r="W67" s="69" t="n"/>
      <c r="X67" s="69" t="n"/>
      <c r="Y67" s="69" t="n"/>
      <c r="Z67" s="69" t="n"/>
    </row>
    <row r="68" hidden="1" ht="15.75" customHeight="1" s="673">
      <c r="A68" s="69" t="n"/>
      <c r="B68" s="69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69" t="n"/>
      <c r="U68" s="69" t="n"/>
      <c r="V68" s="69" t="n"/>
      <c r="W68" s="69" t="n"/>
      <c r="X68" s="69" t="n"/>
      <c r="Y68" s="69" t="n"/>
      <c r="Z68" s="69" t="n"/>
    </row>
    <row r="69" hidden="1" ht="15.75" customHeight="1" s="673">
      <c r="A69" s="69" t="n"/>
      <c r="B69" s="69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69" t="n"/>
      <c r="U69" s="69" t="n"/>
      <c r="V69" s="69" t="n"/>
      <c r="W69" s="69" t="n"/>
      <c r="X69" s="69" t="n"/>
      <c r="Y69" s="69" t="n"/>
      <c r="Z69" s="69" t="n"/>
    </row>
    <row r="70" hidden="1" ht="15.75" customHeight="1" s="673">
      <c r="A70" s="69" t="n"/>
      <c r="B70" s="69" t="n"/>
      <c r="C70" s="75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69" t="n"/>
      <c r="U70" s="69" t="n"/>
      <c r="V70" s="69" t="n"/>
      <c r="W70" s="69" t="n"/>
      <c r="X70" s="69" t="n"/>
      <c r="Y70" s="69" t="n"/>
      <c r="Z70" s="69" t="n"/>
    </row>
    <row r="71" hidden="1" ht="15.75" customHeight="1" s="673">
      <c r="A71" s="69" t="n"/>
      <c r="B71" s="69" t="n"/>
      <c r="C71" s="75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69" t="n"/>
      <c r="U71" s="69" t="n"/>
      <c r="V71" s="69" t="n"/>
      <c r="W71" s="69" t="n"/>
      <c r="X71" s="69" t="n"/>
      <c r="Y71" s="69" t="n"/>
      <c r="Z71" s="69" t="n"/>
    </row>
    <row r="72" hidden="1" ht="15.75" customHeight="1" s="673">
      <c r="A72" s="69" t="n"/>
      <c r="B72" s="69" t="n"/>
      <c r="C72" s="75" t="n"/>
      <c r="D72" s="75" t="n"/>
      <c r="E72" s="75" t="n"/>
      <c r="F72" s="75" t="n"/>
      <c r="G72" s="75" t="n"/>
      <c r="H72" s="75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75" t="n"/>
      <c r="T72" s="69" t="n"/>
      <c r="U72" s="69" t="n"/>
      <c r="V72" s="69" t="n"/>
      <c r="W72" s="69" t="n"/>
      <c r="X72" s="69" t="n"/>
      <c r="Y72" s="69" t="n"/>
      <c r="Z72" s="69" t="n"/>
    </row>
    <row r="73" hidden="1" ht="15.75" customHeight="1" s="673">
      <c r="A73" s="69" t="n"/>
      <c r="B73" s="69" t="n"/>
      <c r="C73" s="75" t="n"/>
      <c r="D73" s="75" t="n"/>
      <c r="E73" s="75" t="n"/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69" t="n"/>
      <c r="U73" s="69" t="n"/>
      <c r="V73" s="69" t="n"/>
      <c r="W73" s="69" t="n"/>
      <c r="X73" s="69" t="n"/>
      <c r="Y73" s="69" t="n"/>
      <c r="Z73" s="69" t="n"/>
    </row>
    <row r="74" hidden="1" ht="15.75" customHeight="1" s="673">
      <c r="A74" s="69" t="n"/>
      <c r="B74" s="69" t="n"/>
      <c r="C74" s="75" t="n"/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69" t="n"/>
      <c r="U74" s="69" t="n"/>
      <c r="V74" s="69" t="n"/>
      <c r="W74" s="69" t="n"/>
      <c r="X74" s="69" t="n"/>
      <c r="Y74" s="69" t="n"/>
      <c r="Z74" s="69" t="n"/>
    </row>
    <row r="75" hidden="1" ht="15.75" customHeight="1" s="673">
      <c r="A75" s="69" t="n"/>
      <c r="B75" s="69" t="n"/>
      <c r="C75" s="75" t="n"/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69" t="n"/>
      <c r="U75" s="69" t="n"/>
      <c r="V75" s="69" t="n"/>
      <c r="W75" s="69" t="n"/>
      <c r="X75" s="69" t="n"/>
      <c r="Y75" s="69" t="n"/>
      <c r="Z75" s="69" t="n"/>
    </row>
    <row r="76" hidden="1" ht="15.75" customHeight="1" s="673">
      <c r="A76" s="69" t="n"/>
      <c r="B76" s="69" t="n"/>
      <c r="C76" s="75" t="n"/>
      <c r="D76" s="129" t="n"/>
      <c r="E76" s="129" t="n"/>
      <c r="F76" s="129" t="n"/>
      <c r="G76" s="129" t="n"/>
      <c r="H76" s="129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69" t="n"/>
      <c r="U76" s="69" t="n"/>
      <c r="V76" s="69" t="n"/>
      <c r="W76" s="69" t="n"/>
      <c r="X76" s="69" t="n"/>
      <c r="Y76" s="69" t="n"/>
      <c r="Z76" s="69" t="n"/>
    </row>
    <row r="77" hidden="1" ht="15.75" customHeight="1" s="673">
      <c r="A77" s="69" t="n"/>
      <c r="B77" s="69" t="n"/>
      <c r="C77" s="75" t="n"/>
      <c r="D77" s="129" t="n"/>
      <c r="E77" s="129" t="n"/>
      <c r="F77" s="129" t="n"/>
      <c r="G77" s="129" t="n"/>
      <c r="H77" s="129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69" t="n"/>
      <c r="U77" s="69" t="n"/>
      <c r="V77" s="69" t="n"/>
      <c r="W77" s="69" t="n"/>
      <c r="X77" s="69" t="n"/>
      <c r="Y77" s="69" t="n"/>
      <c r="Z77" s="69" t="n"/>
    </row>
    <row r="78" hidden="1" ht="15.75" customHeight="1" s="673">
      <c r="A78" s="69" t="n"/>
      <c r="B78" s="69" t="n"/>
      <c r="C78" s="75" t="n"/>
      <c r="D78" s="129" t="n"/>
      <c r="E78" s="129" t="n"/>
      <c r="F78" s="129" t="n"/>
      <c r="G78" s="129" t="n"/>
      <c r="H78" s="129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75" t="n"/>
      <c r="T78" s="69" t="n"/>
      <c r="U78" s="69" t="n"/>
      <c r="V78" s="69" t="n"/>
      <c r="W78" s="69" t="n"/>
      <c r="X78" s="69" t="n"/>
      <c r="Y78" s="69" t="n"/>
      <c r="Z78" s="69" t="n"/>
    </row>
    <row r="79" hidden="1" ht="15.75" customHeight="1" s="673">
      <c r="A79" s="69" t="n"/>
      <c r="B79" s="69" t="n"/>
      <c r="C79" s="75" t="n"/>
      <c r="D79" s="129" t="n"/>
      <c r="E79" s="129" t="n"/>
      <c r="F79" s="129" t="n"/>
      <c r="G79" s="129" t="n"/>
      <c r="H79" s="129" t="n"/>
      <c r="I79" s="129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75" t="n"/>
      <c r="T79" s="69" t="n"/>
      <c r="U79" s="69" t="n"/>
      <c r="V79" s="69" t="n"/>
      <c r="W79" s="69" t="n"/>
      <c r="X79" s="69" t="n"/>
      <c r="Y79" s="69" t="n"/>
      <c r="Z79" s="69" t="n"/>
    </row>
    <row r="80" hidden="1" ht="15.75" customHeight="1" s="673">
      <c r="A80" s="69" t="n"/>
      <c r="B80" s="69" t="n"/>
      <c r="C80" s="75" t="n"/>
      <c r="D80" s="129" t="n"/>
      <c r="E80" s="129" t="n"/>
      <c r="F80" s="129" t="n"/>
      <c r="G80" s="129" t="n"/>
      <c r="H80" s="129" t="n"/>
      <c r="I80" s="129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69" t="n"/>
      <c r="U80" s="69" t="n"/>
      <c r="V80" s="69" t="n"/>
      <c r="W80" s="69" t="n"/>
      <c r="X80" s="69" t="n"/>
      <c r="Y80" s="69" t="n"/>
      <c r="Z80" s="69" t="n"/>
    </row>
    <row r="81" hidden="1" ht="15.75" customHeight="1" s="673">
      <c r="A81" s="69" t="n"/>
      <c r="B81" s="69" t="n"/>
      <c r="C81" s="69" t="n"/>
      <c r="D81" s="129" t="n"/>
      <c r="E81" s="129" t="n"/>
      <c r="F81" s="129" t="n"/>
      <c r="G81" s="129" t="n"/>
      <c r="H81" s="129" t="n"/>
      <c r="I81" s="129" t="n"/>
      <c r="J81" s="69" t="n"/>
      <c r="K81" s="69" t="n"/>
      <c r="L81" s="69" t="n"/>
      <c r="M81" s="69" t="n"/>
      <c r="N81" s="69" t="n"/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  <c r="Z81" s="69" t="n"/>
    </row>
    <row r="82" hidden="1" ht="15.75" customHeight="1" s="673">
      <c r="A82" s="69" t="n"/>
      <c r="B82" s="69" t="n"/>
      <c r="C82" s="69" t="n"/>
      <c r="D82" s="129" t="n"/>
      <c r="E82" s="129" t="n"/>
      <c r="F82" s="129" t="n"/>
      <c r="G82" s="129" t="n"/>
      <c r="H82" s="129" t="n"/>
      <c r="I82" s="129" t="n"/>
      <c r="J82" s="69" t="n"/>
      <c r="K82" s="69" t="n"/>
      <c r="L82" s="69" t="n"/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  <c r="Z82" s="69" t="n"/>
    </row>
    <row r="83" hidden="1" ht="15.75" customHeight="1" s="673">
      <c r="A83" s="69" t="n"/>
      <c r="B83" s="69" t="n"/>
      <c r="C83" s="69" t="n"/>
      <c r="D83" s="129" t="n"/>
      <c r="E83" s="129" t="n"/>
      <c r="F83" s="129" t="n"/>
      <c r="G83" s="129" t="n"/>
      <c r="H83" s="129" t="n"/>
      <c r="I83" s="12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  <c r="Z83" s="69" t="n"/>
    </row>
    <row r="84" hidden="1" ht="15.75" customHeight="1" s="673">
      <c r="A84" s="69" t="n"/>
      <c r="B84" s="69" t="n"/>
      <c r="C84" s="69" t="n"/>
      <c r="D84" s="129" t="n"/>
      <c r="E84" s="129" t="n"/>
      <c r="F84" s="129" t="n"/>
      <c r="G84" s="129" t="n"/>
      <c r="H84" s="129" t="n"/>
      <c r="I84" s="12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</row>
    <row r="85" hidden="1" ht="15.75" customHeight="1" s="673">
      <c r="A85" s="69" t="n"/>
      <c r="B85" s="69" t="n"/>
      <c r="C85" s="69" t="n"/>
      <c r="D85" s="129" t="n"/>
      <c r="E85" s="129" t="n"/>
      <c r="F85" s="129" t="n"/>
      <c r="G85" s="129" t="n"/>
      <c r="H85" s="129" t="n"/>
      <c r="I85" s="129" t="n"/>
      <c r="J85" s="69" t="n"/>
      <c r="K85" s="6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</row>
    <row r="86" hidden="1" ht="15.75" customHeight="1" s="673">
      <c r="A86" s="69" t="n"/>
      <c r="B86" s="69" t="n"/>
      <c r="C86" s="69" t="n"/>
      <c r="D86" s="129" t="n"/>
      <c r="E86" s="129" t="n"/>
      <c r="F86" s="129" t="n"/>
      <c r="G86" s="129" t="n"/>
      <c r="H86" s="129" t="n"/>
      <c r="I86" s="12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  <c r="Z86" s="69" t="n"/>
    </row>
    <row r="87" hidden="1" ht="15.75" customHeight="1" s="673">
      <c r="A87" s="69" t="n"/>
      <c r="B87" s="69" t="n"/>
      <c r="C87" s="69" t="n"/>
      <c r="D87" s="129" t="n"/>
      <c r="E87" s="129" t="n"/>
      <c r="F87" s="129" t="n"/>
      <c r="G87" s="129" t="n"/>
      <c r="H87" s="129" t="n"/>
      <c r="I87" s="129" t="n"/>
      <c r="J87" s="69" t="n"/>
      <c r="K87" s="69" t="n"/>
      <c r="L87" s="69" t="n"/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  <c r="Z87" s="69" t="n"/>
    </row>
    <row r="88" hidden="1" ht="15.75" customHeight="1" s="673">
      <c r="A88" s="69" t="n"/>
      <c r="B88" s="69" t="n"/>
      <c r="C88" s="69" t="n"/>
      <c r="D88" s="130" t="n"/>
      <c r="E88" s="130" t="n"/>
      <c r="F88" s="130" t="n"/>
      <c r="G88" s="130" t="n"/>
      <c r="H88" s="130" t="n"/>
      <c r="I88" s="12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</row>
    <row r="89" hidden="1" ht="15.75" customHeight="1" s="673">
      <c r="A89" s="69" t="n"/>
      <c r="B89" s="69" t="n"/>
      <c r="C89" s="69" t="n"/>
      <c r="D89" s="130" t="n"/>
      <c r="E89" s="130" t="n"/>
      <c r="F89" s="130" t="n"/>
      <c r="G89" s="130" t="n"/>
      <c r="H89" s="130" t="n"/>
      <c r="I89" s="129" t="n"/>
      <c r="J89" s="69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</row>
    <row r="90" hidden="1" ht="15.75" customHeight="1" s="673">
      <c r="A90" s="69" t="n"/>
      <c r="B90" s="69" t="n"/>
      <c r="C90" s="69" t="n"/>
      <c r="D90" s="130" t="n"/>
      <c r="E90" s="130" t="n"/>
      <c r="F90" s="130" t="n"/>
      <c r="G90" s="130" t="n"/>
      <c r="H90" s="130" t="n"/>
      <c r="I90" s="12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</row>
    <row r="91" hidden="1" ht="15.75" customHeight="1" s="673">
      <c r="A91" s="69" t="n"/>
      <c r="B91" s="69" t="n"/>
      <c r="C91" s="69" t="n"/>
      <c r="D91" s="130" t="n"/>
      <c r="E91" s="130" t="n"/>
      <c r="F91" s="130" t="n"/>
      <c r="G91" s="130" t="n"/>
      <c r="H91" s="130" t="n"/>
      <c r="I91" s="130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  <c r="Z91" s="69" t="n"/>
    </row>
    <row r="92" hidden="1" ht="15.75" customHeight="1" s="673">
      <c r="A92" s="69" t="n"/>
      <c r="B92" s="69" t="n"/>
      <c r="C92" s="69" t="n"/>
      <c r="D92" s="130" t="n"/>
      <c r="E92" s="130" t="n"/>
      <c r="F92" s="130" t="n"/>
      <c r="G92" s="130" t="n"/>
      <c r="H92" s="130" t="n"/>
      <c r="I92" s="130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</row>
    <row r="93" hidden="1" ht="15.75" customHeight="1" s="673">
      <c r="A93" s="69" t="n"/>
      <c r="B93" s="69" t="n"/>
      <c r="C93" s="69" t="n"/>
      <c r="D93" s="130" t="n"/>
      <c r="E93" s="130" t="n"/>
      <c r="F93" s="130" t="n"/>
      <c r="G93" s="130" t="n"/>
      <c r="H93" s="130" t="n"/>
      <c r="I93" s="130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</row>
    <row r="94" hidden="1" ht="15.75" customHeight="1" s="673">
      <c r="A94" s="69" t="n"/>
      <c r="B94" s="69" t="n"/>
      <c r="C94" s="69" t="n"/>
      <c r="D94" s="130" t="n"/>
      <c r="E94" s="130" t="n"/>
      <c r="F94" s="130" t="n"/>
      <c r="G94" s="130" t="n"/>
      <c r="H94" s="130" t="n"/>
      <c r="I94" s="130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</row>
    <row r="95" hidden="1" ht="15.75" customHeight="1" s="673">
      <c r="A95" s="69" t="n"/>
      <c r="B95" s="69" t="n"/>
      <c r="C95" s="69" t="n"/>
      <c r="D95" s="130" t="n"/>
      <c r="E95" s="130" t="n"/>
      <c r="F95" s="130" t="n"/>
      <c r="G95" s="130" t="n"/>
      <c r="H95" s="130" t="n"/>
      <c r="I95" s="130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</row>
    <row r="96" hidden="1" ht="15.75" customHeight="1" s="673">
      <c r="A96" s="69" t="n"/>
      <c r="B96" s="69" t="n"/>
      <c r="C96" s="69" t="n"/>
      <c r="D96" s="130" t="n"/>
      <c r="E96" s="130" t="n"/>
      <c r="F96" s="130" t="n"/>
      <c r="G96" s="130" t="n"/>
      <c r="H96" s="130" t="n"/>
      <c r="I96" s="130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</row>
    <row r="97" hidden="1" ht="15.75" customHeight="1" s="673">
      <c r="A97" s="69" t="n"/>
      <c r="B97" s="69" t="n"/>
      <c r="C97" s="69" t="n"/>
      <c r="D97" s="131" t="n"/>
      <c r="E97" s="131" t="n"/>
      <c r="F97" s="131" t="n"/>
      <c r="G97" s="131" t="n"/>
      <c r="H97" s="131" t="n"/>
      <c r="I97" s="130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</row>
    <row r="98" hidden="1" ht="15.75" customHeight="1" s="673">
      <c r="A98" s="69" t="n"/>
      <c r="B98" s="69" t="n"/>
      <c r="C98" s="69" t="n"/>
      <c r="D98" s="131" t="n"/>
      <c r="E98" s="131" t="n"/>
      <c r="F98" s="131" t="n"/>
      <c r="G98" s="131" t="n"/>
      <c r="H98" s="131" t="n"/>
      <c r="I98" s="130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</row>
    <row r="99" hidden="1" ht="15.75" customHeight="1" s="673">
      <c r="A99" s="69" t="n"/>
      <c r="B99" s="69" t="n"/>
      <c r="C99" s="69" t="n"/>
      <c r="D99" s="131" t="n"/>
      <c r="E99" s="131" t="n"/>
      <c r="F99" s="131" t="n"/>
      <c r="G99" s="131" t="n"/>
      <c r="H99" s="131" t="n"/>
      <c r="I99" s="130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</row>
    <row r="100" ht="15.75" customHeight="1" s="673">
      <c r="A100" s="69" t="n"/>
      <c r="B100" s="69" t="n"/>
      <c r="C100" s="69" t="n"/>
      <c r="D100" s="131" t="n"/>
      <c r="E100" s="131" t="n"/>
      <c r="F100" s="131" t="n"/>
      <c r="G100" s="131" t="n"/>
      <c r="H100" s="131" t="n"/>
      <c r="I100" s="131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</row>
    <row r="101" ht="15.75" customHeight="1" s="673">
      <c r="A101" s="69" t="n"/>
      <c r="B101" s="69" t="n"/>
      <c r="C101" s="69" t="n"/>
      <c r="D101" s="131" t="n"/>
      <c r="E101" s="131" t="n"/>
      <c r="F101" s="131" t="n"/>
      <c r="G101" s="131" t="n"/>
      <c r="H101" s="131" t="n"/>
      <c r="I101" s="131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</row>
    <row r="102" ht="15.75" customHeight="1" s="673">
      <c r="A102" s="69" t="n"/>
      <c r="B102" s="69" t="n"/>
      <c r="C102" s="69" t="n"/>
      <c r="D102" s="131" t="n"/>
      <c r="E102" s="131" t="n"/>
      <c r="F102" s="131" t="n"/>
      <c r="G102" s="131" t="n"/>
      <c r="H102" s="131" t="n"/>
      <c r="I102" s="131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</row>
    <row r="103" ht="15.75" customHeight="1" s="673">
      <c r="A103" s="69" t="n"/>
      <c r="B103" s="69" t="n"/>
      <c r="C103" s="69" t="n"/>
      <c r="D103" s="131" t="n"/>
      <c r="E103" s="131" t="n"/>
      <c r="F103" s="131" t="n"/>
      <c r="G103" s="131" t="n"/>
      <c r="H103" s="131" t="n"/>
      <c r="I103" s="131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69" t="n"/>
    </row>
    <row r="104" ht="15.75" customHeight="1" s="673">
      <c r="A104" s="69" t="n"/>
      <c r="B104" s="69" t="n"/>
      <c r="C104" s="69" t="n"/>
      <c r="D104" s="131" t="n"/>
      <c r="E104" s="131" t="n"/>
      <c r="F104" s="131" t="n"/>
      <c r="G104" s="131" t="n"/>
      <c r="H104" s="131" t="n"/>
      <c r="I104" s="131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</row>
    <row r="105" ht="15.75" customHeight="1" s="673">
      <c r="A105" s="69" t="n"/>
      <c r="B105" s="69" t="n"/>
      <c r="C105" s="69" t="n"/>
      <c r="D105" s="131" t="n"/>
      <c r="E105" s="131" t="n"/>
      <c r="F105" s="131" t="n"/>
      <c r="G105" s="131" t="n"/>
      <c r="H105" s="131" t="n"/>
      <c r="I105" s="131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</row>
    <row r="106" ht="15.75" customHeight="1" s="673">
      <c r="A106" s="69" t="n"/>
      <c r="B106" s="69" t="n"/>
      <c r="C106" s="69" t="n"/>
      <c r="D106" s="131" t="n"/>
      <c r="E106" s="131" t="n"/>
      <c r="F106" s="131" t="n"/>
      <c r="G106" s="131" t="n"/>
      <c r="H106" s="131" t="n"/>
      <c r="I106" s="131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</row>
    <row r="107" ht="15.75" customHeight="1" s="673">
      <c r="A107" s="69" t="n"/>
      <c r="B107" s="69" t="n"/>
      <c r="C107" s="69" t="n"/>
      <c r="D107" s="131" t="n"/>
      <c r="E107" s="131" t="n"/>
      <c r="F107" s="131" t="n"/>
      <c r="G107" s="131" t="n"/>
      <c r="H107" s="131" t="n"/>
      <c r="I107" s="131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  <c r="Z107" s="69" t="n"/>
    </row>
    <row r="108" ht="15.75" customHeight="1" s="673">
      <c r="A108" s="69" t="n"/>
      <c r="B108" s="69" t="n"/>
      <c r="C108" s="69" t="n"/>
      <c r="D108" s="131" t="n"/>
      <c r="E108" s="131" t="n"/>
      <c r="F108" s="131" t="n"/>
      <c r="G108" s="131" t="n"/>
      <c r="H108" s="131" t="n"/>
      <c r="I108" s="131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</row>
    <row r="109" ht="15.75" customHeight="1" s="673">
      <c r="A109" s="69" t="n"/>
      <c r="B109" s="69" t="n"/>
      <c r="C109" s="69" t="n"/>
      <c r="D109" s="131" t="n"/>
      <c r="E109" s="131" t="n"/>
      <c r="F109" s="131" t="n"/>
      <c r="G109" s="131" t="n"/>
      <c r="H109" s="131" t="n"/>
      <c r="I109" s="131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</row>
    <row r="110" ht="15.75" customHeight="1" s="673">
      <c r="A110" s="69" t="n"/>
      <c r="B110" s="69" t="n"/>
      <c r="C110" s="69" t="n"/>
      <c r="D110" s="131" t="n"/>
      <c r="E110" s="131" t="n"/>
      <c r="F110" s="131" t="n"/>
      <c r="G110" s="131" t="n"/>
      <c r="H110" s="131" t="n"/>
      <c r="I110" s="131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</row>
    <row r="111" ht="15.75" customHeight="1" s="673">
      <c r="A111" s="69" t="n"/>
      <c r="B111" s="69" t="n"/>
      <c r="C111" s="69" t="n"/>
      <c r="D111" s="131" t="n"/>
      <c r="E111" s="131" t="n"/>
      <c r="F111" s="131" t="n"/>
      <c r="G111" s="131" t="n"/>
      <c r="H111" s="131" t="n"/>
      <c r="I111" s="131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</row>
    <row r="112" ht="15.75" customHeight="1" s="673">
      <c r="A112" s="69" t="n"/>
      <c r="B112" s="69" t="n"/>
      <c r="C112" s="69" t="n"/>
      <c r="D112" s="131" t="n"/>
      <c r="E112" s="131" t="n"/>
      <c r="F112" s="131" t="n"/>
      <c r="G112" s="131" t="n"/>
      <c r="H112" s="131" t="n"/>
      <c r="I112" s="131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</row>
    <row r="113" ht="15.75" customHeight="1" s="673">
      <c r="A113" s="69" t="n"/>
      <c r="B113" s="69" t="n"/>
      <c r="C113" s="69" t="n"/>
      <c r="D113" s="131" t="n"/>
      <c r="E113" s="131" t="n"/>
      <c r="F113" s="131" t="n"/>
      <c r="G113" s="131" t="n"/>
      <c r="H113" s="131" t="n"/>
      <c r="I113" s="131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</row>
    <row r="114" ht="15.75" customHeight="1" s="673">
      <c r="A114" s="69" t="n"/>
      <c r="B114" s="69" t="n"/>
      <c r="C114" s="69" t="n"/>
      <c r="D114" s="131" t="n"/>
      <c r="E114" s="131" t="n"/>
      <c r="F114" s="131" t="n"/>
      <c r="G114" s="131" t="n"/>
      <c r="H114" s="131" t="n"/>
      <c r="I114" s="131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</row>
    <row r="115" ht="15.75" customHeight="1" s="673">
      <c r="A115" s="69" t="n"/>
      <c r="B115" s="69" t="n"/>
      <c r="C115" s="69" t="n"/>
      <c r="D115" s="131" t="n"/>
      <c r="E115" s="131" t="n"/>
      <c r="F115" s="131" t="n"/>
      <c r="G115" s="131" t="n"/>
      <c r="H115" s="131" t="n"/>
      <c r="I115" s="131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  <c r="Z115" s="69" t="n"/>
    </row>
    <row r="116" ht="15.75" customHeight="1" s="673">
      <c r="A116" s="69" t="n"/>
      <c r="B116" s="69" t="n"/>
      <c r="C116" s="69" t="n"/>
      <c r="D116" s="131" t="n"/>
      <c r="E116" s="131" t="n"/>
      <c r="F116" s="131" t="n"/>
      <c r="G116" s="131" t="n"/>
      <c r="H116" s="131" t="n"/>
      <c r="I116" s="131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</row>
    <row r="117" ht="15.75" customHeight="1" s="673">
      <c r="A117" s="69" t="n"/>
      <c r="B117" s="69" t="n"/>
      <c r="C117" s="69" t="n"/>
      <c r="D117" s="131" t="n"/>
      <c r="E117" s="131" t="n"/>
      <c r="F117" s="131" t="n"/>
      <c r="G117" s="131" t="n"/>
      <c r="H117" s="131" t="n"/>
      <c r="I117" s="131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</row>
    <row r="118" ht="15.75" customHeight="1" s="673">
      <c r="A118" s="69" t="n"/>
      <c r="B118" s="69" t="n"/>
      <c r="C118" s="69" t="n"/>
      <c r="D118" s="131" t="n"/>
      <c r="E118" s="131" t="n"/>
      <c r="F118" s="131" t="n"/>
      <c r="G118" s="131" t="n"/>
      <c r="H118" s="131" t="n"/>
      <c r="I118" s="131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</row>
    <row r="119" ht="15.75" customHeight="1" s="673">
      <c r="A119" s="69" t="n"/>
      <c r="B119" s="69" t="n"/>
      <c r="C119" s="69" t="n"/>
      <c r="D119" s="131" t="n"/>
      <c r="E119" s="131" t="n"/>
      <c r="F119" s="131" t="n"/>
      <c r="G119" s="131" t="n"/>
      <c r="H119" s="131" t="n"/>
      <c r="I119" s="131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</row>
    <row r="120" ht="15.75" customHeight="1" s="673">
      <c r="A120" s="69" t="n"/>
      <c r="B120" s="69" t="n"/>
      <c r="C120" s="69" t="n"/>
      <c r="D120" s="131" t="n"/>
      <c r="E120" s="131" t="n"/>
      <c r="F120" s="131" t="n"/>
      <c r="G120" s="131" t="n"/>
      <c r="H120" s="131" t="n"/>
      <c r="I120" s="131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</row>
    <row r="121" ht="15.75" customHeight="1" s="673">
      <c r="A121" s="69" t="n"/>
      <c r="B121" s="69" t="n"/>
      <c r="C121" s="69" t="n"/>
      <c r="D121" s="131" t="n"/>
      <c r="E121" s="131" t="n"/>
      <c r="F121" s="131" t="n"/>
      <c r="G121" s="131" t="n"/>
      <c r="H121" s="131" t="n"/>
      <c r="I121" s="131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</row>
    <row r="122" ht="15.75" customHeight="1" s="673">
      <c r="A122" s="69" t="n"/>
      <c r="B122" s="69" t="n"/>
      <c r="C122" s="69" t="n"/>
      <c r="D122" s="131" t="n"/>
      <c r="E122" s="131" t="n"/>
      <c r="F122" s="131" t="n"/>
      <c r="G122" s="131" t="n"/>
      <c r="H122" s="131" t="n"/>
      <c r="I122" s="131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</row>
    <row r="123" ht="15.75" customHeight="1" s="673">
      <c r="A123" s="69" t="n"/>
      <c r="B123" s="69" t="n"/>
      <c r="C123" s="69" t="n"/>
      <c r="D123" s="131" t="n"/>
      <c r="E123" s="131" t="n"/>
      <c r="F123" s="131" t="n"/>
      <c r="G123" s="131" t="n"/>
      <c r="H123" s="131" t="n"/>
      <c r="I123" s="131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</row>
    <row r="124" ht="15.75" customHeight="1" s="673">
      <c r="A124" s="69" t="n"/>
      <c r="B124" s="69" t="n"/>
      <c r="C124" s="69" t="n"/>
      <c r="D124" s="131" t="n"/>
      <c r="E124" s="131" t="n"/>
      <c r="F124" s="131" t="n"/>
      <c r="G124" s="131" t="n"/>
      <c r="H124" s="131" t="n"/>
      <c r="I124" s="131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</row>
    <row r="125" ht="15.75" customHeight="1" s="673">
      <c r="A125" s="69" t="n"/>
      <c r="B125" s="69" t="n"/>
      <c r="C125" s="69" t="n"/>
      <c r="D125" s="131" t="n"/>
      <c r="E125" s="131" t="n"/>
      <c r="F125" s="131" t="n"/>
      <c r="G125" s="131" t="n"/>
      <c r="H125" s="131" t="n"/>
      <c r="I125" s="131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</row>
    <row r="126" ht="15.75" customHeight="1" s="673">
      <c r="A126" s="69" t="n"/>
      <c r="B126" s="69" t="n"/>
      <c r="C126" s="69" t="n"/>
      <c r="D126" s="131" t="n"/>
      <c r="E126" s="131" t="n"/>
      <c r="F126" s="131" t="n"/>
      <c r="G126" s="131" t="n"/>
      <c r="H126" s="131" t="n"/>
      <c r="I126" s="131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</row>
    <row r="127" ht="15.75" customHeight="1" s="673">
      <c r="A127" s="69" t="n"/>
      <c r="B127" s="69" t="n"/>
      <c r="C127" s="69" t="n"/>
      <c r="D127" s="131" t="n"/>
      <c r="E127" s="131" t="n"/>
      <c r="F127" s="131" t="n"/>
      <c r="G127" s="131" t="n"/>
      <c r="H127" s="131" t="n"/>
      <c r="I127" s="131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</row>
    <row r="128" ht="15.75" customHeight="1" s="673">
      <c r="A128" s="69" t="n"/>
      <c r="B128" s="69" t="n"/>
      <c r="C128" s="69" t="n"/>
      <c r="D128" s="131" t="n"/>
      <c r="E128" s="131" t="n"/>
      <c r="F128" s="131" t="n"/>
      <c r="G128" s="131" t="n"/>
      <c r="H128" s="131" t="n"/>
      <c r="I128" s="131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</row>
    <row r="129" ht="15.75" customHeight="1" s="673">
      <c r="A129" s="69" t="n"/>
      <c r="B129" s="69" t="n"/>
      <c r="C129" s="69" t="n"/>
      <c r="D129" s="131" t="n"/>
      <c r="E129" s="131" t="n"/>
      <c r="F129" s="131" t="n"/>
      <c r="G129" s="131" t="n"/>
      <c r="H129" s="131" t="n"/>
      <c r="I129" s="131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</row>
    <row r="130" ht="15.75" customHeight="1" s="673">
      <c r="A130" s="69" t="n"/>
      <c r="B130" s="69" t="n"/>
      <c r="C130" s="69" t="n"/>
      <c r="D130" s="131" t="n"/>
      <c r="E130" s="131" t="n"/>
      <c r="F130" s="131" t="n"/>
      <c r="G130" s="131" t="n"/>
      <c r="H130" s="131" t="n"/>
      <c r="I130" s="131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</row>
    <row r="131" ht="15.75" customHeight="1" s="673">
      <c r="A131" s="69" t="n"/>
      <c r="B131" s="69" t="n"/>
      <c r="C131" s="69" t="n"/>
      <c r="D131" s="131" t="n"/>
      <c r="E131" s="131" t="n"/>
      <c r="F131" s="131" t="n"/>
      <c r="G131" s="131" t="n"/>
      <c r="H131" s="131" t="n"/>
      <c r="I131" s="131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</row>
    <row r="132" ht="15.75" customHeight="1" s="673">
      <c r="A132" s="69" t="n"/>
      <c r="B132" s="69" t="n"/>
      <c r="C132" s="69" t="n"/>
      <c r="D132" s="131" t="n"/>
      <c r="E132" s="131" t="n"/>
      <c r="F132" s="131" t="n"/>
      <c r="G132" s="131" t="n"/>
      <c r="H132" s="131" t="n"/>
      <c r="I132" s="131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</row>
    <row r="133" ht="15.75" customHeight="1" s="673">
      <c r="A133" s="69" t="n"/>
      <c r="B133" s="69" t="n"/>
      <c r="C133" s="69" t="n"/>
      <c r="D133" s="131" t="n"/>
      <c r="E133" s="131" t="n"/>
      <c r="F133" s="131" t="n"/>
      <c r="G133" s="131" t="n"/>
      <c r="H133" s="131" t="n"/>
      <c r="I133" s="131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</row>
    <row r="134" ht="15.75" customHeight="1" s="673">
      <c r="A134" s="69" t="n"/>
      <c r="B134" s="69" t="n"/>
      <c r="C134" s="69" t="n"/>
      <c r="D134" s="131" t="n"/>
      <c r="E134" s="131" t="n"/>
      <c r="F134" s="131" t="n"/>
      <c r="G134" s="131" t="n"/>
      <c r="H134" s="131" t="n"/>
      <c r="I134" s="131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</row>
    <row r="135" ht="15.75" customHeight="1" s="673">
      <c r="A135" s="69" t="n"/>
      <c r="B135" s="69" t="n"/>
      <c r="C135" s="69" t="n"/>
      <c r="D135" s="131" t="n"/>
      <c r="E135" s="131" t="n"/>
      <c r="F135" s="131" t="n"/>
      <c r="G135" s="131" t="n"/>
      <c r="H135" s="131" t="n"/>
      <c r="I135" s="131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  <c r="Z135" s="69" t="n"/>
    </row>
    <row r="136" ht="15.75" customHeight="1" s="673">
      <c r="A136" s="69" t="n"/>
      <c r="B136" s="69" t="n"/>
      <c r="C136" s="69" t="n"/>
      <c r="D136" s="131" t="n"/>
      <c r="E136" s="131" t="n"/>
      <c r="F136" s="131" t="n"/>
      <c r="G136" s="131" t="n"/>
      <c r="H136" s="131" t="n"/>
      <c r="I136" s="131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</row>
    <row r="137" ht="15.75" customHeight="1" s="673">
      <c r="A137" s="69" t="n"/>
      <c r="B137" s="69" t="n"/>
      <c r="C137" s="69" t="n"/>
      <c r="D137" s="131" t="n"/>
      <c r="E137" s="131" t="n"/>
      <c r="F137" s="131" t="n"/>
      <c r="G137" s="131" t="n"/>
      <c r="H137" s="131" t="n"/>
      <c r="I137" s="131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</row>
    <row r="138" ht="15.75" customHeight="1" s="673">
      <c r="A138" s="69" t="n"/>
      <c r="B138" s="69" t="n"/>
      <c r="C138" s="69" t="n"/>
      <c r="D138" s="131" t="n"/>
      <c r="E138" s="131" t="n"/>
      <c r="F138" s="131" t="n"/>
      <c r="G138" s="131" t="n"/>
      <c r="H138" s="131" t="n"/>
      <c r="I138" s="131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</row>
    <row r="139" ht="15.75" customHeight="1" s="673">
      <c r="A139" s="69" t="n"/>
      <c r="B139" s="69" t="n"/>
      <c r="C139" s="69" t="n"/>
      <c r="D139" s="131" t="n"/>
      <c r="E139" s="131" t="n"/>
      <c r="F139" s="131" t="n"/>
      <c r="G139" s="131" t="n"/>
      <c r="H139" s="131" t="n"/>
      <c r="I139" s="131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</row>
    <row r="140" ht="15.75" customHeight="1" s="673">
      <c r="A140" s="69" t="n"/>
      <c r="B140" s="69" t="n"/>
      <c r="C140" s="69" t="n"/>
      <c r="D140" s="131" t="n"/>
      <c r="E140" s="131" t="n"/>
      <c r="F140" s="131" t="n"/>
      <c r="G140" s="131" t="n"/>
      <c r="H140" s="131" t="n"/>
      <c r="I140" s="131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</row>
    <row r="141" ht="15.75" customHeight="1" s="673">
      <c r="A141" s="69" t="n"/>
      <c r="B141" s="69" t="n"/>
      <c r="C141" s="69" t="n"/>
      <c r="D141" s="131" t="n"/>
      <c r="E141" s="131" t="n"/>
      <c r="F141" s="131" t="n"/>
      <c r="G141" s="131" t="n"/>
      <c r="H141" s="131" t="n"/>
      <c r="I141" s="131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</row>
    <row r="142" ht="15.75" customHeight="1" s="673">
      <c r="A142" s="69" t="n"/>
      <c r="B142" s="69" t="n"/>
      <c r="C142" s="69" t="n"/>
      <c r="D142" s="131" t="n"/>
      <c r="E142" s="131" t="n"/>
      <c r="F142" s="131" t="n"/>
      <c r="G142" s="131" t="n"/>
      <c r="H142" s="131" t="n"/>
      <c r="I142" s="131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</row>
    <row r="143" ht="15.75" customHeight="1" s="673">
      <c r="A143" s="69" t="n"/>
      <c r="B143" s="69" t="n"/>
      <c r="C143" s="69" t="n"/>
      <c r="D143" s="131" t="n"/>
      <c r="E143" s="131" t="n"/>
      <c r="F143" s="131" t="n"/>
      <c r="G143" s="131" t="n"/>
      <c r="H143" s="131" t="n"/>
      <c r="I143" s="131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</row>
    <row r="144" ht="15.75" customHeight="1" s="673">
      <c r="A144" s="69" t="n"/>
      <c r="B144" s="69" t="n"/>
      <c r="C144" s="69" t="n"/>
      <c r="D144" s="131" t="n"/>
      <c r="E144" s="131" t="n"/>
      <c r="F144" s="131" t="n"/>
      <c r="G144" s="131" t="n"/>
      <c r="H144" s="131" t="n"/>
      <c r="I144" s="131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</row>
    <row r="145" ht="15.75" customHeight="1" s="673">
      <c r="A145" s="69" t="n"/>
      <c r="B145" s="69" t="n"/>
      <c r="C145" s="69" t="n"/>
      <c r="D145" s="131" t="n"/>
      <c r="E145" s="131" t="n"/>
      <c r="F145" s="131" t="n"/>
      <c r="G145" s="131" t="n"/>
      <c r="H145" s="131" t="n"/>
      <c r="I145" s="131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</row>
    <row r="146" ht="15.75" customHeight="1" s="673">
      <c r="A146" s="69" t="n"/>
      <c r="B146" s="69" t="n"/>
      <c r="C146" s="69" t="n"/>
      <c r="D146" s="131" t="n"/>
      <c r="E146" s="131" t="n"/>
      <c r="F146" s="131" t="n"/>
      <c r="G146" s="131" t="n"/>
      <c r="H146" s="131" t="n"/>
      <c r="I146" s="131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</row>
    <row r="147" ht="15.75" customHeight="1" s="673">
      <c r="A147" s="69" t="n"/>
      <c r="B147" s="69" t="n"/>
      <c r="C147" s="69" t="n"/>
      <c r="D147" s="131" t="n"/>
      <c r="E147" s="131" t="n"/>
      <c r="F147" s="131" t="n"/>
      <c r="G147" s="131" t="n"/>
      <c r="H147" s="131" t="n"/>
      <c r="I147" s="131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</row>
    <row r="148" ht="15.75" customHeight="1" s="673">
      <c r="A148" s="69" t="n"/>
      <c r="B148" s="69" t="n"/>
      <c r="C148" s="69" t="n"/>
      <c r="D148" s="131" t="n"/>
      <c r="E148" s="131" t="n"/>
      <c r="F148" s="131" t="n"/>
      <c r="G148" s="131" t="n"/>
      <c r="H148" s="131" t="n"/>
      <c r="I148" s="131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</row>
    <row r="149" ht="15.75" customHeight="1" s="673">
      <c r="A149" s="69" t="n"/>
      <c r="B149" s="69" t="n"/>
      <c r="C149" s="69" t="n"/>
      <c r="D149" s="131" t="n"/>
      <c r="E149" s="131" t="n"/>
      <c r="F149" s="131" t="n"/>
      <c r="G149" s="131" t="n"/>
      <c r="H149" s="131" t="n"/>
      <c r="I149" s="131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</row>
    <row r="150" ht="15.75" customHeight="1" s="673">
      <c r="A150" s="69" t="n"/>
      <c r="B150" s="69" t="n"/>
      <c r="C150" s="69" t="n"/>
      <c r="D150" s="131" t="n"/>
      <c r="E150" s="131" t="n"/>
      <c r="F150" s="131" t="n"/>
      <c r="G150" s="131" t="n"/>
      <c r="H150" s="131" t="n"/>
      <c r="I150" s="131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</row>
    <row r="151" ht="15.75" customHeight="1" s="673">
      <c r="A151" s="69" t="n"/>
      <c r="B151" s="69" t="n"/>
      <c r="C151" s="69" t="n"/>
      <c r="D151" s="131" t="n"/>
      <c r="E151" s="131" t="n"/>
      <c r="F151" s="131" t="n"/>
      <c r="G151" s="131" t="n"/>
      <c r="H151" s="131" t="n"/>
      <c r="I151" s="131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</row>
    <row r="152" ht="15.75" customHeight="1" s="673">
      <c r="A152" s="69" t="n"/>
      <c r="B152" s="69" t="n"/>
      <c r="C152" s="69" t="n"/>
      <c r="D152" s="131" t="n"/>
      <c r="E152" s="131" t="n"/>
      <c r="F152" s="131" t="n"/>
      <c r="G152" s="131" t="n"/>
      <c r="H152" s="131" t="n"/>
      <c r="I152" s="131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</row>
    <row r="153" ht="15.75" customHeight="1" s="673">
      <c r="A153" s="69" t="n"/>
      <c r="B153" s="69" t="n"/>
      <c r="C153" s="69" t="n"/>
      <c r="D153" s="131" t="n"/>
      <c r="E153" s="131" t="n"/>
      <c r="F153" s="131" t="n"/>
      <c r="G153" s="131" t="n"/>
      <c r="H153" s="131" t="n"/>
      <c r="I153" s="131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</row>
    <row r="154" ht="15.75" customHeight="1" s="673">
      <c r="A154" s="69" t="n"/>
      <c r="B154" s="69" t="n"/>
      <c r="C154" s="69" t="n"/>
      <c r="D154" s="131" t="n"/>
      <c r="E154" s="131" t="n"/>
      <c r="F154" s="131" t="n"/>
      <c r="G154" s="131" t="n"/>
      <c r="H154" s="131" t="n"/>
      <c r="I154" s="131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</row>
    <row r="155" ht="15.75" customHeight="1" s="673">
      <c r="A155" s="69" t="n"/>
      <c r="B155" s="69" t="n"/>
      <c r="C155" s="69" t="n"/>
      <c r="D155" s="131" t="n"/>
      <c r="E155" s="131" t="n"/>
      <c r="F155" s="131" t="n"/>
      <c r="G155" s="131" t="n"/>
      <c r="H155" s="131" t="n"/>
      <c r="I155" s="131" t="n"/>
      <c r="J155" s="69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</row>
    <row r="156" ht="15.75" customHeight="1" s="673">
      <c r="A156" s="69" t="n"/>
      <c r="B156" s="69" t="n"/>
      <c r="C156" s="69" t="n"/>
      <c r="D156" s="131" t="n"/>
      <c r="E156" s="131" t="n"/>
      <c r="F156" s="131" t="n"/>
      <c r="G156" s="131" t="n"/>
      <c r="H156" s="131" t="n"/>
      <c r="I156" s="131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</row>
    <row r="157" ht="15.75" customHeight="1" s="673">
      <c r="A157" s="69" t="n"/>
      <c r="B157" s="69" t="n"/>
      <c r="C157" s="69" t="n"/>
      <c r="D157" s="131" t="n"/>
      <c r="E157" s="131" t="n"/>
      <c r="F157" s="131" t="n"/>
      <c r="G157" s="131" t="n"/>
      <c r="H157" s="131" t="n"/>
      <c r="I157" s="131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</row>
    <row r="158" ht="15.75" customHeight="1" s="673">
      <c r="A158" s="69" t="n"/>
      <c r="B158" s="69" t="n"/>
      <c r="C158" s="69" t="n"/>
      <c r="D158" s="131" t="n"/>
      <c r="E158" s="131" t="n"/>
      <c r="F158" s="131" t="n"/>
      <c r="G158" s="131" t="n"/>
      <c r="H158" s="131" t="n"/>
      <c r="I158" s="131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</row>
    <row r="159" ht="15.75" customHeight="1" s="673">
      <c r="A159" s="69" t="n"/>
      <c r="B159" s="69" t="n"/>
      <c r="C159" s="69" t="n"/>
      <c r="D159" s="131" t="n"/>
      <c r="E159" s="131" t="n"/>
      <c r="F159" s="131" t="n"/>
      <c r="G159" s="131" t="n"/>
      <c r="H159" s="131" t="n"/>
      <c r="I159" s="131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</row>
    <row r="160" ht="15.75" customHeight="1" s="673">
      <c r="A160" s="69" t="n"/>
      <c r="B160" s="69" t="n"/>
      <c r="C160" s="69" t="n"/>
      <c r="D160" s="131" t="n"/>
      <c r="E160" s="131" t="n"/>
      <c r="F160" s="131" t="n"/>
      <c r="G160" s="131" t="n"/>
      <c r="H160" s="131" t="n"/>
      <c r="I160" s="131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</row>
    <row r="161" ht="15.75" customHeight="1" s="673">
      <c r="A161" s="69" t="n"/>
      <c r="B161" s="69" t="n"/>
      <c r="C161" s="69" t="n"/>
      <c r="D161" s="131" t="n"/>
      <c r="E161" s="131" t="n"/>
      <c r="F161" s="131" t="n"/>
      <c r="G161" s="131" t="n"/>
      <c r="H161" s="131" t="n"/>
      <c r="I161" s="131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</row>
    <row r="162" ht="15.75" customHeight="1" s="673">
      <c r="A162" s="69" t="n"/>
      <c r="B162" s="69" t="n"/>
      <c r="C162" s="69" t="n"/>
      <c r="D162" s="131" t="n"/>
      <c r="E162" s="131" t="n"/>
      <c r="F162" s="131" t="n"/>
      <c r="G162" s="131" t="n"/>
      <c r="H162" s="131" t="n"/>
      <c r="I162" s="131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</row>
    <row r="163" ht="15.75" customHeight="1" s="673">
      <c r="A163" s="69" t="n"/>
      <c r="B163" s="69" t="n"/>
      <c r="C163" s="69" t="n"/>
      <c r="D163" s="131" t="n"/>
      <c r="E163" s="131" t="n"/>
      <c r="F163" s="131" t="n"/>
      <c r="G163" s="131" t="n"/>
      <c r="H163" s="131" t="n"/>
      <c r="I163" s="131" t="n"/>
      <c r="J163" s="69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</row>
    <row r="164" ht="15.75" customHeight="1" s="673">
      <c r="A164" s="69" t="n"/>
      <c r="B164" s="69" t="n"/>
      <c r="C164" s="69" t="n"/>
      <c r="D164" s="131" t="n"/>
      <c r="E164" s="131" t="n"/>
      <c r="F164" s="131" t="n"/>
      <c r="G164" s="131" t="n"/>
      <c r="H164" s="131" t="n"/>
      <c r="I164" s="131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</row>
    <row r="165" ht="15.75" customHeight="1" s="673">
      <c r="A165" s="69" t="n"/>
      <c r="B165" s="69" t="n"/>
      <c r="C165" s="69" t="n"/>
      <c r="D165" s="131" t="n"/>
      <c r="E165" s="131" t="n"/>
      <c r="F165" s="131" t="n"/>
      <c r="G165" s="131" t="n"/>
      <c r="H165" s="131" t="n"/>
      <c r="I165" s="131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  <c r="Z165" s="69" t="n"/>
    </row>
    <row r="166" ht="15.75" customHeight="1" s="673">
      <c r="A166" s="69" t="n"/>
      <c r="B166" s="69" t="n"/>
      <c r="C166" s="69" t="n"/>
      <c r="D166" s="131" t="n"/>
      <c r="E166" s="131" t="n"/>
      <c r="F166" s="131" t="n"/>
      <c r="G166" s="131" t="n"/>
      <c r="H166" s="131" t="n"/>
      <c r="I166" s="131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</row>
    <row r="167" ht="15.75" customHeight="1" s="673">
      <c r="A167" s="69" t="n"/>
      <c r="B167" s="69" t="n"/>
      <c r="C167" s="69" t="n"/>
      <c r="D167" s="131" t="n"/>
      <c r="E167" s="131" t="n"/>
      <c r="F167" s="131" t="n"/>
      <c r="G167" s="131" t="n"/>
      <c r="H167" s="131" t="n"/>
      <c r="I167" s="131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</row>
    <row r="168" ht="15.75" customHeight="1" s="673">
      <c r="A168" s="69" t="n"/>
      <c r="B168" s="69" t="n"/>
      <c r="C168" s="69" t="n"/>
      <c r="D168" s="131" t="n"/>
      <c r="E168" s="131" t="n"/>
      <c r="F168" s="131" t="n"/>
      <c r="G168" s="131" t="n"/>
      <c r="H168" s="131" t="n"/>
      <c r="I168" s="131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</row>
    <row r="169" ht="15.75" customHeight="1" s="673">
      <c r="A169" s="69" t="n"/>
      <c r="B169" s="69" t="n"/>
      <c r="C169" s="69" t="n"/>
      <c r="D169" s="131" t="n"/>
      <c r="E169" s="131" t="n"/>
      <c r="F169" s="131" t="n"/>
      <c r="G169" s="131" t="n"/>
      <c r="H169" s="131" t="n"/>
      <c r="I169" s="131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</row>
    <row r="170" ht="15.75" customHeight="1" s="673">
      <c r="A170" s="69" t="n"/>
      <c r="B170" s="69" t="n"/>
      <c r="C170" s="69" t="n"/>
      <c r="D170" s="131" t="n"/>
      <c r="E170" s="131" t="n"/>
      <c r="F170" s="131" t="n"/>
      <c r="G170" s="131" t="n"/>
      <c r="H170" s="131" t="n"/>
      <c r="I170" s="131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</row>
    <row r="171" ht="15.75" customHeight="1" s="673">
      <c r="A171" s="69" t="n"/>
      <c r="B171" s="69" t="n"/>
      <c r="C171" s="69" t="n"/>
      <c r="D171" s="131" t="n"/>
      <c r="E171" s="131" t="n"/>
      <c r="F171" s="131" t="n"/>
      <c r="G171" s="131" t="n"/>
      <c r="H171" s="131" t="n"/>
      <c r="I171" s="131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</row>
    <row r="172" ht="15.75" customHeight="1" s="673">
      <c r="A172" s="69" t="n"/>
      <c r="B172" s="69" t="n"/>
      <c r="C172" s="69" t="n"/>
      <c r="D172" s="131" t="n"/>
      <c r="E172" s="131" t="n"/>
      <c r="F172" s="131" t="n"/>
      <c r="G172" s="131" t="n"/>
      <c r="H172" s="131" t="n"/>
      <c r="I172" s="131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</row>
    <row r="173" ht="15.75" customHeight="1" s="673">
      <c r="A173" s="69" t="n"/>
      <c r="B173" s="69" t="n"/>
      <c r="C173" s="69" t="n"/>
      <c r="D173" s="131" t="n"/>
      <c r="E173" s="131" t="n"/>
      <c r="F173" s="131" t="n"/>
      <c r="G173" s="131" t="n"/>
      <c r="H173" s="131" t="n"/>
      <c r="I173" s="131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</row>
    <row r="174" ht="15.75" customHeight="1" s="673">
      <c r="A174" s="69" t="n"/>
      <c r="B174" s="69" t="n"/>
      <c r="C174" s="69" t="n"/>
      <c r="D174" s="131" t="n"/>
      <c r="E174" s="131" t="n"/>
      <c r="F174" s="131" t="n"/>
      <c r="G174" s="131" t="n"/>
      <c r="H174" s="131" t="n"/>
      <c r="I174" s="131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</row>
    <row r="175" ht="15.75" customHeight="1" s="673">
      <c r="A175" s="69" t="n"/>
      <c r="B175" s="69" t="n"/>
      <c r="C175" s="69" t="n"/>
      <c r="D175" s="131" t="n"/>
      <c r="E175" s="131" t="n"/>
      <c r="F175" s="131" t="n"/>
      <c r="G175" s="131" t="n"/>
      <c r="H175" s="131" t="n"/>
      <c r="I175" s="131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</row>
    <row r="176" ht="15.75" customHeight="1" s="673">
      <c r="A176" s="69" t="n"/>
      <c r="B176" s="69" t="n"/>
      <c r="C176" s="69" t="n"/>
      <c r="D176" s="131" t="n"/>
      <c r="E176" s="131" t="n"/>
      <c r="F176" s="131" t="n"/>
      <c r="G176" s="131" t="n"/>
      <c r="H176" s="131" t="n"/>
      <c r="I176" s="131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</row>
    <row r="177" ht="15.75" customHeight="1" s="673">
      <c r="A177" s="69" t="n"/>
      <c r="B177" s="69" t="n"/>
      <c r="C177" s="69" t="n"/>
      <c r="D177" s="131" t="n"/>
      <c r="E177" s="131" t="n"/>
      <c r="F177" s="131" t="n"/>
      <c r="G177" s="131" t="n"/>
      <c r="H177" s="131" t="n"/>
      <c r="I177" s="131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</row>
    <row r="178" ht="15.75" customHeight="1" s="673">
      <c r="A178" s="69" t="n"/>
      <c r="B178" s="69" t="n"/>
      <c r="C178" s="69" t="n"/>
      <c r="D178" s="131" t="n"/>
      <c r="E178" s="131" t="n"/>
      <c r="F178" s="131" t="n"/>
      <c r="G178" s="131" t="n"/>
      <c r="H178" s="131" t="n"/>
      <c r="I178" s="131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</row>
    <row r="179" ht="15.75" customHeight="1" s="673">
      <c r="A179" s="69" t="n"/>
      <c r="B179" s="69" t="n"/>
      <c r="C179" s="69" t="n"/>
      <c r="D179" s="131" t="n"/>
      <c r="E179" s="131" t="n"/>
      <c r="F179" s="131" t="n"/>
      <c r="G179" s="131" t="n"/>
      <c r="H179" s="131" t="n"/>
      <c r="I179" s="131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</row>
    <row r="180" ht="15.75" customHeight="1" s="673">
      <c r="A180" s="69" t="n"/>
      <c r="B180" s="69" t="n"/>
      <c r="C180" s="69" t="n"/>
      <c r="D180" s="131" t="n"/>
      <c r="E180" s="131" t="n"/>
      <c r="F180" s="131" t="n"/>
      <c r="G180" s="131" t="n"/>
      <c r="H180" s="131" t="n"/>
      <c r="I180" s="131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</row>
    <row r="181" ht="15.75" customHeight="1" s="673">
      <c r="A181" s="69" t="n"/>
      <c r="B181" s="69" t="n"/>
      <c r="C181" s="69" t="n"/>
      <c r="D181" s="131" t="n"/>
      <c r="E181" s="131" t="n"/>
      <c r="F181" s="131" t="n"/>
      <c r="G181" s="131" t="n"/>
      <c r="H181" s="131" t="n"/>
      <c r="I181" s="131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</row>
    <row r="182" ht="15.75" customHeight="1" s="673">
      <c r="A182" s="69" t="n"/>
      <c r="B182" s="69" t="n"/>
      <c r="C182" s="69" t="n"/>
      <c r="D182" s="131" t="n"/>
      <c r="E182" s="131" t="n"/>
      <c r="F182" s="131" t="n"/>
      <c r="G182" s="131" t="n"/>
      <c r="H182" s="131" t="n"/>
      <c r="I182" s="131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</row>
    <row r="183" ht="15.75" customHeight="1" s="673">
      <c r="A183" s="69" t="n"/>
      <c r="B183" s="69" t="n"/>
      <c r="C183" s="69" t="n"/>
      <c r="D183" s="131" t="n"/>
      <c r="E183" s="131" t="n"/>
      <c r="F183" s="131" t="n"/>
      <c r="G183" s="131" t="n"/>
      <c r="H183" s="131" t="n"/>
      <c r="I183" s="131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</row>
    <row r="184" ht="15.75" customHeight="1" s="673">
      <c r="A184" s="69" t="n"/>
      <c r="B184" s="69" t="n"/>
      <c r="C184" s="69" t="n"/>
      <c r="D184" s="131" t="n"/>
      <c r="E184" s="131" t="n"/>
      <c r="F184" s="131" t="n"/>
      <c r="G184" s="131" t="n"/>
      <c r="H184" s="131" t="n"/>
      <c r="I184" s="131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</row>
    <row r="185" ht="15.75" customHeight="1" s="673">
      <c r="A185" s="69" t="n"/>
      <c r="B185" s="69" t="n"/>
      <c r="C185" s="69" t="n"/>
      <c r="D185" s="131" t="n"/>
      <c r="E185" s="131" t="n"/>
      <c r="F185" s="131" t="n"/>
      <c r="G185" s="131" t="n"/>
      <c r="H185" s="131" t="n"/>
      <c r="I185" s="131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  <c r="Z185" s="69" t="n"/>
    </row>
    <row r="186" ht="15.75" customHeight="1" s="673">
      <c r="A186" s="69" t="n"/>
      <c r="B186" s="69" t="n"/>
      <c r="C186" s="69" t="n"/>
      <c r="D186" s="131" t="n"/>
      <c r="E186" s="131" t="n"/>
      <c r="F186" s="131" t="n"/>
      <c r="G186" s="131" t="n"/>
      <c r="H186" s="131" t="n"/>
      <c r="I186" s="131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</row>
    <row r="187" ht="15.75" customHeight="1" s="673">
      <c r="A187" s="69" t="n"/>
      <c r="B187" s="69" t="n"/>
      <c r="C187" s="69" t="n"/>
      <c r="D187" s="131" t="n"/>
      <c r="E187" s="131" t="n"/>
      <c r="F187" s="131" t="n"/>
      <c r="G187" s="131" t="n"/>
      <c r="H187" s="131" t="n"/>
      <c r="I187" s="131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</row>
    <row r="188" ht="15.75" customHeight="1" s="673">
      <c r="A188" s="69" t="n"/>
      <c r="B188" s="69" t="n"/>
      <c r="C188" s="69" t="n"/>
      <c r="D188" s="131" t="n"/>
      <c r="E188" s="131" t="n"/>
      <c r="F188" s="131" t="n"/>
      <c r="G188" s="131" t="n"/>
      <c r="H188" s="131" t="n"/>
      <c r="I188" s="131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</row>
    <row r="189" ht="15.75" customHeight="1" s="673">
      <c r="A189" s="69" t="n"/>
      <c r="B189" s="69" t="n"/>
      <c r="C189" s="69" t="n"/>
      <c r="D189" s="131" t="n"/>
      <c r="E189" s="131" t="n"/>
      <c r="F189" s="131" t="n"/>
      <c r="G189" s="131" t="n"/>
      <c r="H189" s="131" t="n"/>
      <c r="I189" s="131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</row>
    <row r="190" ht="15.75" customHeight="1" s="673">
      <c r="A190" s="69" t="n"/>
      <c r="B190" s="69" t="n"/>
      <c r="C190" s="69" t="n"/>
      <c r="D190" s="131" t="n"/>
      <c r="E190" s="131" t="n"/>
      <c r="F190" s="131" t="n"/>
      <c r="G190" s="131" t="n"/>
      <c r="H190" s="131" t="n"/>
      <c r="I190" s="131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</row>
    <row r="191" ht="15.75" customHeight="1" s="673">
      <c r="A191" s="69" t="n"/>
      <c r="B191" s="69" t="n"/>
      <c r="C191" s="69" t="n"/>
      <c r="D191" s="131" t="n"/>
      <c r="E191" s="131" t="n"/>
      <c r="F191" s="131" t="n"/>
      <c r="G191" s="131" t="n"/>
      <c r="H191" s="131" t="n"/>
      <c r="I191" s="131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</row>
    <row r="192" ht="15.75" customHeight="1" s="673">
      <c r="A192" s="69" t="n"/>
      <c r="B192" s="69" t="n"/>
      <c r="C192" s="69" t="n"/>
      <c r="D192" s="131" t="n"/>
      <c r="E192" s="131" t="n"/>
      <c r="F192" s="131" t="n"/>
      <c r="G192" s="131" t="n"/>
      <c r="H192" s="131" t="n"/>
      <c r="I192" s="131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</row>
    <row r="193" ht="15.75" customHeight="1" s="673">
      <c r="A193" s="69" t="n"/>
      <c r="B193" s="69" t="n"/>
      <c r="C193" s="69" t="n"/>
      <c r="D193" s="131" t="n"/>
      <c r="E193" s="131" t="n"/>
      <c r="F193" s="131" t="n"/>
      <c r="G193" s="131" t="n"/>
      <c r="H193" s="131" t="n"/>
      <c r="I193" s="131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</row>
    <row r="194" ht="15.75" customHeight="1" s="673">
      <c r="A194" s="69" t="n"/>
      <c r="B194" s="69" t="n"/>
      <c r="C194" s="69" t="n"/>
      <c r="D194" s="131" t="n"/>
      <c r="E194" s="131" t="n"/>
      <c r="F194" s="131" t="n"/>
      <c r="G194" s="131" t="n"/>
      <c r="H194" s="131" t="n"/>
      <c r="I194" s="131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</row>
    <row r="195" ht="15.75" customHeight="1" s="673">
      <c r="A195" s="69" t="n"/>
      <c r="B195" s="69" t="n"/>
      <c r="C195" s="69" t="n"/>
      <c r="D195" s="131" t="n"/>
      <c r="E195" s="131" t="n"/>
      <c r="F195" s="131" t="n"/>
      <c r="G195" s="131" t="n"/>
      <c r="H195" s="131" t="n"/>
      <c r="I195" s="131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</row>
    <row r="196" ht="15.75" customHeight="1" s="673">
      <c r="A196" s="69" t="n"/>
      <c r="B196" s="69" t="n"/>
      <c r="C196" s="69" t="n"/>
      <c r="D196" s="131" t="n"/>
      <c r="E196" s="131" t="n"/>
      <c r="F196" s="131" t="n"/>
      <c r="G196" s="131" t="n"/>
      <c r="H196" s="131" t="n"/>
      <c r="I196" s="131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</row>
    <row r="197" ht="15.75" customHeight="1" s="673">
      <c r="A197" s="69" t="n"/>
      <c r="B197" s="69" t="n"/>
      <c r="C197" s="69" t="n"/>
      <c r="D197" s="131" t="n"/>
      <c r="E197" s="131" t="n"/>
      <c r="F197" s="131" t="n"/>
      <c r="G197" s="131" t="n"/>
      <c r="H197" s="131" t="n"/>
      <c r="I197" s="131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</row>
    <row r="198" ht="15.75" customHeight="1" s="673">
      <c r="A198" s="69" t="n"/>
      <c r="B198" s="69" t="n"/>
      <c r="C198" s="69" t="n"/>
      <c r="D198" s="131" t="n"/>
      <c r="E198" s="131" t="n"/>
      <c r="F198" s="131" t="n"/>
      <c r="G198" s="131" t="n"/>
      <c r="H198" s="131" t="n"/>
      <c r="I198" s="131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</row>
    <row r="199" ht="15.75" customHeight="1" s="673">
      <c r="A199" s="69" t="n"/>
      <c r="B199" s="69" t="n"/>
      <c r="C199" s="69" t="n"/>
      <c r="D199" s="131" t="n"/>
      <c r="E199" s="131" t="n"/>
      <c r="F199" s="131" t="n"/>
      <c r="G199" s="131" t="n"/>
      <c r="H199" s="131" t="n"/>
      <c r="I199" s="131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</row>
    <row r="200" ht="15.75" customHeight="1" s="673">
      <c r="A200" s="69" t="n"/>
      <c r="B200" s="69" t="n"/>
      <c r="C200" s="69" t="n"/>
      <c r="D200" s="131" t="n"/>
      <c r="E200" s="131" t="n"/>
      <c r="F200" s="131" t="n"/>
      <c r="G200" s="131" t="n"/>
      <c r="H200" s="131" t="n"/>
      <c r="I200" s="131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</row>
    <row r="201" ht="15.75" customHeight="1" s="673">
      <c r="A201" s="69" t="n"/>
      <c r="B201" s="69" t="n"/>
      <c r="C201" s="69" t="n"/>
      <c r="D201" s="131" t="n"/>
      <c r="E201" s="131" t="n"/>
      <c r="F201" s="131" t="n"/>
      <c r="G201" s="131" t="n"/>
      <c r="H201" s="131" t="n"/>
      <c r="I201" s="131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</row>
    <row r="202" ht="15.75" customHeight="1" s="673">
      <c r="A202" s="69" t="n"/>
      <c r="B202" s="69" t="n"/>
      <c r="C202" s="69" t="n"/>
      <c r="D202" s="131" t="n"/>
      <c r="E202" s="131" t="n"/>
      <c r="F202" s="131" t="n"/>
      <c r="G202" s="131" t="n"/>
      <c r="H202" s="131" t="n"/>
      <c r="I202" s="131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</row>
    <row r="203" ht="15.75" customHeight="1" s="673">
      <c r="A203" s="69" t="n"/>
      <c r="B203" s="69" t="n"/>
      <c r="C203" s="69" t="n"/>
      <c r="D203" s="131" t="n"/>
      <c r="E203" s="131" t="n"/>
      <c r="F203" s="131" t="n"/>
      <c r="G203" s="131" t="n"/>
      <c r="H203" s="131" t="n"/>
      <c r="I203" s="131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</row>
    <row r="204" ht="15.75" customHeight="1" s="673">
      <c r="A204" s="69" t="n"/>
      <c r="B204" s="69" t="n"/>
      <c r="C204" s="69" t="n"/>
      <c r="D204" s="131" t="n"/>
      <c r="E204" s="131" t="n"/>
      <c r="F204" s="131" t="n"/>
      <c r="G204" s="131" t="n"/>
      <c r="H204" s="131" t="n"/>
      <c r="I204" s="131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</row>
    <row r="205" ht="15.75" customHeight="1" s="673">
      <c r="A205" s="69" t="n"/>
      <c r="B205" s="69" t="n"/>
      <c r="C205" s="69" t="n"/>
      <c r="D205" s="131" t="n"/>
      <c r="E205" s="131" t="n"/>
      <c r="F205" s="131" t="n"/>
      <c r="G205" s="131" t="n"/>
      <c r="H205" s="131" t="n"/>
      <c r="I205" s="131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</row>
    <row r="206" ht="15.75" customHeight="1" s="673">
      <c r="A206" s="69" t="n"/>
      <c r="B206" s="69" t="n"/>
      <c r="C206" s="69" t="n"/>
      <c r="D206" s="131" t="n"/>
      <c r="E206" s="131" t="n"/>
      <c r="F206" s="131" t="n"/>
      <c r="G206" s="131" t="n"/>
      <c r="H206" s="131" t="n"/>
      <c r="I206" s="131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</row>
    <row r="207" ht="15.75" customHeight="1" s="673">
      <c r="A207" s="69" t="n"/>
      <c r="B207" s="69" t="n"/>
      <c r="C207" s="69" t="n"/>
      <c r="D207" s="131" t="n"/>
      <c r="E207" s="131" t="n"/>
      <c r="F207" s="131" t="n"/>
      <c r="G207" s="131" t="n"/>
      <c r="H207" s="131" t="n"/>
      <c r="I207" s="131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</row>
    <row r="208" ht="15.75" customHeight="1" s="673">
      <c r="A208" s="69" t="n"/>
      <c r="B208" s="69" t="n"/>
      <c r="C208" s="69" t="n"/>
      <c r="D208" s="131" t="n"/>
      <c r="E208" s="131" t="n"/>
      <c r="F208" s="131" t="n"/>
      <c r="G208" s="131" t="n"/>
      <c r="H208" s="131" t="n"/>
      <c r="I208" s="131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</row>
    <row r="209" ht="15.75" customHeight="1" s="673">
      <c r="A209" s="69" t="n"/>
      <c r="B209" s="69" t="n"/>
      <c r="C209" s="69" t="n"/>
      <c r="D209" s="131" t="n"/>
      <c r="E209" s="131" t="n"/>
      <c r="F209" s="131" t="n"/>
      <c r="G209" s="131" t="n"/>
      <c r="H209" s="131" t="n"/>
      <c r="I209" s="131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</row>
    <row r="210" ht="15.75" customHeight="1" s="673">
      <c r="A210" s="69" t="n"/>
      <c r="B210" s="69" t="n"/>
      <c r="C210" s="69" t="n"/>
      <c r="D210" s="131" t="n"/>
      <c r="E210" s="131" t="n"/>
      <c r="F210" s="131" t="n"/>
      <c r="G210" s="131" t="n"/>
      <c r="H210" s="131" t="n"/>
      <c r="I210" s="131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</row>
    <row r="211" ht="15.75" customHeight="1" s="673">
      <c r="A211" s="69" t="n"/>
      <c r="B211" s="69" t="n"/>
      <c r="C211" s="69" t="n"/>
      <c r="D211" s="131" t="n"/>
      <c r="E211" s="131" t="n"/>
      <c r="F211" s="131" t="n"/>
      <c r="G211" s="131" t="n"/>
      <c r="H211" s="131" t="n"/>
      <c r="I211" s="131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  <c r="Z211" s="69" t="n"/>
    </row>
    <row r="212" ht="15.75" customHeight="1" s="673">
      <c r="A212" s="69" t="n"/>
      <c r="B212" s="69" t="n"/>
      <c r="C212" s="69" t="n"/>
      <c r="D212" s="131" t="n"/>
      <c r="E212" s="131" t="n"/>
      <c r="F212" s="131" t="n"/>
      <c r="G212" s="131" t="n"/>
      <c r="H212" s="131" t="n"/>
      <c r="I212" s="131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</row>
    <row r="213" ht="15.75" customHeight="1" s="673">
      <c r="A213" s="69" t="n"/>
      <c r="B213" s="69" t="n"/>
      <c r="C213" s="69" t="n"/>
      <c r="D213" s="131" t="n"/>
      <c r="E213" s="131" t="n"/>
      <c r="F213" s="131" t="n"/>
      <c r="G213" s="131" t="n"/>
      <c r="H213" s="131" t="n"/>
      <c r="I213" s="131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  <c r="Z213" s="69" t="n"/>
    </row>
    <row r="214" ht="15.75" customHeight="1" s="673">
      <c r="A214" s="69" t="n"/>
      <c r="B214" s="69" t="n"/>
      <c r="C214" s="69" t="n"/>
      <c r="D214" s="131" t="n"/>
      <c r="E214" s="131" t="n"/>
      <c r="F214" s="131" t="n"/>
      <c r="G214" s="131" t="n"/>
      <c r="H214" s="131" t="n"/>
      <c r="I214" s="131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</row>
    <row r="215" ht="15.75" customHeight="1" s="673">
      <c r="A215" s="69" t="n"/>
      <c r="B215" s="69" t="n"/>
      <c r="C215" s="69" t="n"/>
      <c r="D215" s="131" t="n"/>
      <c r="E215" s="131" t="n"/>
      <c r="F215" s="131" t="n"/>
      <c r="G215" s="131" t="n"/>
      <c r="H215" s="131" t="n"/>
      <c r="I215" s="131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</row>
    <row r="216" ht="15.75" customHeight="1" s="673">
      <c r="A216" s="69" t="n"/>
      <c r="B216" s="69" t="n"/>
      <c r="C216" s="69" t="n"/>
      <c r="D216" s="131" t="n"/>
      <c r="E216" s="131" t="n"/>
      <c r="F216" s="131" t="n"/>
      <c r="G216" s="131" t="n"/>
      <c r="H216" s="131" t="n"/>
      <c r="I216" s="131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</row>
    <row r="217" ht="15.75" customHeight="1" s="673">
      <c r="A217" s="69" t="n"/>
      <c r="B217" s="69" t="n"/>
      <c r="C217" s="69" t="n"/>
      <c r="D217" s="131" t="n"/>
      <c r="E217" s="131" t="n"/>
      <c r="F217" s="131" t="n"/>
      <c r="G217" s="131" t="n"/>
      <c r="H217" s="131" t="n"/>
      <c r="I217" s="131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  <c r="Z217" s="69" t="n"/>
    </row>
    <row r="218" ht="15.75" customHeight="1" s="673">
      <c r="A218" s="69" t="n"/>
      <c r="B218" s="69" t="n"/>
      <c r="C218" s="69" t="n"/>
      <c r="D218" s="131" t="n"/>
      <c r="E218" s="131" t="n"/>
      <c r="F218" s="131" t="n"/>
      <c r="G218" s="131" t="n"/>
      <c r="H218" s="131" t="n"/>
      <c r="I218" s="131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</row>
    <row r="219" ht="15.75" customHeight="1" s="673">
      <c r="A219" s="69" t="n"/>
      <c r="B219" s="69" t="n"/>
      <c r="C219" s="69" t="n"/>
      <c r="D219" s="131" t="n"/>
      <c r="E219" s="131" t="n"/>
      <c r="F219" s="131" t="n"/>
      <c r="G219" s="131" t="n"/>
      <c r="H219" s="131" t="n"/>
      <c r="I219" s="131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  <c r="Z219" s="69" t="n"/>
    </row>
    <row r="220" ht="15.75" customHeight="1" s="673">
      <c r="A220" s="69" t="n"/>
      <c r="B220" s="69" t="n"/>
      <c r="C220" s="69" t="n"/>
      <c r="D220" s="131" t="n"/>
      <c r="E220" s="131" t="n"/>
      <c r="F220" s="131" t="n"/>
      <c r="G220" s="131" t="n"/>
      <c r="H220" s="131" t="n"/>
      <c r="I220" s="131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</row>
    <row r="221" ht="15.75" customHeight="1" s="673">
      <c r="A221" s="52" t="n"/>
      <c r="B221" s="52" t="n"/>
      <c r="C221" s="52" t="n"/>
      <c r="D221" s="52" t="n"/>
      <c r="E221" s="52" t="n"/>
      <c r="F221" s="52" t="n"/>
      <c r="G221" s="52" t="n"/>
      <c r="H221" s="52" t="n"/>
      <c r="I221" s="52" t="n"/>
      <c r="J221" s="52" t="n"/>
      <c r="K221" s="52" t="n"/>
      <c r="L221" s="52" t="n"/>
      <c r="M221" s="52" t="n"/>
      <c r="N221" s="52" t="n"/>
      <c r="O221" s="52" t="n"/>
      <c r="P221" s="52" t="n"/>
      <c r="Q221" s="52" t="n"/>
      <c r="R221" s="52" t="n"/>
      <c r="S221" s="52" t="n"/>
      <c r="T221" s="52" t="n"/>
      <c r="U221" s="52" t="n"/>
      <c r="V221" s="52" t="n"/>
      <c r="W221" s="52" t="n"/>
      <c r="X221" s="52" t="n"/>
      <c r="Y221" s="52" t="n"/>
      <c r="Z221" s="52" t="n"/>
    </row>
    <row r="222" ht="15.75" customHeight="1" s="673">
      <c r="A222" s="52" t="n"/>
      <c r="B222" s="52" t="n"/>
      <c r="C222" s="52" t="n"/>
      <c r="D222" s="52" t="n"/>
      <c r="E222" s="52" t="n"/>
      <c r="F222" s="52" t="n"/>
      <c r="G222" s="52" t="n"/>
      <c r="H222" s="52" t="n"/>
      <c r="I222" s="52" t="n"/>
      <c r="J222" s="52" t="n"/>
      <c r="K222" s="52" t="n"/>
      <c r="L222" s="52" t="n"/>
      <c r="M222" s="52" t="n"/>
      <c r="N222" s="52" t="n"/>
      <c r="O222" s="52" t="n"/>
      <c r="P222" s="52" t="n"/>
      <c r="Q222" s="52" t="n"/>
      <c r="R222" s="52" t="n"/>
      <c r="S222" s="52" t="n"/>
      <c r="T222" s="52" t="n"/>
      <c r="U222" s="52" t="n"/>
      <c r="V222" s="52" t="n"/>
      <c r="W222" s="52" t="n"/>
      <c r="X222" s="52" t="n"/>
      <c r="Y222" s="52" t="n"/>
      <c r="Z222" s="52" t="n"/>
    </row>
    <row r="223" ht="15.75" customHeight="1" s="673">
      <c r="A223" s="52" t="n"/>
      <c r="B223" s="52" t="n"/>
      <c r="C223" s="52" t="n"/>
      <c r="D223" s="52" t="n"/>
      <c r="E223" s="52" t="n"/>
      <c r="F223" s="52" t="n"/>
      <c r="G223" s="52" t="n"/>
      <c r="H223" s="52" t="n"/>
      <c r="I223" s="52" t="n"/>
      <c r="J223" s="52" t="n"/>
      <c r="K223" s="52" t="n"/>
      <c r="L223" s="52" t="n"/>
      <c r="M223" s="52" t="n"/>
      <c r="N223" s="52" t="n"/>
      <c r="O223" s="52" t="n"/>
      <c r="P223" s="52" t="n"/>
      <c r="Q223" s="52" t="n"/>
      <c r="R223" s="52" t="n"/>
      <c r="S223" s="52" t="n"/>
      <c r="T223" s="52" t="n"/>
      <c r="U223" s="52" t="n"/>
      <c r="V223" s="52" t="n"/>
      <c r="W223" s="52" t="n"/>
      <c r="X223" s="52" t="n"/>
      <c r="Y223" s="52" t="n"/>
      <c r="Z223" s="52" t="n"/>
    </row>
    <row r="224" ht="15.75" customHeight="1" s="673">
      <c r="A224" s="52" t="n"/>
      <c r="B224" s="52" t="n"/>
      <c r="C224" s="52" t="n"/>
      <c r="D224" s="52" t="n"/>
      <c r="E224" s="52" t="n"/>
      <c r="F224" s="52" t="n"/>
      <c r="G224" s="52" t="n"/>
      <c r="H224" s="52" t="n"/>
      <c r="I224" s="52" t="n"/>
      <c r="J224" s="52" t="n"/>
      <c r="K224" s="52" t="n"/>
      <c r="L224" s="52" t="n"/>
      <c r="M224" s="52" t="n"/>
      <c r="N224" s="52" t="n"/>
      <c r="O224" s="52" t="n"/>
      <c r="P224" s="52" t="n"/>
      <c r="Q224" s="52" t="n"/>
      <c r="R224" s="52" t="n"/>
      <c r="S224" s="52" t="n"/>
      <c r="T224" s="52" t="n"/>
      <c r="U224" s="52" t="n"/>
      <c r="V224" s="52" t="n"/>
      <c r="W224" s="52" t="n"/>
      <c r="X224" s="52" t="n"/>
      <c r="Y224" s="52" t="n"/>
      <c r="Z224" s="52" t="n"/>
    </row>
    <row r="225" ht="15.75" customHeight="1" s="673">
      <c r="A225" s="52" t="n"/>
      <c r="B225" s="52" t="n"/>
      <c r="C225" s="52" t="n"/>
      <c r="D225" s="52" t="n"/>
      <c r="E225" s="52" t="n"/>
      <c r="F225" s="52" t="n"/>
      <c r="G225" s="52" t="n"/>
      <c r="H225" s="52" t="n"/>
      <c r="I225" s="52" t="n"/>
      <c r="J225" s="52" t="n"/>
      <c r="K225" s="52" t="n"/>
      <c r="L225" s="52" t="n"/>
      <c r="M225" s="52" t="n"/>
      <c r="N225" s="52" t="n"/>
      <c r="O225" s="52" t="n"/>
      <c r="P225" s="52" t="n"/>
      <c r="Q225" s="52" t="n"/>
      <c r="R225" s="52" t="n"/>
      <c r="S225" s="52" t="n"/>
      <c r="T225" s="52" t="n"/>
      <c r="U225" s="52" t="n"/>
      <c r="V225" s="52" t="n"/>
      <c r="W225" s="52" t="n"/>
      <c r="X225" s="52" t="n"/>
      <c r="Y225" s="52" t="n"/>
      <c r="Z225" s="52" t="n"/>
    </row>
    <row r="226" ht="15.75" customHeight="1" s="673">
      <c r="A226" s="52" t="n"/>
      <c r="B226" s="52" t="n"/>
      <c r="C226" s="52" t="n"/>
      <c r="D226" s="52" t="n"/>
      <c r="E226" s="52" t="n"/>
      <c r="F226" s="52" t="n"/>
      <c r="G226" s="52" t="n"/>
      <c r="H226" s="52" t="n"/>
      <c r="I226" s="52" t="n"/>
      <c r="J226" s="52" t="n"/>
      <c r="K226" s="52" t="n"/>
      <c r="L226" s="52" t="n"/>
      <c r="M226" s="52" t="n"/>
      <c r="N226" s="52" t="n"/>
      <c r="O226" s="52" t="n"/>
      <c r="P226" s="52" t="n"/>
      <c r="Q226" s="52" t="n"/>
      <c r="R226" s="52" t="n"/>
      <c r="S226" s="52" t="n"/>
      <c r="T226" s="52" t="n"/>
      <c r="U226" s="52" t="n"/>
      <c r="V226" s="52" t="n"/>
      <c r="W226" s="52" t="n"/>
      <c r="X226" s="52" t="n"/>
      <c r="Y226" s="52" t="n"/>
      <c r="Z226" s="52" t="n"/>
    </row>
    <row r="227" ht="15.75" customHeight="1" s="673">
      <c r="A227" s="52" t="n"/>
      <c r="B227" s="52" t="n"/>
      <c r="C227" s="52" t="n"/>
      <c r="D227" s="52" t="n"/>
      <c r="E227" s="52" t="n"/>
      <c r="F227" s="52" t="n"/>
      <c r="G227" s="52" t="n"/>
      <c r="H227" s="52" t="n"/>
      <c r="I227" s="52" t="n"/>
      <c r="J227" s="52" t="n"/>
      <c r="K227" s="52" t="n"/>
      <c r="L227" s="52" t="n"/>
      <c r="M227" s="52" t="n"/>
      <c r="N227" s="52" t="n"/>
      <c r="O227" s="52" t="n"/>
      <c r="P227" s="52" t="n"/>
      <c r="Q227" s="52" t="n"/>
      <c r="R227" s="52" t="n"/>
      <c r="S227" s="52" t="n"/>
      <c r="T227" s="52" t="n"/>
      <c r="U227" s="52" t="n"/>
      <c r="V227" s="52" t="n"/>
      <c r="W227" s="52" t="n"/>
      <c r="X227" s="52" t="n"/>
      <c r="Y227" s="52" t="n"/>
      <c r="Z227" s="52" t="n"/>
    </row>
    <row r="228" ht="15.75" customHeight="1" s="673">
      <c r="A228" s="52" t="n"/>
      <c r="B228" s="52" t="n"/>
      <c r="C228" s="52" t="n"/>
      <c r="D228" s="52" t="n"/>
      <c r="E228" s="52" t="n"/>
      <c r="F228" s="52" t="n"/>
      <c r="G228" s="52" t="n"/>
      <c r="H228" s="52" t="n"/>
      <c r="I228" s="52" t="n"/>
      <c r="J228" s="52" t="n"/>
      <c r="K228" s="52" t="n"/>
      <c r="L228" s="52" t="n"/>
      <c r="M228" s="52" t="n"/>
      <c r="N228" s="52" t="n"/>
      <c r="O228" s="52" t="n"/>
      <c r="P228" s="52" t="n"/>
      <c r="Q228" s="52" t="n"/>
      <c r="R228" s="52" t="n"/>
      <c r="S228" s="52" t="n"/>
      <c r="T228" s="52" t="n"/>
      <c r="U228" s="52" t="n"/>
      <c r="V228" s="52" t="n"/>
      <c r="W228" s="52" t="n"/>
      <c r="X228" s="52" t="n"/>
      <c r="Y228" s="52" t="n"/>
      <c r="Z228" s="52" t="n"/>
    </row>
    <row r="229" ht="15.75" customHeight="1" s="673">
      <c r="A229" s="52" t="n"/>
      <c r="B229" s="52" t="n"/>
      <c r="C229" s="52" t="n"/>
      <c r="D229" s="52" t="n"/>
      <c r="E229" s="52" t="n"/>
      <c r="F229" s="52" t="n"/>
      <c r="G229" s="52" t="n"/>
      <c r="H229" s="52" t="n"/>
      <c r="I229" s="52" t="n"/>
      <c r="J229" s="52" t="n"/>
      <c r="K229" s="52" t="n"/>
      <c r="L229" s="52" t="n"/>
      <c r="M229" s="52" t="n"/>
      <c r="N229" s="52" t="n"/>
      <c r="O229" s="52" t="n"/>
      <c r="P229" s="52" t="n"/>
      <c r="Q229" s="52" t="n"/>
      <c r="R229" s="52" t="n"/>
      <c r="S229" s="52" t="n"/>
      <c r="T229" s="52" t="n"/>
      <c r="U229" s="52" t="n"/>
      <c r="V229" s="52" t="n"/>
      <c r="W229" s="52" t="n"/>
      <c r="X229" s="52" t="n"/>
      <c r="Y229" s="52" t="n"/>
      <c r="Z229" s="52" t="n"/>
    </row>
    <row r="230" ht="15.75" customHeight="1" s="673">
      <c r="A230" s="52" t="n"/>
      <c r="B230" s="52" t="n"/>
      <c r="C230" s="52" t="n"/>
      <c r="D230" s="52" t="n"/>
      <c r="E230" s="52" t="n"/>
      <c r="F230" s="52" t="n"/>
      <c r="G230" s="52" t="n"/>
      <c r="H230" s="52" t="n"/>
      <c r="I230" s="52" t="n"/>
      <c r="J230" s="52" t="n"/>
      <c r="K230" s="52" t="n"/>
      <c r="L230" s="52" t="n"/>
      <c r="M230" s="52" t="n"/>
      <c r="N230" s="52" t="n"/>
      <c r="O230" s="52" t="n"/>
      <c r="P230" s="52" t="n"/>
      <c r="Q230" s="52" t="n"/>
      <c r="R230" s="52" t="n"/>
      <c r="S230" s="52" t="n"/>
      <c r="T230" s="52" t="n"/>
      <c r="U230" s="52" t="n"/>
      <c r="V230" s="52" t="n"/>
      <c r="W230" s="52" t="n"/>
      <c r="X230" s="52" t="n"/>
      <c r="Y230" s="52" t="n"/>
      <c r="Z230" s="52" t="n"/>
    </row>
    <row r="231" ht="15.75" customHeight="1" s="673">
      <c r="A231" s="52" t="n"/>
      <c r="B231" s="52" t="n"/>
      <c r="C231" s="52" t="n"/>
      <c r="D231" s="52" t="n"/>
      <c r="E231" s="52" t="n"/>
      <c r="F231" s="52" t="n"/>
      <c r="G231" s="52" t="n"/>
      <c r="H231" s="52" t="n"/>
      <c r="I231" s="52" t="n"/>
      <c r="J231" s="52" t="n"/>
      <c r="K231" s="52" t="n"/>
      <c r="L231" s="52" t="n"/>
      <c r="M231" s="52" t="n"/>
      <c r="N231" s="52" t="n"/>
      <c r="O231" s="52" t="n"/>
      <c r="P231" s="52" t="n"/>
      <c r="Q231" s="52" t="n"/>
      <c r="R231" s="52" t="n"/>
      <c r="S231" s="52" t="n"/>
      <c r="T231" s="52" t="n"/>
      <c r="U231" s="52" t="n"/>
      <c r="V231" s="52" t="n"/>
      <c r="W231" s="52" t="n"/>
      <c r="X231" s="52" t="n"/>
      <c r="Y231" s="52" t="n"/>
      <c r="Z231" s="52" t="n"/>
    </row>
    <row r="232" ht="15.75" customHeight="1" s="673">
      <c r="A232" s="52" t="n"/>
      <c r="B232" s="52" t="n"/>
      <c r="C232" s="52" t="n"/>
      <c r="D232" s="52" t="n"/>
      <c r="E232" s="52" t="n"/>
      <c r="F232" s="52" t="n"/>
      <c r="G232" s="52" t="n"/>
      <c r="H232" s="52" t="n"/>
      <c r="I232" s="52" t="n"/>
      <c r="J232" s="52" t="n"/>
      <c r="K232" s="52" t="n"/>
      <c r="L232" s="52" t="n"/>
      <c r="M232" s="52" t="n"/>
      <c r="N232" s="52" t="n"/>
      <c r="O232" s="52" t="n"/>
      <c r="P232" s="52" t="n"/>
      <c r="Q232" s="52" t="n"/>
      <c r="R232" s="52" t="n"/>
      <c r="S232" s="52" t="n"/>
      <c r="T232" s="52" t="n"/>
      <c r="U232" s="52" t="n"/>
      <c r="V232" s="52" t="n"/>
      <c r="W232" s="52" t="n"/>
      <c r="X232" s="52" t="n"/>
      <c r="Y232" s="52" t="n"/>
      <c r="Z232" s="52" t="n"/>
    </row>
    <row r="233" ht="15.75" customHeight="1" s="673">
      <c r="A233" s="52" t="n"/>
      <c r="B233" s="52" t="n"/>
      <c r="C233" s="52" t="n"/>
      <c r="D233" s="52" t="n"/>
      <c r="E233" s="52" t="n"/>
      <c r="F233" s="52" t="n"/>
      <c r="G233" s="52" t="n"/>
      <c r="H233" s="52" t="n"/>
      <c r="I233" s="52" t="n"/>
      <c r="J233" s="52" t="n"/>
      <c r="K233" s="52" t="n"/>
      <c r="L233" s="52" t="n"/>
      <c r="M233" s="52" t="n"/>
      <c r="N233" s="52" t="n"/>
      <c r="O233" s="52" t="n"/>
      <c r="P233" s="52" t="n"/>
      <c r="Q233" s="52" t="n"/>
      <c r="R233" s="52" t="n"/>
      <c r="S233" s="52" t="n"/>
      <c r="T233" s="52" t="n"/>
      <c r="U233" s="52" t="n"/>
      <c r="V233" s="52" t="n"/>
      <c r="W233" s="52" t="n"/>
      <c r="X233" s="52" t="n"/>
      <c r="Y233" s="52" t="n"/>
      <c r="Z233" s="52" t="n"/>
    </row>
    <row r="234" ht="15.75" customHeight="1" s="673">
      <c r="A234" s="52" t="n"/>
      <c r="B234" s="52" t="n"/>
      <c r="C234" s="52" t="n"/>
      <c r="D234" s="52" t="n"/>
      <c r="E234" s="52" t="n"/>
      <c r="F234" s="52" t="n"/>
      <c r="G234" s="52" t="n"/>
      <c r="H234" s="52" t="n"/>
      <c r="I234" s="52" t="n"/>
      <c r="J234" s="52" t="n"/>
      <c r="K234" s="52" t="n"/>
      <c r="L234" s="52" t="n"/>
      <c r="M234" s="52" t="n"/>
      <c r="N234" s="52" t="n"/>
      <c r="O234" s="52" t="n"/>
      <c r="P234" s="52" t="n"/>
      <c r="Q234" s="52" t="n"/>
      <c r="R234" s="52" t="n"/>
      <c r="S234" s="52" t="n"/>
      <c r="T234" s="52" t="n"/>
      <c r="U234" s="52" t="n"/>
      <c r="V234" s="52" t="n"/>
      <c r="W234" s="52" t="n"/>
      <c r="X234" s="52" t="n"/>
      <c r="Y234" s="52" t="n"/>
      <c r="Z234" s="52" t="n"/>
    </row>
    <row r="235" ht="15.75" customHeight="1" s="673">
      <c r="A235" s="52" t="n"/>
      <c r="B235" s="52" t="n"/>
      <c r="C235" s="52" t="n"/>
      <c r="D235" s="52" t="n"/>
      <c r="E235" s="52" t="n"/>
      <c r="F235" s="52" t="n"/>
      <c r="G235" s="52" t="n"/>
      <c r="H235" s="52" t="n"/>
      <c r="I235" s="52" t="n"/>
      <c r="J235" s="52" t="n"/>
      <c r="K235" s="52" t="n"/>
      <c r="L235" s="52" t="n"/>
      <c r="M235" s="52" t="n"/>
      <c r="N235" s="52" t="n"/>
      <c r="O235" s="52" t="n"/>
      <c r="P235" s="52" t="n"/>
      <c r="Q235" s="52" t="n"/>
      <c r="R235" s="52" t="n"/>
      <c r="S235" s="52" t="n"/>
      <c r="T235" s="52" t="n"/>
      <c r="U235" s="52" t="n"/>
      <c r="V235" s="52" t="n"/>
      <c r="W235" s="52" t="n"/>
      <c r="X235" s="52" t="n"/>
      <c r="Y235" s="52" t="n"/>
      <c r="Z235" s="52" t="n"/>
    </row>
    <row r="236" ht="15.75" customHeight="1" s="673">
      <c r="A236" s="52" t="n"/>
      <c r="B236" s="52" t="n"/>
      <c r="C236" s="52" t="n"/>
      <c r="D236" s="52" t="n"/>
      <c r="E236" s="52" t="n"/>
      <c r="F236" s="52" t="n"/>
      <c r="G236" s="52" t="n"/>
      <c r="H236" s="52" t="n"/>
      <c r="I236" s="52" t="n"/>
      <c r="J236" s="52" t="n"/>
      <c r="K236" s="52" t="n"/>
      <c r="L236" s="52" t="n"/>
      <c r="M236" s="52" t="n"/>
      <c r="N236" s="52" t="n"/>
      <c r="O236" s="52" t="n"/>
      <c r="P236" s="52" t="n"/>
      <c r="Q236" s="52" t="n"/>
      <c r="R236" s="52" t="n"/>
      <c r="S236" s="52" t="n"/>
      <c r="T236" s="52" t="n"/>
      <c r="U236" s="52" t="n"/>
      <c r="V236" s="52" t="n"/>
      <c r="W236" s="52" t="n"/>
      <c r="X236" s="52" t="n"/>
      <c r="Y236" s="52" t="n"/>
      <c r="Z236" s="52" t="n"/>
    </row>
    <row r="237" ht="15.75" customHeight="1" s="673">
      <c r="A237" s="52" t="n"/>
      <c r="B237" s="52" t="n"/>
      <c r="C237" s="52" t="n"/>
      <c r="D237" s="52" t="n"/>
      <c r="E237" s="52" t="n"/>
      <c r="F237" s="52" t="n"/>
      <c r="G237" s="52" t="n"/>
      <c r="H237" s="52" t="n"/>
      <c r="I237" s="52" t="n"/>
      <c r="J237" s="52" t="n"/>
      <c r="K237" s="52" t="n"/>
      <c r="L237" s="52" t="n"/>
      <c r="M237" s="52" t="n"/>
      <c r="N237" s="52" t="n"/>
      <c r="O237" s="52" t="n"/>
      <c r="P237" s="52" t="n"/>
      <c r="Q237" s="52" t="n"/>
      <c r="R237" s="52" t="n"/>
      <c r="S237" s="52" t="n"/>
      <c r="T237" s="52" t="n"/>
      <c r="U237" s="52" t="n"/>
      <c r="V237" s="52" t="n"/>
      <c r="W237" s="52" t="n"/>
      <c r="X237" s="52" t="n"/>
      <c r="Y237" s="52" t="n"/>
      <c r="Z237" s="52" t="n"/>
    </row>
    <row r="238" ht="15.75" customHeight="1" s="673">
      <c r="A238" s="52" t="n"/>
      <c r="B238" s="52" t="n"/>
      <c r="C238" s="52" t="n"/>
      <c r="D238" s="52" t="n"/>
      <c r="E238" s="52" t="n"/>
      <c r="F238" s="52" t="n"/>
      <c r="G238" s="52" t="n"/>
      <c r="H238" s="52" t="n"/>
      <c r="I238" s="52" t="n"/>
      <c r="J238" s="52" t="n"/>
      <c r="K238" s="52" t="n"/>
      <c r="L238" s="52" t="n"/>
      <c r="M238" s="52" t="n"/>
      <c r="N238" s="52" t="n"/>
      <c r="O238" s="52" t="n"/>
      <c r="P238" s="52" t="n"/>
      <c r="Q238" s="52" t="n"/>
      <c r="R238" s="52" t="n"/>
      <c r="S238" s="52" t="n"/>
      <c r="T238" s="52" t="n"/>
      <c r="U238" s="52" t="n"/>
      <c r="V238" s="52" t="n"/>
      <c r="W238" s="52" t="n"/>
      <c r="X238" s="52" t="n"/>
      <c r="Y238" s="52" t="n"/>
      <c r="Z238" s="52" t="n"/>
    </row>
    <row r="239" ht="15.75" customHeight="1" s="673">
      <c r="A239" s="52" t="n"/>
      <c r="B239" s="52" t="n"/>
      <c r="C239" s="52" t="n"/>
      <c r="D239" s="52" t="n"/>
      <c r="E239" s="52" t="n"/>
      <c r="F239" s="52" t="n"/>
      <c r="G239" s="52" t="n"/>
      <c r="H239" s="52" t="n"/>
      <c r="I239" s="52" t="n"/>
      <c r="J239" s="52" t="n"/>
      <c r="K239" s="52" t="n"/>
      <c r="L239" s="52" t="n"/>
      <c r="M239" s="52" t="n"/>
      <c r="N239" s="52" t="n"/>
      <c r="O239" s="52" t="n"/>
      <c r="P239" s="52" t="n"/>
      <c r="Q239" s="52" t="n"/>
      <c r="R239" s="52" t="n"/>
      <c r="S239" s="52" t="n"/>
      <c r="T239" s="52" t="n"/>
      <c r="U239" s="52" t="n"/>
      <c r="V239" s="52" t="n"/>
      <c r="W239" s="52" t="n"/>
      <c r="X239" s="52" t="n"/>
      <c r="Y239" s="52" t="n"/>
      <c r="Z239" s="52" t="n"/>
    </row>
    <row r="240" ht="15.75" customHeight="1" s="673">
      <c r="A240" s="52" t="n"/>
      <c r="B240" s="52" t="n"/>
      <c r="C240" s="52" t="n"/>
      <c r="D240" s="52" t="n"/>
      <c r="E240" s="52" t="n"/>
      <c r="F240" s="52" t="n"/>
      <c r="G240" s="52" t="n"/>
      <c r="H240" s="52" t="n"/>
      <c r="I240" s="52" t="n"/>
      <c r="J240" s="52" t="n"/>
      <c r="K240" s="52" t="n"/>
      <c r="L240" s="52" t="n"/>
      <c r="M240" s="52" t="n"/>
      <c r="N240" s="52" t="n"/>
      <c r="O240" s="52" t="n"/>
      <c r="P240" s="52" t="n"/>
      <c r="Q240" s="52" t="n"/>
      <c r="R240" s="52" t="n"/>
      <c r="S240" s="52" t="n"/>
      <c r="T240" s="52" t="n"/>
      <c r="U240" s="52" t="n"/>
      <c r="V240" s="52" t="n"/>
      <c r="W240" s="52" t="n"/>
      <c r="X240" s="52" t="n"/>
      <c r="Y240" s="52" t="n"/>
      <c r="Z240" s="52" t="n"/>
    </row>
    <row r="241" ht="15.75" customHeight="1" s="673">
      <c r="A241" s="52" t="n"/>
      <c r="B241" s="52" t="n"/>
      <c r="C241" s="52" t="n"/>
      <c r="D241" s="52" t="n"/>
      <c r="E241" s="52" t="n"/>
      <c r="F241" s="52" t="n"/>
      <c r="G241" s="52" t="n"/>
      <c r="H241" s="52" t="n"/>
      <c r="I241" s="52" t="n"/>
      <c r="J241" s="52" t="n"/>
      <c r="K241" s="52" t="n"/>
      <c r="L241" s="52" t="n"/>
      <c r="M241" s="52" t="n"/>
      <c r="N241" s="52" t="n"/>
      <c r="O241" s="52" t="n"/>
      <c r="P241" s="52" t="n"/>
      <c r="Q241" s="52" t="n"/>
      <c r="R241" s="52" t="n"/>
      <c r="S241" s="52" t="n"/>
      <c r="T241" s="52" t="n"/>
      <c r="U241" s="52" t="n"/>
      <c r="V241" s="52" t="n"/>
      <c r="W241" s="52" t="n"/>
      <c r="X241" s="52" t="n"/>
      <c r="Y241" s="52" t="n"/>
      <c r="Z241" s="52" t="n"/>
    </row>
    <row r="242" ht="15.75" customHeight="1" s="673">
      <c r="A242" s="52" t="n"/>
      <c r="B242" s="52" t="n"/>
      <c r="C242" s="52" t="n"/>
      <c r="D242" s="52" t="n"/>
      <c r="E242" s="52" t="n"/>
      <c r="F242" s="52" t="n"/>
      <c r="G242" s="52" t="n"/>
      <c r="H242" s="52" t="n"/>
      <c r="I242" s="52" t="n"/>
      <c r="J242" s="52" t="n"/>
      <c r="K242" s="52" t="n"/>
      <c r="L242" s="52" t="n"/>
      <c r="M242" s="52" t="n"/>
      <c r="N242" s="52" t="n"/>
      <c r="O242" s="52" t="n"/>
      <c r="P242" s="52" t="n"/>
      <c r="Q242" s="52" t="n"/>
      <c r="R242" s="52" t="n"/>
      <c r="S242" s="52" t="n"/>
      <c r="T242" s="52" t="n"/>
      <c r="U242" s="52" t="n"/>
      <c r="V242" s="52" t="n"/>
      <c r="W242" s="52" t="n"/>
      <c r="X242" s="52" t="n"/>
      <c r="Y242" s="52" t="n"/>
      <c r="Z242" s="52" t="n"/>
    </row>
    <row r="243" ht="15.75" customHeight="1" s="673">
      <c r="A243" s="52" t="n"/>
      <c r="B243" s="52" t="n"/>
      <c r="C243" s="52" t="n"/>
      <c r="D243" s="52" t="n"/>
      <c r="E243" s="52" t="n"/>
      <c r="F243" s="52" t="n"/>
      <c r="G243" s="52" t="n"/>
      <c r="H243" s="52" t="n"/>
      <c r="I243" s="52" t="n"/>
      <c r="J243" s="52" t="n"/>
      <c r="K243" s="52" t="n"/>
      <c r="L243" s="52" t="n"/>
      <c r="M243" s="52" t="n"/>
      <c r="N243" s="52" t="n"/>
      <c r="O243" s="52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2" t="n"/>
    </row>
    <row r="244" ht="15.75" customHeight="1" s="673">
      <c r="A244" s="52" t="n"/>
      <c r="B244" s="52" t="n"/>
      <c r="C244" s="52" t="n"/>
      <c r="D244" s="52" t="n"/>
      <c r="E244" s="52" t="n"/>
      <c r="F244" s="52" t="n"/>
      <c r="G244" s="52" t="n"/>
      <c r="H244" s="52" t="n"/>
      <c r="I244" s="52" t="n"/>
      <c r="J244" s="52" t="n"/>
      <c r="K244" s="52" t="n"/>
      <c r="L244" s="52" t="n"/>
      <c r="M244" s="52" t="n"/>
      <c r="N244" s="52" t="n"/>
      <c r="O244" s="52" t="n"/>
      <c r="P244" s="52" t="n"/>
      <c r="Q244" s="52" t="n"/>
      <c r="R244" s="52" t="n"/>
      <c r="S244" s="52" t="n"/>
      <c r="T244" s="52" t="n"/>
      <c r="U244" s="52" t="n"/>
      <c r="V244" s="52" t="n"/>
      <c r="W244" s="52" t="n"/>
      <c r="X244" s="52" t="n"/>
      <c r="Y244" s="52" t="n"/>
      <c r="Z244" s="52" t="n"/>
    </row>
    <row r="245" ht="15.75" customHeight="1" s="673">
      <c r="A245" s="52" t="n"/>
      <c r="B245" s="52" t="n"/>
      <c r="C245" s="52" t="n"/>
      <c r="D245" s="52" t="n"/>
      <c r="E245" s="52" t="n"/>
      <c r="F245" s="52" t="n"/>
      <c r="G245" s="52" t="n"/>
      <c r="H245" s="52" t="n"/>
      <c r="I245" s="52" t="n"/>
      <c r="J245" s="52" t="n"/>
      <c r="K245" s="52" t="n"/>
      <c r="L245" s="52" t="n"/>
      <c r="M245" s="52" t="n"/>
      <c r="N245" s="52" t="n"/>
      <c r="O245" s="52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2" t="n"/>
    </row>
    <row r="246" ht="15.75" customHeight="1" s="673">
      <c r="A246" s="52" t="n"/>
      <c r="B246" s="52" t="n"/>
      <c r="C246" s="52" t="n"/>
      <c r="D246" s="52" t="n"/>
      <c r="E246" s="52" t="n"/>
      <c r="F246" s="52" t="n"/>
      <c r="G246" s="52" t="n"/>
      <c r="H246" s="52" t="n"/>
      <c r="I246" s="52" t="n"/>
      <c r="J246" s="52" t="n"/>
      <c r="K246" s="52" t="n"/>
      <c r="L246" s="52" t="n"/>
      <c r="M246" s="52" t="n"/>
      <c r="N246" s="52" t="n"/>
      <c r="O246" s="52" t="n"/>
      <c r="P246" s="52" t="n"/>
      <c r="Q246" s="52" t="n"/>
      <c r="R246" s="52" t="n"/>
      <c r="S246" s="52" t="n"/>
      <c r="T246" s="52" t="n"/>
      <c r="U246" s="52" t="n"/>
      <c r="V246" s="52" t="n"/>
      <c r="W246" s="52" t="n"/>
      <c r="X246" s="52" t="n"/>
      <c r="Y246" s="52" t="n"/>
      <c r="Z246" s="52" t="n"/>
    </row>
    <row r="247" ht="15.75" customHeight="1" s="673">
      <c r="A247" s="52" t="n"/>
      <c r="B247" s="52" t="n"/>
      <c r="C247" s="52" t="n"/>
      <c r="D247" s="52" t="n"/>
      <c r="E247" s="52" t="n"/>
      <c r="F247" s="52" t="n"/>
      <c r="G247" s="52" t="n"/>
      <c r="H247" s="52" t="n"/>
      <c r="I247" s="52" t="n"/>
      <c r="J247" s="52" t="n"/>
      <c r="K247" s="52" t="n"/>
      <c r="L247" s="52" t="n"/>
      <c r="M247" s="52" t="n"/>
      <c r="N247" s="52" t="n"/>
      <c r="O247" s="52" t="n"/>
      <c r="P247" s="52" t="n"/>
      <c r="Q247" s="52" t="n"/>
      <c r="R247" s="52" t="n"/>
      <c r="S247" s="52" t="n"/>
      <c r="T247" s="52" t="n"/>
      <c r="U247" s="52" t="n"/>
      <c r="V247" s="52" t="n"/>
      <c r="W247" s="52" t="n"/>
      <c r="X247" s="52" t="n"/>
      <c r="Y247" s="52" t="n"/>
      <c r="Z247" s="52" t="n"/>
    </row>
    <row r="248" ht="15.75" customHeight="1" s="673">
      <c r="A248" s="52" t="n"/>
      <c r="B248" s="52" t="n"/>
      <c r="C248" s="52" t="n"/>
      <c r="D248" s="52" t="n"/>
      <c r="E248" s="52" t="n"/>
      <c r="F248" s="52" t="n"/>
      <c r="G248" s="52" t="n"/>
      <c r="H248" s="52" t="n"/>
      <c r="I248" s="52" t="n"/>
      <c r="J248" s="52" t="n"/>
      <c r="K248" s="52" t="n"/>
      <c r="L248" s="52" t="n"/>
      <c r="M248" s="52" t="n"/>
      <c r="N248" s="52" t="n"/>
      <c r="O248" s="52" t="n"/>
      <c r="P248" s="52" t="n"/>
      <c r="Q248" s="52" t="n"/>
      <c r="R248" s="52" t="n"/>
      <c r="S248" s="52" t="n"/>
      <c r="T248" s="52" t="n"/>
      <c r="U248" s="52" t="n"/>
      <c r="V248" s="52" t="n"/>
      <c r="W248" s="52" t="n"/>
      <c r="X248" s="52" t="n"/>
      <c r="Y248" s="52" t="n"/>
      <c r="Z248" s="52" t="n"/>
    </row>
    <row r="249" ht="15.75" customHeight="1" s="673">
      <c r="A249" s="52" t="n"/>
      <c r="B249" s="52" t="n"/>
      <c r="C249" s="52" t="n"/>
      <c r="D249" s="52" t="n"/>
      <c r="E249" s="52" t="n"/>
      <c r="F249" s="52" t="n"/>
      <c r="G249" s="52" t="n"/>
      <c r="H249" s="52" t="n"/>
      <c r="I249" s="52" t="n"/>
      <c r="J249" s="52" t="n"/>
      <c r="K249" s="52" t="n"/>
      <c r="L249" s="52" t="n"/>
      <c r="M249" s="52" t="n"/>
      <c r="N249" s="52" t="n"/>
      <c r="O249" s="52" t="n"/>
      <c r="P249" s="52" t="n"/>
      <c r="Q249" s="52" t="n"/>
      <c r="R249" s="52" t="n"/>
      <c r="S249" s="52" t="n"/>
      <c r="T249" s="52" t="n"/>
      <c r="U249" s="52" t="n"/>
      <c r="V249" s="52" t="n"/>
      <c r="W249" s="52" t="n"/>
      <c r="X249" s="52" t="n"/>
      <c r="Y249" s="52" t="n"/>
      <c r="Z249" s="52" t="n"/>
    </row>
    <row r="250" ht="15.75" customHeight="1" s="673">
      <c r="A250" s="52" t="n"/>
      <c r="B250" s="52" t="n"/>
      <c r="C250" s="52" t="n"/>
      <c r="D250" s="52" t="n"/>
      <c r="E250" s="52" t="n"/>
      <c r="F250" s="52" t="n"/>
      <c r="G250" s="52" t="n"/>
      <c r="H250" s="52" t="n"/>
      <c r="I250" s="52" t="n"/>
      <c r="J250" s="52" t="n"/>
      <c r="K250" s="52" t="n"/>
      <c r="L250" s="52" t="n"/>
      <c r="M250" s="52" t="n"/>
      <c r="N250" s="52" t="n"/>
      <c r="O250" s="52" t="n"/>
      <c r="P250" s="52" t="n"/>
      <c r="Q250" s="52" t="n"/>
      <c r="R250" s="52" t="n"/>
      <c r="S250" s="52" t="n"/>
      <c r="T250" s="52" t="n"/>
      <c r="U250" s="52" t="n"/>
      <c r="V250" s="52" t="n"/>
      <c r="W250" s="52" t="n"/>
      <c r="X250" s="52" t="n"/>
      <c r="Y250" s="52" t="n"/>
      <c r="Z250" s="52" t="n"/>
    </row>
    <row r="251" ht="15.75" customHeight="1" s="673">
      <c r="A251" s="52" t="n"/>
      <c r="B251" s="52" t="n"/>
      <c r="C251" s="52" t="n"/>
      <c r="D251" s="52" t="n"/>
      <c r="E251" s="52" t="n"/>
      <c r="F251" s="52" t="n"/>
      <c r="G251" s="52" t="n"/>
      <c r="H251" s="52" t="n"/>
      <c r="I251" s="52" t="n"/>
      <c r="J251" s="52" t="n"/>
      <c r="K251" s="52" t="n"/>
      <c r="L251" s="52" t="n"/>
      <c r="M251" s="52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  <c r="X251" s="52" t="n"/>
      <c r="Y251" s="52" t="n"/>
      <c r="Z251" s="52" t="n"/>
    </row>
    <row r="252" ht="15.75" customHeight="1" s="673">
      <c r="A252" s="52" t="n"/>
      <c r="B252" s="52" t="n"/>
      <c r="C252" s="52" t="n"/>
      <c r="D252" s="52" t="n"/>
      <c r="E252" s="52" t="n"/>
      <c r="F252" s="52" t="n"/>
      <c r="G252" s="52" t="n"/>
      <c r="H252" s="52" t="n"/>
      <c r="I252" s="52" t="n"/>
      <c r="J252" s="52" t="n"/>
      <c r="K252" s="52" t="n"/>
      <c r="L252" s="52" t="n"/>
      <c r="M252" s="52" t="n"/>
      <c r="N252" s="52" t="n"/>
      <c r="O252" s="52" t="n"/>
      <c r="P252" s="52" t="n"/>
      <c r="Q252" s="52" t="n"/>
      <c r="R252" s="52" t="n"/>
      <c r="S252" s="52" t="n"/>
      <c r="T252" s="52" t="n"/>
      <c r="U252" s="52" t="n"/>
      <c r="V252" s="52" t="n"/>
      <c r="W252" s="52" t="n"/>
      <c r="X252" s="52" t="n"/>
      <c r="Y252" s="52" t="n"/>
      <c r="Z252" s="52" t="n"/>
    </row>
    <row r="253" ht="15.75" customHeight="1" s="673">
      <c r="A253" s="52" t="n"/>
      <c r="B253" s="52" t="n"/>
      <c r="C253" s="52" t="n"/>
      <c r="D253" s="52" t="n"/>
      <c r="E253" s="52" t="n"/>
      <c r="F253" s="52" t="n"/>
      <c r="G253" s="52" t="n"/>
      <c r="H253" s="52" t="n"/>
      <c r="I253" s="52" t="n"/>
      <c r="J253" s="52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  <c r="X253" s="52" t="n"/>
      <c r="Y253" s="52" t="n"/>
      <c r="Z253" s="52" t="n"/>
    </row>
    <row r="254" ht="15.75" customHeight="1" s="673">
      <c r="A254" s="52" t="n"/>
      <c r="B254" s="52" t="n"/>
      <c r="C254" s="52" t="n"/>
      <c r="D254" s="52" t="n"/>
      <c r="E254" s="52" t="n"/>
      <c r="F254" s="52" t="n"/>
      <c r="G254" s="52" t="n"/>
      <c r="H254" s="52" t="n"/>
      <c r="I254" s="52" t="n"/>
      <c r="J254" s="52" t="n"/>
      <c r="K254" s="52" t="n"/>
      <c r="L254" s="52" t="n"/>
      <c r="M254" s="52" t="n"/>
      <c r="N254" s="52" t="n"/>
      <c r="O254" s="52" t="n"/>
      <c r="P254" s="52" t="n"/>
      <c r="Q254" s="52" t="n"/>
      <c r="R254" s="52" t="n"/>
      <c r="S254" s="52" t="n"/>
      <c r="T254" s="52" t="n"/>
      <c r="U254" s="52" t="n"/>
      <c r="V254" s="52" t="n"/>
      <c r="W254" s="52" t="n"/>
      <c r="X254" s="52" t="n"/>
      <c r="Y254" s="52" t="n"/>
      <c r="Z254" s="52" t="n"/>
    </row>
    <row r="255" ht="15.75" customHeight="1" s="673">
      <c r="A255" s="52" t="n"/>
      <c r="B255" s="52" t="n"/>
      <c r="C255" s="52" t="n"/>
      <c r="D255" s="52" t="n"/>
      <c r="E255" s="52" t="n"/>
      <c r="F255" s="52" t="n"/>
      <c r="G255" s="52" t="n"/>
      <c r="H255" s="52" t="n"/>
      <c r="I255" s="52" t="n"/>
      <c r="J255" s="52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52" t="n"/>
      <c r="T255" s="52" t="n"/>
      <c r="U255" s="52" t="n"/>
      <c r="V255" s="52" t="n"/>
      <c r="W255" s="52" t="n"/>
      <c r="X255" s="52" t="n"/>
      <c r="Y255" s="52" t="n"/>
      <c r="Z255" s="52" t="n"/>
    </row>
    <row r="256" ht="15.75" customHeight="1" s="673">
      <c r="A256" s="52" t="n"/>
      <c r="B256" s="52" t="n"/>
      <c r="C256" s="52" t="n"/>
      <c r="D256" s="52" t="n"/>
      <c r="E256" s="52" t="n"/>
      <c r="F256" s="52" t="n"/>
      <c r="G256" s="52" t="n"/>
      <c r="H256" s="52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  <c r="X256" s="52" t="n"/>
      <c r="Y256" s="52" t="n"/>
      <c r="Z256" s="52" t="n"/>
    </row>
    <row r="257" ht="15.75" customHeight="1" s="673">
      <c r="A257" s="52" t="n"/>
      <c r="B257" s="52" t="n"/>
      <c r="C257" s="52" t="n"/>
      <c r="D257" s="52" t="n"/>
      <c r="E257" s="52" t="n"/>
      <c r="F257" s="52" t="n"/>
      <c r="G257" s="52" t="n"/>
      <c r="H257" s="52" t="n"/>
      <c r="I257" s="52" t="n"/>
      <c r="J257" s="52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  <c r="X257" s="52" t="n"/>
      <c r="Y257" s="52" t="n"/>
      <c r="Z257" s="52" t="n"/>
    </row>
    <row r="258" ht="15.75" customHeight="1" s="673">
      <c r="A258" s="52" t="n"/>
      <c r="B258" s="52" t="n"/>
      <c r="C258" s="52" t="n"/>
      <c r="D258" s="52" t="n"/>
      <c r="E258" s="52" t="n"/>
      <c r="F258" s="52" t="n"/>
      <c r="G258" s="52" t="n"/>
      <c r="H258" s="52" t="n"/>
      <c r="I258" s="52" t="n"/>
      <c r="J258" s="52" t="n"/>
      <c r="K258" s="52" t="n"/>
      <c r="L258" s="52" t="n"/>
      <c r="M258" s="52" t="n"/>
      <c r="N258" s="52" t="n"/>
      <c r="O258" s="52" t="n"/>
      <c r="P258" s="52" t="n"/>
      <c r="Q258" s="52" t="n"/>
      <c r="R258" s="52" t="n"/>
      <c r="S258" s="52" t="n"/>
      <c r="T258" s="52" t="n"/>
      <c r="U258" s="52" t="n"/>
      <c r="V258" s="52" t="n"/>
      <c r="W258" s="52" t="n"/>
      <c r="X258" s="52" t="n"/>
      <c r="Y258" s="52" t="n"/>
      <c r="Z258" s="52" t="n"/>
    </row>
    <row r="259" ht="15.75" customHeight="1" s="673">
      <c r="A259" s="52" t="n"/>
      <c r="B259" s="52" t="n"/>
      <c r="C259" s="52" t="n"/>
      <c r="D259" s="52" t="n"/>
      <c r="E259" s="52" t="n"/>
      <c r="F259" s="52" t="n"/>
      <c r="G259" s="52" t="n"/>
      <c r="H259" s="52" t="n"/>
      <c r="I259" s="52" t="n"/>
      <c r="J259" s="52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  <c r="X259" s="52" t="n"/>
      <c r="Y259" s="52" t="n"/>
      <c r="Z259" s="52" t="n"/>
    </row>
    <row r="260" ht="15.75" customHeight="1" s="673">
      <c r="A260" s="52" t="n"/>
      <c r="B260" s="52" t="n"/>
      <c r="C260" s="52" t="n"/>
      <c r="D260" s="52" t="n"/>
      <c r="E260" s="52" t="n"/>
      <c r="F260" s="52" t="n"/>
      <c r="G260" s="52" t="n"/>
      <c r="H260" s="52" t="n"/>
      <c r="I260" s="52" t="n"/>
      <c r="J260" s="52" t="n"/>
      <c r="K260" s="52" t="n"/>
      <c r="L260" s="52" t="n"/>
      <c r="M260" s="52" t="n"/>
      <c r="N260" s="52" t="n"/>
      <c r="O260" s="52" t="n"/>
      <c r="P260" s="52" t="n"/>
      <c r="Q260" s="52" t="n"/>
      <c r="R260" s="52" t="n"/>
      <c r="S260" s="52" t="n"/>
      <c r="T260" s="52" t="n"/>
      <c r="U260" s="52" t="n"/>
      <c r="V260" s="52" t="n"/>
      <c r="W260" s="52" t="n"/>
      <c r="X260" s="52" t="n"/>
      <c r="Y260" s="52" t="n"/>
      <c r="Z260" s="52" t="n"/>
    </row>
    <row r="261" ht="15.75" customHeight="1" s="673">
      <c r="A261" s="52" t="n"/>
      <c r="B261" s="52" t="n"/>
      <c r="C261" s="52" t="n"/>
      <c r="D261" s="52" t="n"/>
      <c r="E261" s="52" t="n"/>
      <c r="F261" s="52" t="n"/>
      <c r="G261" s="52" t="n"/>
      <c r="H261" s="52" t="n"/>
      <c r="I261" s="52" t="n"/>
      <c r="J261" s="52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  <c r="X261" s="52" t="n"/>
      <c r="Y261" s="52" t="n"/>
      <c r="Z261" s="52" t="n"/>
    </row>
    <row r="262" ht="15.75" customHeight="1" s="673">
      <c r="A262" s="52" t="n"/>
      <c r="B262" s="52" t="n"/>
      <c r="C262" s="52" t="n"/>
      <c r="D262" s="52" t="n"/>
      <c r="E262" s="52" t="n"/>
      <c r="F262" s="52" t="n"/>
      <c r="G262" s="52" t="n"/>
      <c r="H262" s="52" t="n"/>
      <c r="I262" s="52" t="n"/>
      <c r="J262" s="52" t="n"/>
      <c r="K262" s="52" t="n"/>
      <c r="L262" s="52" t="n"/>
      <c r="M262" s="52" t="n"/>
      <c r="N262" s="52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  <c r="X262" s="52" t="n"/>
      <c r="Y262" s="52" t="n"/>
      <c r="Z262" s="52" t="n"/>
    </row>
    <row r="263" ht="15.75" customHeight="1" s="673">
      <c r="A263" s="52" t="n"/>
      <c r="B263" s="52" t="n"/>
      <c r="C263" s="52" t="n"/>
      <c r="D263" s="52" t="n"/>
      <c r="E263" s="52" t="n"/>
      <c r="F263" s="52" t="n"/>
      <c r="G263" s="52" t="n"/>
      <c r="H263" s="52" t="n"/>
      <c r="I263" s="52" t="n"/>
      <c r="J263" s="52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  <c r="X263" s="52" t="n"/>
      <c r="Y263" s="52" t="n"/>
      <c r="Z263" s="52" t="n"/>
    </row>
    <row r="264" ht="15.75" customHeight="1" s="673">
      <c r="A264" s="52" t="n"/>
      <c r="B264" s="52" t="n"/>
      <c r="C264" s="52" t="n"/>
      <c r="D264" s="52" t="n"/>
      <c r="E264" s="52" t="n"/>
      <c r="F264" s="52" t="n"/>
      <c r="G264" s="52" t="n"/>
      <c r="H264" s="52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  <c r="X264" s="52" t="n"/>
      <c r="Y264" s="52" t="n"/>
      <c r="Z264" s="52" t="n"/>
    </row>
    <row r="265" ht="15.75" customHeight="1" s="673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  <c r="Z265" s="52" t="n"/>
    </row>
    <row r="266" ht="15.75" customHeight="1" s="673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</row>
    <row r="267" ht="15.75" customHeight="1" s="673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</row>
    <row r="268" ht="15.75" customHeight="1" s="673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</row>
    <row r="269" ht="15.75" customHeight="1" s="673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mergeCells count="2">
    <mergeCell ref="E1:G1"/>
    <mergeCell ref="D15:F22"/>
  </mergeCells>
  <pageMargins left="0.7874015748031497" right="0.7874015748031497" top="0.5905511811023622" bottom="0.5905511811023622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FF9966"/>
    <outlinePr summaryBelow="1" summaryRight="1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" customWidth="1" style="673" min="1" max="1"/>
    <col width="52.5" customWidth="1" style="673" min="2" max="2"/>
    <col width="16.38" customWidth="1" style="673" min="3" max="3"/>
    <col width="23.25" customWidth="1" style="673" min="4" max="4"/>
    <col width="23.63" customWidth="1" style="673" min="5" max="5"/>
    <col width="17.88" customWidth="1" style="673" min="6" max="7"/>
    <col width="2" customWidth="1" style="673" min="8" max="8"/>
    <col width="8.880000000000001" customWidth="1" style="673" min="9" max="9"/>
    <col width="8.630000000000001" customWidth="1" style="673" min="10" max="26"/>
  </cols>
  <sheetData>
    <row r="1" hidden="1" s="673">
      <c r="A1" s="52" t="n"/>
      <c r="B1" s="69" t="n"/>
      <c r="C1" s="681" t="inlineStr">
        <is>
          <t xml:space="preserve">FAVOR NÃO EDITAR ESSE CAMPO </t>
        </is>
      </c>
      <c r="D1" s="682" t="n"/>
      <c r="E1" s="131" t="n"/>
      <c r="F1" s="131" t="n"/>
      <c r="G1" s="131" t="n"/>
      <c r="H1" s="131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</row>
    <row r="2" hidden="1" s="673">
      <c r="A2" s="52" t="n"/>
      <c r="B2" s="149" t="inlineStr">
        <is>
          <t>Operacionais</t>
        </is>
      </c>
      <c r="C2" s="150">
        <f>D44</f>
        <v/>
      </c>
      <c r="D2" s="150">
        <f>E44</f>
        <v/>
      </c>
      <c r="E2" s="131" t="n"/>
      <c r="F2" s="131" t="n"/>
      <c r="G2" s="131" t="n"/>
      <c r="H2" s="131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  <c r="Z2" s="69" t="n"/>
    </row>
    <row r="3" hidden="1" s="673">
      <c r="A3" s="52" t="n"/>
      <c r="B3" s="149" t="inlineStr">
        <is>
          <t>Imobilizado</t>
        </is>
      </c>
      <c r="C3" s="150">
        <f>E58</f>
        <v/>
      </c>
      <c r="D3" s="150">
        <f>F58</f>
        <v/>
      </c>
      <c r="E3" s="131" t="n"/>
      <c r="F3" s="131" t="n"/>
      <c r="G3" s="131" t="n"/>
      <c r="H3" s="131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</row>
    <row r="4" hidden="1" s="673">
      <c r="A4" s="52" t="n"/>
      <c r="B4" s="131" t="n"/>
      <c r="C4" s="131" t="n"/>
      <c r="D4" s="131" t="n"/>
      <c r="E4" s="131" t="n"/>
      <c r="F4" s="131" t="n"/>
      <c r="G4" s="131" t="n"/>
      <c r="H4" s="131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</row>
    <row r="5" hidden="1" s="673">
      <c r="A5" s="52" t="n"/>
      <c r="B5" s="131" t="n"/>
      <c r="C5" s="131" t="n"/>
      <c r="D5" s="131" t="n"/>
      <c r="E5" s="131" t="n"/>
      <c r="F5" s="131" t="n"/>
      <c r="G5" s="131" t="n"/>
      <c r="H5" s="131" t="n"/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</row>
    <row r="6" hidden="1" s="673">
      <c r="A6" s="52" t="n"/>
      <c r="B6" s="131" t="n"/>
      <c r="C6" s="131" t="n"/>
      <c r="D6" s="131" t="n"/>
      <c r="E6" s="131" t="n"/>
      <c r="F6" s="131" t="n"/>
      <c r="G6" s="131" t="n"/>
      <c r="H6" s="131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</row>
    <row r="7" hidden="1" s="673">
      <c r="A7" s="52" t="n"/>
      <c r="B7" s="131" t="n"/>
      <c r="C7" s="131" t="n"/>
      <c r="D7" s="131" t="n"/>
      <c r="E7" s="131" t="n"/>
      <c r="F7" s="131" t="n"/>
      <c r="G7" s="131" t="n"/>
      <c r="H7" s="131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</row>
    <row r="8" hidden="1" s="673">
      <c r="A8" s="52" t="n"/>
      <c r="B8" s="131" t="n"/>
      <c r="C8" s="131" t="n"/>
      <c r="D8" s="131" t="n"/>
      <c r="E8" s="131" t="n"/>
      <c r="F8" s="131" t="n"/>
      <c r="G8" s="131" t="n"/>
      <c r="H8" s="131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</row>
    <row r="9" hidden="1" s="673">
      <c r="A9" s="52" t="n"/>
      <c r="B9" s="131" t="n"/>
      <c r="C9" s="131" t="n"/>
      <c r="D9" s="131" t="n"/>
      <c r="E9" s="131" t="n"/>
      <c r="F9" s="131" t="n"/>
      <c r="G9" s="131" t="n"/>
      <c r="H9" s="131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69" t="n"/>
    </row>
    <row r="10">
      <c r="A10" s="52" t="n"/>
      <c r="B10" s="131" t="n"/>
      <c r="C10" s="131" t="n"/>
      <c r="D10" s="131" t="n"/>
      <c r="E10" s="131" t="n"/>
      <c r="F10" s="131" t="n"/>
      <c r="G10" s="131" t="n"/>
      <c r="H10" s="131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>
      <c r="A11" s="52" t="n"/>
      <c r="B11" s="73" t="inlineStr">
        <is>
          <t>CALCIR - DESPESAS E INVESTIMENTOS</t>
        </is>
      </c>
      <c r="C11" s="73" t="n"/>
      <c r="D11" s="74" t="n"/>
      <c r="E11" s="74" t="n"/>
      <c r="F11" s="74" t="n"/>
      <c r="G11" s="73">
        <f>RECEITAS!I12</f>
        <v/>
      </c>
      <c r="H11" s="151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69" t="n"/>
      <c r="T11" s="69" t="n"/>
      <c r="U11" s="69" t="n"/>
      <c r="V11" s="69" t="n"/>
      <c r="W11" s="69" t="n"/>
      <c r="X11" s="69" t="n"/>
      <c r="Y11" s="69" t="n"/>
      <c r="Z11" s="69" t="n"/>
    </row>
    <row r="12">
      <c r="A12" s="52" t="n"/>
      <c r="B12" s="152">
        <f>RECEITAS!B13</f>
        <v/>
      </c>
      <c r="C12" s="153" t="n"/>
      <c r="D12" s="154" t="n"/>
      <c r="E12" s="154" t="n"/>
      <c r="F12" s="82" t="inlineStr">
        <is>
          <t>Período Inicial</t>
        </is>
      </c>
      <c r="G12" s="82" t="inlineStr">
        <is>
          <t>Período Final</t>
        </is>
      </c>
      <c r="H12" s="151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69" t="n"/>
      <c r="T12" s="69" t="n"/>
      <c r="U12" s="69" t="n"/>
      <c r="V12" s="69" t="n"/>
      <c r="W12" s="69" t="n"/>
      <c r="X12" s="69" t="n"/>
      <c r="Y12" s="69" t="n"/>
      <c r="Z12" s="69" t="n"/>
    </row>
    <row r="13">
      <c r="A13" s="52" t="n"/>
      <c r="B13" s="153" t="n"/>
      <c r="C13" s="153" t="n"/>
      <c r="D13" s="154" t="n"/>
      <c r="E13" s="155" t="n"/>
      <c r="F13" s="87">
        <f>RECEITAS!H14</f>
        <v/>
      </c>
      <c r="G13" s="87">
        <f>RECEITAS!I14</f>
        <v/>
      </c>
      <c r="H13" s="156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69" t="n"/>
      <c r="T13" s="69" t="n"/>
      <c r="U13" s="69" t="n"/>
      <c r="V13" s="69" t="n"/>
      <c r="W13" s="69" t="n"/>
      <c r="X13" s="69" t="n"/>
      <c r="Y13" s="69" t="n"/>
      <c r="Z13" s="69" t="n"/>
    </row>
    <row r="14">
      <c r="A14" s="52" t="n"/>
      <c r="B14" s="157" t="n"/>
      <c r="C14" s="157" t="n"/>
      <c r="D14" s="157" t="n"/>
      <c r="E14" s="157" t="n"/>
      <c r="F14" s="158" t="n"/>
      <c r="G14" s="158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69" t="n"/>
      <c r="T14" s="69" t="n"/>
      <c r="U14" s="69" t="n"/>
      <c r="V14" s="69" t="n"/>
      <c r="W14" s="69" t="n"/>
      <c r="X14" s="69" t="n"/>
      <c r="Y14" s="69" t="n"/>
      <c r="Z14" s="69" t="n"/>
    </row>
    <row r="15">
      <c r="A15" s="52" t="n"/>
      <c r="B15" s="92" t="inlineStr">
        <is>
          <t>DESCRIÇÃO</t>
        </is>
      </c>
      <c r="C15" s="92" t="inlineStr">
        <is>
          <t>OBSERVAÇÕES</t>
        </is>
      </c>
      <c r="D15" s="92" t="inlineStr">
        <is>
          <t xml:space="preserve">REALIZADO </t>
        </is>
      </c>
      <c r="E15" s="92" t="inlineStr">
        <is>
          <t>A REALIZAR</t>
        </is>
      </c>
      <c r="F15" s="92">
        <f>CONCAT("TOTAL ",$G$11)</f>
        <v/>
      </c>
      <c r="G15" s="92">
        <f>G11-1</f>
        <v/>
      </c>
      <c r="H15" s="159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69" t="n"/>
      <c r="T15" s="69" t="n"/>
      <c r="U15" s="69" t="n"/>
      <c r="V15" s="69" t="n"/>
      <c r="W15" s="69" t="n"/>
      <c r="X15" s="69" t="n"/>
      <c r="Y15" s="69" t="n"/>
      <c r="Z15" s="69" t="n"/>
    </row>
    <row r="16">
      <c r="A16" s="52" t="n"/>
      <c r="B16" s="160" t="inlineStr">
        <is>
          <t>MAO DE OBRA FIXA</t>
        </is>
      </c>
      <c r="C16" s="161" t="n"/>
      <c r="D16" s="97" t="n">
        <v>809962.11</v>
      </c>
      <c r="E16" s="96" t="n"/>
      <c r="F16" s="97">
        <f>IF(D16+E16=0," ",D16+E16)</f>
        <v/>
      </c>
      <c r="G16" s="162" t="n"/>
      <c r="H16" s="159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69" t="n"/>
      <c r="T16" s="69" t="n"/>
      <c r="U16" s="69" t="n"/>
      <c r="V16" s="69" t="n"/>
      <c r="W16" s="69" t="n"/>
      <c r="X16" s="69" t="n"/>
      <c r="Y16" s="69" t="n"/>
      <c r="Z16" s="69" t="n"/>
    </row>
    <row r="17">
      <c r="A17" s="52" t="n"/>
      <c r="B17" s="160" t="inlineStr">
        <is>
          <t>MAO-DE-OBRA EVENTUAL</t>
        </is>
      </c>
      <c r="C17" s="161" t="n"/>
      <c r="D17" s="97" t="n">
        <v>15920.4</v>
      </c>
      <c r="E17" s="96" t="n"/>
      <c r="F17" s="97">
        <f>IF(D17+E17=0," ",D17+E17)</f>
        <v/>
      </c>
      <c r="G17" s="162" t="n"/>
      <c r="H17" s="163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69" t="n"/>
      <c r="T17" s="69" t="n"/>
      <c r="U17" s="69" t="n"/>
      <c r="V17" s="69" t="n"/>
      <c r="W17" s="69" t="n"/>
      <c r="X17" s="69" t="n"/>
      <c r="Y17" s="69" t="n"/>
      <c r="Z17" s="69" t="n"/>
    </row>
    <row r="18">
      <c r="A18" s="52" t="n"/>
      <c r="B18" s="160" t="n"/>
      <c r="C18" s="161" t="n"/>
      <c r="D18" s="97" t="n">
        <v>0</v>
      </c>
      <c r="E18" s="96" t="n"/>
      <c r="F18" s="97">
        <f>IF(D18+E18=0," ",D18+E18)</f>
        <v/>
      </c>
      <c r="G18" s="162" t="n"/>
      <c r="H18" s="159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69" t="n"/>
      <c r="T18" s="69" t="n"/>
      <c r="U18" s="69" t="n"/>
      <c r="V18" s="69" t="n"/>
      <c r="W18" s="69" t="n"/>
      <c r="X18" s="69" t="n"/>
      <c r="Y18" s="69" t="n"/>
      <c r="Z18" s="69" t="n"/>
    </row>
    <row r="19">
      <c r="A19" s="52" t="n"/>
      <c r="B19" s="160" t="n"/>
      <c r="C19" s="161" t="n"/>
      <c r="D19" s="97" t="n">
        <v>0</v>
      </c>
      <c r="E19" s="96" t="n"/>
      <c r="F19" s="97">
        <f>IF(D19+E19=0," ",D19+E19)</f>
        <v/>
      </c>
      <c r="G19" s="162" t="n"/>
      <c r="H19" s="159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69" t="n"/>
      <c r="T19" s="69" t="n"/>
      <c r="U19" s="69" t="n"/>
      <c r="V19" s="69" t="n"/>
      <c r="W19" s="69" t="n"/>
      <c r="X19" s="69" t="n"/>
      <c r="Y19" s="69" t="n"/>
      <c r="Z19" s="69" t="n"/>
    </row>
    <row r="20">
      <c r="A20" s="52" t="n"/>
      <c r="B20" s="160" t="n"/>
      <c r="C20" s="161" t="n"/>
      <c r="D20" s="97" t="n">
        <v>1000000</v>
      </c>
      <c r="E20" s="96" t="n"/>
      <c r="F20" s="97">
        <f>IF(D20+E20=0," ",D20+E20)</f>
        <v/>
      </c>
      <c r="G20" s="162" t="n"/>
      <c r="H20" s="159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69" t="n"/>
      <c r="T20" s="69" t="n"/>
      <c r="U20" s="69" t="n"/>
      <c r="V20" s="69" t="n"/>
      <c r="W20" s="69" t="n"/>
      <c r="X20" s="69" t="n"/>
      <c r="Y20" s="69" t="n"/>
      <c r="Z20" s="69" t="n"/>
    </row>
    <row r="21" ht="15.75" customHeight="1" s="673">
      <c r="A21" s="52" t="n"/>
      <c r="B21" s="160" t="n"/>
      <c r="C21" s="161" t="n"/>
      <c r="D21" s="97" t="n">
        <v>0</v>
      </c>
      <c r="E21" s="96" t="n"/>
      <c r="F21" s="97">
        <f>IF(D21+E21=0," ",D21+E21)</f>
        <v/>
      </c>
      <c r="G21" s="162" t="n"/>
      <c r="H21" s="159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69" t="n"/>
      <c r="T21" s="69" t="n"/>
      <c r="U21" s="69" t="n"/>
      <c r="V21" s="69" t="n"/>
      <c r="W21" s="69" t="n"/>
      <c r="X21" s="69" t="n"/>
      <c r="Y21" s="69" t="n"/>
      <c r="Z21" s="69" t="n"/>
    </row>
    <row r="22" ht="15.75" customHeight="1" s="673">
      <c r="A22" s="52" t="n"/>
      <c r="B22" s="160" t="n"/>
      <c r="C22" s="161" t="n"/>
      <c r="D22" s="97" t="n">
        <v>600000</v>
      </c>
      <c r="E22" s="96" t="n"/>
      <c r="F22" s="97">
        <f>IF(D22+E22=0," ",D22+E22)</f>
        <v/>
      </c>
      <c r="G22" s="162" t="n"/>
      <c r="H22" s="159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69" t="n"/>
      <c r="T22" s="69" t="n"/>
      <c r="U22" s="69" t="n"/>
      <c r="V22" s="69" t="n"/>
      <c r="W22" s="69" t="n"/>
      <c r="X22" s="69" t="n"/>
      <c r="Y22" s="69" t="n"/>
      <c r="Z22" s="69" t="n"/>
    </row>
    <row r="23" ht="15.75" customHeight="1" s="673">
      <c r="A23" s="52" t="n"/>
      <c r="B23" s="160" t="n"/>
      <c r="C23" s="161" t="n"/>
      <c r="D23" s="97" t="n">
        <v>600000</v>
      </c>
      <c r="E23" s="96" t="n"/>
      <c r="F23" s="97">
        <f>IF(D23+E23=0," ",D23+E23)</f>
        <v/>
      </c>
      <c r="G23" s="162" t="n"/>
      <c r="H23" s="159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69" t="n"/>
      <c r="T23" s="69" t="n"/>
      <c r="U23" s="69" t="n"/>
      <c r="V23" s="69" t="n"/>
      <c r="W23" s="69" t="n"/>
      <c r="X23" s="69" t="n"/>
      <c r="Y23" s="69" t="n"/>
      <c r="Z23" s="69" t="n"/>
    </row>
    <row r="24" ht="15.75" customHeight="1" s="673">
      <c r="A24" s="52" t="n"/>
      <c r="B24" s="160" t="n"/>
      <c r="C24" s="161" t="n"/>
      <c r="D24" s="97" t="n">
        <v>120000</v>
      </c>
      <c r="E24" s="96" t="n"/>
      <c r="F24" s="97">
        <f>IF(D24+E24=0," ",D24+E24)</f>
        <v/>
      </c>
      <c r="G24" s="162" t="n"/>
      <c r="H24" s="159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69" t="n"/>
      <c r="T24" s="69" t="n"/>
      <c r="U24" s="69" t="n"/>
      <c r="V24" s="69" t="n"/>
      <c r="W24" s="69" t="n"/>
      <c r="X24" s="69" t="n"/>
      <c r="Y24" s="69" t="n"/>
      <c r="Z24" s="69" t="n"/>
    </row>
    <row r="25" ht="15.75" customHeight="1" s="673">
      <c r="A25" s="52" t="n"/>
      <c r="B25" s="160" t="n"/>
      <c r="C25" s="161" t="n"/>
      <c r="D25" s="97" t="n">
        <v>60000</v>
      </c>
      <c r="E25" s="96" t="n"/>
      <c r="F25" s="97">
        <f>IF(D25+E25=0," ",D25+E25)</f>
        <v/>
      </c>
      <c r="G25" s="162" t="n"/>
      <c r="H25" s="159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69" t="n"/>
      <c r="T25" s="69" t="n"/>
      <c r="U25" s="69" t="n"/>
      <c r="V25" s="69" t="n"/>
      <c r="W25" s="69" t="n"/>
      <c r="X25" s="69" t="n"/>
      <c r="Y25" s="69" t="n"/>
      <c r="Z25" s="69" t="n"/>
    </row>
    <row r="26" ht="15.75" customHeight="1" s="673">
      <c r="A26" s="52" t="n"/>
      <c r="B26" s="160" t="n"/>
      <c r="C26" s="161" t="n"/>
      <c r="D26" s="97" t="n">
        <v>60000</v>
      </c>
      <c r="E26" s="96" t="n"/>
      <c r="F26" s="97">
        <f>IF(D26+E26=0," ",D26+E26)</f>
        <v/>
      </c>
      <c r="G26" s="162" t="n"/>
      <c r="H26" s="159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69" t="n"/>
      <c r="T26" s="69" t="n"/>
      <c r="U26" s="69" t="n"/>
      <c r="V26" s="69" t="n"/>
      <c r="W26" s="69" t="n"/>
      <c r="X26" s="69" t="n"/>
      <c r="Y26" s="69" t="n"/>
      <c r="Z26" s="69" t="n"/>
    </row>
    <row r="27" ht="15.75" customHeight="1" s="673">
      <c r="A27" s="52" t="n"/>
      <c r="B27" s="160" t="n"/>
      <c r="C27" s="161" t="n"/>
      <c r="D27" s="97" t="n">
        <v>60000</v>
      </c>
      <c r="E27" s="96" t="n"/>
      <c r="F27" s="97">
        <f>IF(D27+E27=0," ",D27+E27)</f>
        <v/>
      </c>
      <c r="G27" s="162" t="n"/>
      <c r="H27" s="159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69" t="n"/>
      <c r="T27" s="69" t="n"/>
      <c r="U27" s="69" t="n"/>
      <c r="V27" s="69" t="n"/>
      <c r="W27" s="69" t="n"/>
      <c r="X27" s="69" t="n"/>
      <c r="Y27" s="69" t="n"/>
      <c r="Z27" s="69" t="n"/>
    </row>
    <row r="28" ht="15.75" customHeight="1" s="673">
      <c r="A28" s="52" t="n"/>
      <c r="B28" s="160" t="n"/>
      <c r="C28" s="161" t="n"/>
      <c r="D28" s="97" t="n">
        <v>600000</v>
      </c>
      <c r="E28" s="96" t="n"/>
      <c r="F28" s="97">
        <f>IF(D28+E28=0," ",D28+E28)</f>
        <v/>
      </c>
      <c r="G28" s="162" t="n"/>
      <c r="H28" s="159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69" t="n"/>
      <c r="T28" s="69" t="n"/>
      <c r="U28" s="69" t="n"/>
      <c r="V28" s="69" t="n"/>
      <c r="W28" s="69" t="n"/>
      <c r="X28" s="69" t="n"/>
      <c r="Y28" s="69" t="n"/>
      <c r="Z28" s="69" t="n"/>
    </row>
    <row r="29" ht="15.75" customHeight="1" s="673">
      <c r="A29" s="52" t="n"/>
      <c r="B29" s="160" t="n"/>
      <c r="C29" s="161" t="n"/>
      <c r="D29" s="97" t="n">
        <v>300000</v>
      </c>
      <c r="E29" s="96" t="n"/>
      <c r="F29" s="97">
        <f>IF(D29+E29=0," ",D29+E29)</f>
        <v/>
      </c>
      <c r="G29" s="162" t="n"/>
      <c r="H29" s="159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69" t="n"/>
      <c r="T29" s="69" t="n"/>
      <c r="U29" s="69" t="n"/>
      <c r="V29" s="69" t="n"/>
      <c r="W29" s="69" t="n"/>
      <c r="X29" s="69" t="n"/>
      <c r="Y29" s="69" t="n"/>
      <c r="Z29" s="69" t="n"/>
    </row>
    <row r="30" ht="15.75" customHeight="1" s="673">
      <c r="A30" s="52" t="n"/>
      <c r="B30" s="160" t="n"/>
      <c r="C30" s="161" t="n"/>
      <c r="D30" s="97" t="n"/>
      <c r="E30" s="96" t="n"/>
      <c r="F30" s="97">
        <f>IF(D30+E30=0," ",D30+E30)</f>
        <v/>
      </c>
      <c r="G30" s="162" t="n"/>
      <c r="H30" s="159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69" t="n"/>
      <c r="T30" s="69" t="n"/>
      <c r="U30" s="69" t="n"/>
      <c r="V30" s="69" t="n"/>
      <c r="W30" s="69" t="n"/>
      <c r="X30" s="69" t="n"/>
      <c r="Y30" s="69" t="n"/>
      <c r="Z30" s="69" t="n"/>
    </row>
    <row r="31" ht="15.75" customHeight="1" s="673">
      <c r="A31" s="52" t="n"/>
      <c r="B31" s="160" t="n"/>
      <c r="C31" s="161" t="n"/>
      <c r="D31" s="97" t="n"/>
      <c r="E31" s="96" t="n"/>
      <c r="F31" s="97">
        <f>IF(D31+E31=0," ",D31+E31)</f>
        <v/>
      </c>
      <c r="G31" s="162" t="n"/>
      <c r="H31" s="159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69" t="n"/>
      <c r="T31" s="69" t="n"/>
      <c r="U31" s="69" t="n"/>
      <c r="V31" s="69" t="n"/>
      <c r="W31" s="69" t="n"/>
      <c r="X31" s="69" t="n"/>
      <c r="Y31" s="69" t="n"/>
      <c r="Z31" s="69" t="n"/>
    </row>
    <row r="32" ht="15.75" customHeight="1" s="673">
      <c r="A32" s="52" t="n"/>
      <c r="B32" s="160" t="n"/>
      <c r="C32" s="161" t="n"/>
      <c r="D32" s="97" t="n"/>
      <c r="E32" s="96" t="n"/>
      <c r="F32" s="97">
        <f>IF(D32+E32=0," ",D32+E32)</f>
        <v/>
      </c>
      <c r="G32" s="162" t="n"/>
      <c r="H32" s="159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69" t="n"/>
      <c r="T32" s="69" t="n"/>
      <c r="U32" s="69" t="n"/>
      <c r="V32" s="69" t="n"/>
      <c r="W32" s="69" t="n"/>
      <c r="X32" s="69" t="n"/>
      <c r="Y32" s="69" t="n"/>
      <c r="Z32" s="69" t="n"/>
    </row>
    <row r="33" ht="15.75" customHeight="1" s="673">
      <c r="A33" s="52" t="n"/>
      <c r="B33" s="160" t="n"/>
      <c r="C33" s="161" t="n"/>
      <c r="D33" s="97" t="n"/>
      <c r="E33" s="96" t="n"/>
      <c r="F33" s="97">
        <f>IF(D33+E33=0," ",D33+E33)</f>
        <v/>
      </c>
      <c r="G33" s="162" t="n"/>
      <c r="H33" s="159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69" t="n"/>
      <c r="T33" s="69" t="n"/>
      <c r="U33" s="69" t="n"/>
      <c r="V33" s="69" t="n"/>
      <c r="W33" s="69" t="n"/>
      <c r="X33" s="69" t="n"/>
      <c r="Y33" s="69" t="n"/>
      <c r="Z33" s="69" t="n"/>
    </row>
    <row r="34" ht="15.75" customHeight="1" s="673">
      <c r="A34" s="52" t="n"/>
      <c r="B34" s="160" t="n"/>
      <c r="C34" s="161" t="n"/>
      <c r="D34" s="97" t="n"/>
      <c r="E34" s="96" t="n"/>
      <c r="F34" s="97">
        <f>IF(D34+E34=0," ",D34+E34)</f>
        <v/>
      </c>
      <c r="G34" s="162" t="n"/>
      <c r="H34" s="159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69" t="n"/>
      <c r="T34" s="69" t="n"/>
      <c r="U34" s="69" t="n"/>
      <c r="V34" s="69" t="n"/>
      <c r="W34" s="69" t="n"/>
      <c r="X34" s="69" t="n"/>
      <c r="Y34" s="69" t="n"/>
      <c r="Z34" s="69" t="n"/>
    </row>
    <row r="35" ht="15.75" customHeight="1" s="673">
      <c r="A35" s="52" t="n"/>
      <c r="B35" s="160" t="n"/>
      <c r="C35" s="161" t="n"/>
      <c r="D35" s="97" t="n"/>
      <c r="E35" s="96" t="n"/>
      <c r="F35" s="97">
        <f>IF(D35+E35=0," ",D35+E35)</f>
        <v/>
      </c>
      <c r="G35" s="162" t="n"/>
      <c r="H35" s="159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69" t="n"/>
      <c r="T35" s="69" t="n"/>
      <c r="U35" s="69" t="n"/>
      <c r="V35" s="69" t="n"/>
      <c r="W35" s="69" t="n"/>
      <c r="X35" s="69" t="n"/>
      <c r="Y35" s="69" t="n"/>
      <c r="Z35" s="69" t="n"/>
    </row>
    <row r="36" ht="15.75" customHeight="1" s="673">
      <c r="A36" s="52" t="n"/>
      <c r="B36" s="160" t="n"/>
      <c r="C36" s="161" t="n"/>
      <c r="D36" s="97" t="n"/>
      <c r="E36" s="96" t="n"/>
      <c r="F36" s="97">
        <f>IF(D36+E36=0," ",D36+E36)</f>
        <v/>
      </c>
      <c r="G36" s="162" t="n"/>
      <c r="H36" s="159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69" t="n"/>
      <c r="T36" s="69" t="n"/>
      <c r="U36" s="69" t="n"/>
      <c r="V36" s="69" t="n"/>
      <c r="W36" s="69" t="n"/>
      <c r="X36" s="69" t="n"/>
      <c r="Y36" s="69" t="n"/>
      <c r="Z36" s="69" t="n"/>
    </row>
    <row r="37" ht="15.75" customHeight="1" s="673">
      <c r="A37" s="52" t="n"/>
      <c r="B37" s="160" t="n"/>
      <c r="C37" s="161" t="n"/>
      <c r="D37" s="97" t="n"/>
      <c r="E37" s="96" t="n"/>
      <c r="F37" s="97">
        <f>IF(D37+E37=0," ",D37+E37)</f>
        <v/>
      </c>
      <c r="G37" s="162" t="n"/>
      <c r="H37" s="159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69" t="n"/>
      <c r="T37" s="69" t="n"/>
      <c r="U37" s="69" t="n"/>
      <c r="V37" s="69" t="n"/>
      <c r="W37" s="69" t="n"/>
      <c r="X37" s="69" t="n"/>
      <c r="Y37" s="69" t="n"/>
      <c r="Z37" s="69" t="n"/>
    </row>
    <row r="38" ht="15.75" customHeight="1" s="673">
      <c r="A38" s="52" t="n"/>
      <c r="B38" s="160" t="n"/>
      <c r="C38" s="161" t="n"/>
      <c r="D38" s="97" t="n"/>
      <c r="E38" s="96" t="n"/>
      <c r="F38" s="97">
        <f>IF(D38+E38=0," ",D38+E38)</f>
        <v/>
      </c>
      <c r="G38" s="162" t="n"/>
      <c r="H38" s="159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69" t="n"/>
      <c r="T38" s="69" t="n"/>
      <c r="U38" s="69" t="n"/>
      <c r="V38" s="69" t="n"/>
      <c r="W38" s="69" t="n"/>
      <c r="X38" s="69" t="n"/>
      <c r="Y38" s="69" t="n"/>
      <c r="Z38" s="69" t="n"/>
    </row>
    <row r="39" ht="15.75" customHeight="1" s="673">
      <c r="A39" s="52" t="n"/>
      <c r="B39" s="160" t="n"/>
      <c r="C39" s="161" t="n"/>
      <c r="D39" s="97" t="n"/>
      <c r="E39" s="96" t="n"/>
      <c r="F39" s="97">
        <f>IF(D39+E39=0," ",D39+E39)</f>
        <v/>
      </c>
      <c r="G39" s="162" t="n"/>
      <c r="H39" s="159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69" t="n"/>
      <c r="T39" s="69" t="n"/>
      <c r="U39" s="69" t="n"/>
      <c r="V39" s="69" t="n"/>
      <c r="W39" s="69" t="n"/>
      <c r="X39" s="69" t="n"/>
      <c r="Y39" s="69" t="n"/>
      <c r="Z39" s="69" t="n"/>
    </row>
    <row r="40" ht="15.75" customHeight="1" s="673">
      <c r="A40" s="52" t="n"/>
      <c r="B40" s="160" t="n"/>
      <c r="C40" s="161" t="n"/>
      <c r="D40" s="97" t="n"/>
      <c r="E40" s="96" t="n"/>
      <c r="F40" s="97">
        <f>IF(D40+E40=0," ",D40+E40)</f>
        <v/>
      </c>
      <c r="G40" s="162" t="n"/>
      <c r="H40" s="159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69" t="n"/>
      <c r="T40" s="69" t="n"/>
      <c r="U40" s="69" t="n"/>
      <c r="V40" s="69" t="n"/>
      <c r="W40" s="69" t="n"/>
      <c r="X40" s="69" t="n"/>
      <c r="Y40" s="69" t="n"/>
      <c r="Z40" s="69" t="n"/>
    </row>
    <row r="41" ht="15.75" customHeight="1" s="673">
      <c r="A41" s="52" t="n"/>
      <c r="B41" s="160" t="n"/>
      <c r="C41" s="161" t="n"/>
      <c r="D41" s="97" t="n"/>
      <c r="E41" s="96" t="n"/>
      <c r="F41" s="97">
        <f>IF(D41+E41=0," ",D41+E41)</f>
        <v/>
      </c>
      <c r="G41" s="162" t="n"/>
      <c r="H41" s="159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69" t="n"/>
      <c r="T41" s="69" t="n"/>
      <c r="U41" s="69" t="n"/>
      <c r="V41" s="69" t="n"/>
      <c r="W41" s="69" t="n"/>
      <c r="X41" s="69" t="n"/>
      <c r="Y41" s="69" t="n"/>
      <c r="Z41" s="69" t="n"/>
    </row>
    <row r="42" ht="15.75" customHeight="1" s="673">
      <c r="A42" s="52" t="n"/>
      <c r="B42" s="160" t="n"/>
      <c r="C42" s="161" t="n"/>
      <c r="D42" s="97" t="n"/>
      <c r="E42" s="96" t="n"/>
      <c r="F42" s="97">
        <f>IF(D42+E42=0," ",D42+E42)</f>
        <v/>
      </c>
      <c r="G42" s="162" t="n"/>
      <c r="H42" s="159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69" t="n"/>
      <c r="T42" s="69" t="n"/>
      <c r="U42" s="69" t="n"/>
      <c r="V42" s="69" t="n"/>
      <c r="W42" s="69" t="n"/>
      <c r="X42" s="69" t="n"/>
      <c r="Y42" s="69" t="n"/>
      <c r="Z42" s="69" t="n"/>
    </row>
    <row r="43" ht="15.75" customHeight="1" s="673">
      <c r="A43" s="52" t="n"/>
      <c r="B43" s="160" t="n"/>
      <c r="C43" s="161" t="n"/>
      <c r="D43" s="97" t="n"/>
      <c r="E43" s="96" t="n"/>
      <c r="F43" s="97">
        <f>IF(D43+E43=0," ",D43+E43)</f>
        <v/>
      </c>
      <c r="G43" s="162" t="n"/>
      <c r="H43" s="88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69" t="n"/>
      <c r="T43" s="69" t="n"/>
      <c r="U43" s="69" t="n"/>
      <c r="V43" s="69" t="n"/>
      <c r="W43" s="69" t="n"/>
      <c r="X43" s="69" t="n"/>
      <c r="Y43" s="69" t="n"/>
      <c r="Z43" s="69" t="n"/>
    </row>
    <row r="44" ht="15.75" customHeight="1" s="673">
      <c r="A44" s="52" t="n"/>
      <c r="B44" s="683" t="inlineStr">
        <is>
          <t>TOTAL DAS DESPESAS</t>
        </is>
      </c>
      <c r="C44" s="676" t="n"/>
      <c r="D44" s="165">
        <f>SUM(D16:D43)</f>
        <v/>
      </c>
      <c r="E44" s="96">
        <f>SUM(E16:E43)</f>
        <v/>
      </c>
      <c r="F44" s="165">
        <f>SUM(F16:F43)</f>
        <v/>
      </c>
      <c r="G44" s="166">
        <f>SUM(G16:G43)</f>
        <v/>
      </c>
      <c r="H44" s="88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69" t="n"/>
      <c r="T44" s="69" t="n"/>
      <c r="U44" s="69" t="n"/>
      <c r="V44" s="69" t="n"/>
      <c r="W44" s="69" t="n"/>
      <c r="X44" s="69" t="n"/>
      <c r="Y44" s="69" t="n"/>
      <c r="Z44" s="69" t="n"/>
    </row>
    <row r="45" ht="15.75" customHeight="1" s="673">
      <c r="A45" s="52" t="n"/>
      <c r="B45" s="167" t="n"/>
      <c r="C45" s="167" t="n"/>
      <c r="D45" s="167" t="n"/>
      <c r="E45" s="167" t="n"/>
      <c r="F45" s="167" t="n"/>
      <c r="G45" s="167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69" t="n"/>
      <c r="T45" s="69" t="n"/>
      <c r="U45" s="69" t="n"/>
      <c r="V45" s="69" t="n"/>
      <c r="W45" s="69" t="n"/>
      <c r="X45" s="69" t="n"/>
      <c r="Y45" s="69" t="n"/>
      <c r="Z45" s="69" t="n"/>
    </row>
    <row r="46" ht="15.75" customHeight="1" s="673">
      <c r="A46" s="52" t="n"/>
      <c r="B46" s="168" t="n"/>
      <c r="C46" s="168" t="n"/>
      <c r="D46" s="168" t="n"/>
      <c r="E46" s="168" t="n"/>
      <c r="F46" s="168" t="n"/>
      <c r="G46" s="168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69" t="n"/>
      <c r="T46" s="69" t="n"/>
      <c r="U46" s="69" t="n"/>
      <c r="V46" s="69" t="n"/>
      <c r="W46" s="69" t="n"/>
      <c r="X46" s="69" t="n"/>
      <c r="Y46" s="69" t="n"/>
      <c r="Z46" s="69" t="n"/>
    </row>
    <row r="47" ht="15.75" customHeight="1" s="673">
      <c r="A47" s="52" t="n"/>
      <c r="B47" s="124" t="inlineStr">
        <is>
          <t>AQUISIÇÃO DE IMOBILIZADO</t>
        </is>
      </c>
      <c r="C47" s="124" t="n"/>
      <c r="D47" s="92" t="inlineStr">
        <is>
          <t>PF OU PJ</t>
        </is>
      </c>
      <c r="E47" s="92" t="inlineStr">
        <is>
          <t xml:space="preserve">REALIZADO </t>
        </is>
      </c>
      <c r="F47" s="92" t="inlineStr">
        <is>
          <t>A REALIZAR</t>
        </is>
      </c>
      <c r="G47" s="92">
        <f>CONCAT("TOTAL ",$G$11)</f>
        <v/>
      </c>
      <c r="H47" s="88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69" t="n"/>
      <c r="T47" s="69" t="n"/>
      <c r="U47" s="69" t="n"/>
      <c r="V47" s="69" t="n"/>
      <c r="W47" s="69" t="n"/>
      <c r="X47" s="69" t="n"/>
      <c r="Y47" s="69" t="n"/>
      <c r="Z47" s="69" t="n"/>
    </row>
    <row r="48" ht="15.75" customHeight="1" s="673">
      <c r="A48" s="52" t="n"/>
      <c r="B48" s="160" t="n"/>
      <c r="C48" s="160" t="n"/>
      <c r="D48" s="169" t="n"/>
      <c r="E48" s="97" t="n"/>
      <c r="F48" s="96" t="n"/>
      <c r="G48" s="97">
        <f>IFERROR(E48+F48," ")</f>
        <v/>
      </c>
      <c r="H48" s="88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69" t="n"/>
      <c r="T48" s="69" t="n"/>
      <c r="U48" s="69" t="n"/>
      <c r="V48" s="69" t="n"/>
      <c r="W48" s="69" t="n"/>
      <c r="X48" s="69" t="n"/>
      <c r="Y48" s="69" t="n"/>
      <c r="Z48" s="69" t="n"/>
    </row>
    <row r="49" ht="15.75" customHeight="1" s="673">
      <c r="A49" s="52" t="n"/>
      <c r="B49" s="160" t="n"/>
      <c r="C49" s="160" t="n"/>
      <c r="D49" s="169" t="n"/>
      <c r="E49" s="97" t="n"/>
      <c r="F49" s="96" t="n"/>
      <c r="G49" s="97">
        <f>IFERROR(E49+F49," ")</f>
        <v/>
      </c>
      <c r="H49" s="88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69" t="n"/>
      <c r="T49" s="69" t="n"/>
      <c r="U49" s="69" t="n"/>
      <c r="V49" s="69" t="n"/>
      <c r="W49" s="69" t="n"/>
      <c r="X49" s="69" t="n"/>
      <c r="Y49" s="69" t="n"/>
      <c r="Z49" s="69" t="n"/>
    </row>
    <row r="50" ht="15.75" customHeight="1" s="673">
      <c r="A50" s="52" t="n"/>
      <c r="B50" s="160" t="n"/>
      <c r="C50" s="160" t="n"/>
      <c r="D50" s="169" t="n"/>
      <c r="E50" s="97" t="n"/>
      <c r="F50" s="96" t="n"/>
      <c r="G50" s="97">
        <f>IFERROR(E50+F50," ")</f>
        <v/>
      </c>
      <c r="H50" s="88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69" t="n"/>
      <c r="T50" s="69" t="n"/>
      <c r="U50" s="69" t="n"/>
      <c r="V50" s="69" t="n"/>
      <c r="W50" s="69" t="n"/>
      <c r="X50" s="69" t="n"/>
      <c r="Y50" s="69" t="n"/>
      <c r="Z50" s="69" t="n"/>
    </row>
    <row r="51" ht="15.75" customHeight="1" s="673">
      <c r="A51" s="52" t="n"/>
      <c r="B51" s="160" t="n"/>
      <c r="C51" s="160" t="n"/>
      <c r="D51" s="169" t="n"/>
      <c r="E51" s="97" t="n"/>
      <c r="F51" s="96" t="n"/>
      <c r="G51" s="97">
        <f>IFERROR(E51+F51," ")</f>
        <v/>
      </c>
      <c r="H51" s="88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69" t="n"/>
      <c r="T51" s="69" t="n"/>
      <c r="U51" s="69" t="n"/>
      <c r="V51" s="69" t="n"/>
      <c r="W51" s="69" t="n"/>
      <c r="X51" s="69" t="n"/>
      <c r="Y51" s="69" t="n"/>
      <c r="Z51" s="69" t="n"/>
    </row>
    <row r="52" ht="15.75" customHeight="1" s="673">
      <c r="A52" s="52" t="n"/>
      <c r="B52" s="160" t="n"/>
      <c r="C52" s="160" t="n"/>
      <c r="D52" s="169" t="n"/>
      <c r="E52" s="97" t="n"/>
      <c r="F52" s="96" t="n"/>
      <c r="G52" s="97">
        <f>IFERROR(E52+F52," ")</f>
        <v/>
      </c>
      <c r="H52" s="88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69" t="n"/>
      <c r="T52" s="69" t="n"/>
      <c r="U52" s="69" t="n"/>
      <c r="V52" s="69" t="n"/>
      <c r="W52" s="69" t="n"/>
      <c r="X52" s="69" t="n"/>
      <c r="Y52" s="69" t="n"/>
      <c r="Z52" s="69" t="n"/>
    </row>
    <row r="53" ht="15.75" customHeight="1" s="673">
      <c r="A53" s="83" t="n"/>
      <c r="B53" s="160" t="n"/>
      <c r="C53" s="160" t="n"/>
      <c r="D53" s="169" t="n"/>
      <c r="E53" s="97" t="n"/>
      <c r="F53" s="96" t="n"/>
      <c r="G53" s="97">
        <f>IFERROR(E53+F53," ")</f>
        <v/>
      </c>
      <c r="H53" s="159" t="n"/>
      <c r="I53" s="69" t="n"/>
      <c r="J53" s="69" t="n"/>
      <c r="K53" s="69" t="n"/>
      <c r="L53" s="69" t="n"/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  <c r="Z53" s="69" t="n"/>
    </row>
    <row r="54" ht="15.75" customHeight="1" s="673">
      <c r="A54" s="52" t="n"/>
      <c r="B54" s="160" t="n"/>
      <c r="C54" s="160" t="n"/>
      <c r="D54" s="169" t="n"/>
      <c r="E54" s="97" t="n"/>
      <c r="F54" s="96" t="n"/>
      <c r="G54" s="97">
        <f>IFERROR(E54+F54," ")</f>
        <v/>
      </c>
      <c r="H54" s="88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69" t="n"/>
      <c r="T54" s="69" t="n"/>
      <c r="U54" s="69" t="n"/>
      <c r="V54" s="69" t="n"/>
      <c r="W54" s="69" t="n"/>
      <c r="X54" s="69" t="n"/>
      <c r="Y54" s="69" t="n"/>
      <c r="Z54" s="69" t="n"/>
    </row>
    <row r="55" ht="15.75" customHeight="1" s="673">
      <c r="A55" s="83" t="n"/>
      <c r="B55" s="99" t="inlineStr">
        <is>
          <t>TOTAL INVESTIMENTOS</t>
        </is>
      </c>
      <c r="C55" s="678" t="n"/>
      <c r="D55" s="676" t="n"/>
      <c r="E55" s="165">
        <f>SUM(E48:E54)</f>
        <v/>
      </c>
      <c r="F55" s="96">
        <f>SUM(F48:F54)</f>
        <v/>
      </c>
      <c r="G55" s="171">
        <f>SUM(G48:G54)</f>
        <v/>
      </c>
      <c r="H55" s="88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69" t="n"/>
      <c r="T55" s="69" t="n"/>
      <c r="U55" s="69" t="n"/>
      <c r="V55" s="69" t="n"/>
      <c r="W55" s="69" t="n"/>
      <c r="X55" s="69" t="n"/>
      <c r="Y55" s="69" t="n"/>
      <c r="Z55" s="69" t="n"/>
    </row>
    <row r="56" ht="15.75" customHeight="1" s="673">
      <c r="A56" s="83" t="n"/>
      <c r="B56" s="84" t="n"/>
      <c r="C56" s="84" t="n"/>
      <c r="D56" s="84" t="n"/>
      <c r="E56" s="84" t="n"/>
      <c r="F56" s="84" t="n"/>
      <c r="G56" s="84" t="n"/>
      <c r="H56" s="88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69" t="n"/>
      <c r="T56" s="69" t="n"/>
      <c r="U56" s="69" t="n"/>
      <c r="V56" s="69" t="n"/>
      <c r="W56" s="69" t="n"/>
      <c r="X56" s="69" t="n"/>
      <c r="Y56" s="69" t="n"/>
      <c r="Z56" s="69" t="n"/>
    </row>
    <row r="57" ht="15.75" customHeight="1" s="673">
      <c r="A57" s="83" t="n"/>
      <c r="B57" s="101" t="n"/>
      <c r="C57" s="101" t="n"/>
      <c r="D57" s="101" t="n"/>
      <c r="E57" s="684">
        <f>"TOTAL AQUISIÇÃO " &amp; G11</f>
        <v/>
      </c>
      <c r="F57" s="676" t="n"/>
      <c r="G57" s="173" t="n"/>
      <c r="H57" s="88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69" t="n"/>
      <c r="T57" s="69" t="n"/>
      <c r="U57" s="69" t="n"/>
      <c r="V57" s="69" t="n"/>
      <c r="W57" s="69" t="n"/>
      <c r="X57" s="69" t="n"/>
      <c r="Y57" s="69" t="n"/>
      <c r="Z57" s="69" t="n"/>
    </row>
    <row r="58" ht="15.75" customHeight="1" s="673">
      <c r="A58" s="83" t="n"/>
      <c r="B58" s="101" t="n"/>
      <c r="C58" s="101" t="n"/>
      <c r="D58" s="111" t="inlineStr">
        <is>
          <t>TOTAL IMOBILIZADO PF</t>
        </is>
      </c>
      <c r="E58" s="104">
        <f>SUMIF(D48:D54,"PF",E48:E54)</f>
        <v/>
      </c>
      <c r="F58" s="104">
        <f>SUMIF(D48:D54,"PF",F48:F54)</f>
        <v/>
      </c>
      <c r="G58" s="104">
        <f>SUMIF(D48:D54,"PF",G48:G54)</f>
        <v/>
      </c>
      <c r="H58" s="88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69" t="n"/>
      <c r="T58" s="69" t="n"/>
      <c r="U58" s="69" t="n"/>
      <c r="V58" s="69" t="n"/>
      <c r="W58" s="69" t="n"/>
      <c r="X58" s="69" t="n"/>
      <c r="Y58" s="69" t="n"/>
      <c r="Z58" s="69" t="n"/>
    </row>
    <row r="59" ht="15.75" customHeight="1" s="673">
      <c r="A59" s="83" t="n"/>
      <c r="B59" s="101" t="n"/>
      <c r="C59" s="101" t="n"/>
      <c r="D59" s="111" t="inlineStr">
        <is>
          <t>TOTAL IMOBILIZADO PJ</t>
        </is>
      </c>
      <c r="E59" s="104">
        <f>SUMIF(D48:D54,"Pj",E48:E54)</f>
        <v/>
      </c>
      <c r="F59" s="104">
        <f>SUMIF(D48:D54,"Pj",F48:F54)</f>
        <v/>
      </c>
      <c r="G59" s="104">
        <f>SUMIF(D48:D54,"PJ",G48:G54)</f>
        <v/>
      </c>
      <c r="H59" s="88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69" t="n"/>
      <c r="T59" s="69" t="n"/>
      <c r="U59" s="69" t="n"/>
      <c r="V59" s="69" t="n"/>
      <c r="W59" s="69" t="n"/>
      <c r="X59" s="69" t="n"/>
      <c r="Y59" s="69" t="n"/>
      <c r="Z59" s="69" t="n"/>
    </row>
    <row r="60" ht="15.75" customHeight="1" s="673">
      <c r="A60" s="83" t="n"/>
      <c r="B60" s="101" t="n"/>
      <c r="C60" s="101" t="n"/>
      <c r="D60" s="89" t="n"/>
      <c r="E60" s="89" t="n"/>
      <c r="F60" s="89" t="n"/>
      <c r="G60" s="89" t="n"/>
      <c r="H60" s="88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69" t="n"/>
      <c r="T60" s="69" t="n"/>
      <c r="U60" s="69" t="n"/>
      <c r="V60" s="69" t="n"/>
      <c r="W60" s="69" t="n"/>
      <c r="X60" s="69" t="n"/>
      <c r="Y60" s="69" t="n"/>
      <c r="Z60" s="69" t="n"/>
    </row>
    <row r="61" ht="15.75" customHeight="1" s="673">
      <c r="A61" s="83" t="n"/>
      <c r="B61" s="174" t="inlineStr">
        <is>
          <t>TOTAL DESPESAS</t>
        </is>
      </c>
      <c r="C61" s="92" t="n"/>
      <c r="D61" s="92" t="n"/>
      <c r="E61" s="92" t="inlineStr">
        <is>
          <t>REALIZADO</t>
        </is>
      </c>
      <c r="F61" s="92" t="inlineStr">
        <is>
          <t>PROJETADO</t>
        </is>
      </c>
      <c r="G61" s="92">
        <f>CONCAT("TOTAL ",$G$11)</f>
        <v/>
      </c>
      <c r="H61" s="88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69" t="n"/>
      <c r="T61" s="69" t="n"/>
      <c r="U61" s="69" t="n"/>
      <c r="V61" s="69" t="n"/>
      <c r="W61" s="69" t="n"/>
      <c r="X61" s="69" t="n"/>
      <c r="Y61" s="69" t="n"/>
      <c r="Z61" s="69" t="n"/>
    </row>
    <row r="62" ht="15.75" customHeight="1" s="673">
      <c r="A62" s="83" t="n"/>
      <c r="B62" s="160" t="inlineStr">
        <is>
          <t>PF</t>
        </is>
      </c>
      <c r="C62" s="160" t="n"/>
      <c r="D62" s="160" t="n"/>
      <c r="E62" s="166">
        <f>E58+D44</f>
        <v/>
      </c>
      <c r="F62" s="97">
        <f>F58+E44</f>
        <v/>
      </c>
      <c r="G62" s="97">
        <f>E62+F62</f>
        <v/>
      </c>
      <c r="H62" s="88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69" t="n"/>
      <c r="T62" s="69" t="n"/>
      <c r="U62" s="69" t="n"/>
      <c r="V62" s="69" t="n"/>
      <c r="W62" s="69" t="n"/>
      <c r="X62" s="69" t="n"/>
      <c r="Y62" s="69" t="n"/>
      <c r="Z62" s="69" t="n"/>
    </row>
    <row r="63" ht="15.75" customHeight="1" s="673">
      <c r="A63" s="83" t="n"/>
      <c r="B63" s="160" t="inlineStr">
        <is>
          <t>PJ</t>
        </is>
      </c>
      <c r="C63" s="160" t="n"/>
      <c r="D63" s="160" t="n"/>
      <c r="E63" s="166">
        <f>E59</f>
        <v/>
      </c>
      <c r="F63" s="97">
        <f>F59</f>
        <v/>
      </c>
      <c r="G63" s="97">
        <f>E63+F63</f>
        <v/>
      </c>
      <c r="H63" s="88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69" t="n"/>
      <c r="T63" s="69" t="n"/>
      <c r="U63" s="69" t="n"/>
      <c r="V63" s="69" t="n"/>
      <c r="W63" s="69" t="n"/>
      <c r="X63" s="69" t="n"/>
      <c r="Y63" s="69" t="n"/>
      <c r="Z63" s="69" t="n"/>
    </row>
    <row r="64" ht="15.75" customHeight="1" s="673">
      <c r="A64" s="83" t="n"/>
      <c r="B64" s="89" t="n"/>
      <c r="C64" s="89" t="n"/>
      <c r="D64" s="126" t="inlineStr">
        <is>
          <t>TOTAL:</t>
        </is>
      </c>
      <c r="E64" s="127">
        <f>E62+E63</f>
        <v/>
      </c>
      <c r="F64" s="127">
        <f>F62+F63</f>
        <v/>
      </c>
      <c r="G64" s="127">
        <f>G62+G63</f>
        <v/>
      </c>
      <c r="H64" s="88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69" t="n"/>
      <c r="T64" s="69" t="n"/>
      <c r="U64" s="69" t="n"/>
      <c r="V64" s="69" t="n"/>
      <c r="W64" s="69" t="n"/>
      <c r="X64" s="69" t="n"/>
      <c r="Y64" s="69" t="n"/>
      <c r="Z64" s="69" t="n"/>
    </row>
    <row r="65" ht="15.75" customHeight="1" s="673">
      <c r="A65" s="69" t="n"/>
      <c r="B65" s="128" t="n"/>
      <c r="C65" s="128" t="n"/>
      <c r="D65" s="128" t="n"/>
      <c r="E65" s="128" t="n"/>
      <c r="F65" s="128" t="n"/>
      <c r="G65" s="128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69" t="n"/>
      <c r="T65" s="69" t="n"/>
      <c r="U65" s="69" t="n"/>
      <c r="V65" s="69" t="n"/>
      <c r="W65" s="69" t="n"/>
      <c r="X65" s="69" t="n"/>
      <c r="Y65" s="69" t="n"/>
      <c r="Z65" s="69" t="n"/>
    </row>
    <row r="66" ht="15.75" customHeight="1" s="673">
      <c r="A66" s="69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69" t="n"/>
      <c r="T66" s="69" t="n"/>
      <c r="U66" s="69" t="n"/>
      <c r="V66" s="69" t="n"/>
      <c r="W66" s="69" t="n"/>
      <c r="X66" s="69" t="n"/>
      <c r="Y66" s="69" t="n"/>
      <c r="Z66" s="69" t="n"/>
    </row>
    <row r="67" ht="15.75" customHeight="1" s="673">
      <c r="A67" s="69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69" t="n"/>
      <c r="T67" s="69" t="n"/>
      <c r="U67" s="69" t="n"/>
      <c r="V67" s="69" t="n"/>
      <c r="W67" s="69" t="n"/>
      <c r="X67" s="69" t="n"/>
      <c r="Y67" s="69" t="n"/>
      <c r="Z67" s="69" t="n"/>
    </row>
    <row r="68" ht="15.75" customHeight="1" s="673">
      <c r="A68" s="69" t="n"/>
      <c r="B68" s="75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69" t="n"/>
      <c r="T68" s="69" t="n"/>
      <c r="U68" s="69" t="n"/>
      <c r="V68" s="69" t="n"/>
      <c r="W68" s="69" t="n"/>
      <c r="X68" s="69" t="n"/>
      <c r="Y68" s="69" t="n"/>
      <c r="Z68" s="69" t="n"/>
    </row>
    <row r="69" ht="15.75" customHeight="1" s="673">
      <c r="A69" s="69" t="n"/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69" t="n"/>
      <c r="T69" s="69" t="n"/>
      <c r="U69" s="69" t="n"/>
      <c r="V69" s="69" t="n"/>
      <c r="W69" s="69" t="n"/>
      <c r="X69" s="69" t="n"/>
      <c r="Y69" s="69" t="n"/>
      <c r="Z69" s="69" t="n"/>
    </row>
    <row r="70" ht="15.75" customHeight="1" s="673">
      <c r="A70" s="69" t="n"/>
      <c r="B70" s="75" t="n"/>
      <c r="C70" s="75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69" t="n"/>
      <c r="T70" s="69" t="n"/>
      <c r="U70" s="69" t="n"/>
      <c r="V70" s="69" t="n"/>
      <c r="W70" s="69" t="n"/>
      <c r="X70" s="69" t="n"/>
      <c r="Y70" s="69" t="n"/>
      <c r="Z70" s="69" t="n"/>
    </row>
    <row r="71" ht="15.75" customHeight="1" s="673">
      <c r="A71" s="69" t="n"/>
      <c r="B71" s="75" t="n"/>
      <c r="C71" s="75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69" t="n"/>
      <c r="T71" s="69" t="n"/>
      <c r="U71" s="69" t="n"/>
      <c r="V71" s="69" t="n"/>
      <c r="W71" s="69" t="n"/>
      <c r="X71" s="69" t="n"/>
      <c r="Y71" s="69" t="n"/>
      <c r="Z71" s="69" t="n"/>
    </row>
    <row r="72" ht="15.75" customHeight="1" s="673">
      <c r="A72" s="69" t="n"/>
      <c r="B72" s="75" t="n"/>
      <c r="C72" s="75" t="n"/>
      <c r="D72" s="75" t="n"/>
      <c r="E72" s="75" t="n"/>
      <c r="F72" s="75" t="n"/>
      <c r="G72" s="75" t="n"/>
      <c r="H72" s="75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69" t="n"/>
      <c r="T72" s="69" t="n"/>
      <c r="U72" s="69" t="n"/>
      <c r="V72" s="69" t="n"/>
      <c r="W72" s="69" t="n"/>
      <c r="X72" s="69" t="n"/>
      <c r="Y72" s="69" t="n"/>
      <c r="Z72" s="69" t="n"/>
    </row>
    <row r="73" ht="15.75" customHeight="1" s="673">
      <c r="A73" s="69" t="n"/>
      <c r="B73" s="75" t="n"/>
      <c r="C73" s="75" t="n"/>
      <c r="D73" s="75" t="n"/>
      <c r="E73" s="75" t="n"/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69" t="n"/>
      <c r="T73" s="69" t="n"/>
      <c r="U73" s="69" t="n"/>
      <c r="V73" s="69" t="n"/>
      <c r="W73" s="69" t="n"/>
      <c r="X73" s="69" t="n"/>
      <c r="Y73" s="69" t="n"/>
      <c r="Z73" s="69" t="n"/>
    </row>
    <row r="74" ht="15.75" customHeight="1" s="673">
      <c r="A74" s="69" t="n"/>
      <c r="B74" s="75" t="n"/>
      <c r="C74" s="75" t="n"/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69" t="n"/>
      <c r="T74" s="69" t="n"/>
      <c r="U74" s="69" t="n"/>
      <c r="V74" s="69" t="n"/>
      <c r="W74" s="69" t="n"/>
      <c r="X74" s="69" t="n"/>
      <c r="Y74" s="69" t="n"/>
      <c r="Z74" s="69" t="n"/>
    </row>
    <row r="75" ht="15.75" customHeight="1" s="673">
      <c r="A75" s="69" t="n"/>
      <c r="B75" s="75" t="n"/>
      <c r="C75" s="75" t="n"/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69" t="n"/>
      <c r="T75" s="69" t="n"/>
      <c r="U75" s="69" t="n"/>
      <c r="V75" s="69" t="n"/>
      <c r="W75" s="69" t="n"/>
      <c r="X75" s="69" t="n"/>
      <c r="Y75" s="69" t="n"/>
      <c r="Z75" s="69" t="n"/>
    </row>
    <row r="76" ht="15.75" customHeight="1" s="673">
      <c r="A76" s="69" t="n"/>
      <c r="B76" s="75" t="n"/>
      <c r="C76" s="75" t="n"/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69" t="n"/>
      <c r="T76" s="69" t="n"/>
      <c r="U76" s="69" t="n"/>
      <c r="V76" s="69" t="n"/>
      <c r="W76" s="69" t="n"/>
      <c r="X76" s="69" t="n"/>
      <c r="Y76" s="69" t="n"/>
      <c r="Z76" s="69" t="n"/>
    </row>
    <row r="77" ht="15.75" customHeight="1" s="673">
      <c r="A77" s="69" t="n"/>
      <c r="B77" s="75" t="n"/>
      <c r="C77" s="75" t="n"/>
      <c r="D77" s="75" t="n"/>
      <c r="E77" s="75" t="n"/>
      <c r="F77" s="75" t="n"/>
      <c r="G77" s="75" t="n"/>
      <c r="H77" s="75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69" t="n"/>
      <c r="T77" s="69" t="n"/>
      <c r="U77" s="69" t="n"/>
      <c r="V77" s="69" t="n"/>
      <c r="W77" s="69" t="n"/>
      <c r="X77" s="69" t="n"/>
      <c r="Y77" s="69" t="n"/>
      <c r="Z77" s="69" t="n"/>
    </row>
    <row r="78" ht="15.75" customHeight="1" s="673">
      <c r="A78" s="69" t="n"/>
      <c r="B78" s="75" t="n"/>
      <c r="C78" s="75" t="n"/>
      <c r="D78" s="75" t="n"/>
      <c r="E78" s="75" t="n"/>
      <c r="F78" s="75" t="n"/>
      <c r="G78" s="75" t="n"/>
      <c r="H78" s="75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69" t="n"/>
      <c r="T78" s="69" t="n"/>
      <c r="U78" s="69" t="n"/>
      <c r="V78" s="69" t="n"/>
      <c r="W78" s="69" t="n"/>
      <c r="X78" s="69" t="n"/>
      <c r="Y78" s="69" t="n"/>
      <c r="Z78" s="69" t="n"/>
    </row>
    <row r="79" ht="15.75" customHeight="1" s="673">
      <c r="A79" s="69" t="n"/>
      <c r="B79" s="75" t="n"/>
      <c r="C79" s="75" t="n"/>
      <c r="D79" s="75" t="n"/>
      <c r="E79" s="75" t="n"/>
      <c r="F79" s="75" t="n"/>
      <c r="G79" s="75" t="n"/>
      <c r="H79" s="75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69" t="n"/>
      <c r="T79" s="69" t="n"/>
      <c r="U79" s="69" t="n"/>
      <c r="V79" s="69" t="n"/>
      <c r="W79" s="69" t="n"/>
      <c r="X79" s="69" t="n"/>
      <c r="Y79" s="69" t="n"/>
      <c r="Z79" s="69" t="n"/>
    </row>
    <row r="80" ht="15.75" customHeight="1" s="673">
      <c r="A80" s="69" t="n"/>
      <c r="B80" s="75" t="n"/>
      <c r="C80" s="75" t="n"/>
      <c r="D80" s="75" t="n"/>
      <c r="E80" s="75" t="n"/>
      <c r="F80" s="75" t="n"/>
      <c r="G80" s="75" t="n"/>
      <c r="H80" s="75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69" t="n"/>
      <c r="T80" s="69" t="n"/>
      <c r="U80" s="69" t="n"/>
      <c r="V80" s="69" t="n"/>
      <c r="W80" s="69" t="n"/>
      <c r="X80" s="69" t="n"/>
      <c r="Y80" s="69" t="n"/>
      <c r="Z80" s="69" t="n"/>
    </row>
    <row r="81" ht="15.75" customHeight="1" s="673">
      <c r="A81" s="69" t="n"/>
      <c r="B81" s="75" t="n"/>
      <c r="C81" s="75" t="n"/>
      <c r="D81" s="75" t="n"/>
      <c r="E81" s="75" t="n"/>
      <c r="F81" s="75" t="n"/>
      <c r="G81" s="75" t="n"/>
      <c r="H81" s="129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69" t="n"/>
      <c r="T81" s="69" t="n"/>
      <c r="U81" s="69" t="n"/>
      <c r="V81" s="69" t="n"/>
      <c r="W81" s="69" t="n"/>
      <c r="X81" s="69" t="n"/>
      <c r="Y81" s="69" t="n"/>
      <c r="Z81" s="69" t="n"/>
    </row>
    <row r="82" ht="15.75" customHeight="1" s="673">
      <c r="A82" s="69" t="n"/>
      <c r="B82" s="75" t="n"/>
      <c r="C82" s="75" t="n"/>
      <c r="D82" s="75" t="n"/>
      <c r="E82" s="75" t="n"/>
      <c r="F82" s="75" t="n"/>
      <c r="G82" s="75" t="n"/>
      <c r="H82" s="129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69" t="n"/>
      <c r="T82" s="69" t="n"/>
      <c r="U82" s="69" t="n"/>
      <c r="V82" s="69" t="n"/>
      <c r="W82" s="69" t="n"/>
      <c r="X82" s="69" t="n"/>
      <c r="Y82" s="69" t="n"/>
      <c r="Z82" s="69" t="n"/>
    </row>
    <row r="83" ht="15.75" customHeight="1" s="673">
      <c r="A83" s="69" t="n"/>
      <c r="B83" s="75" t="n"/>
      <c r="C83" s="75" t="n"/>
      <c r="D83" s="75" t="n"/>
      <c r="E83" s="75" t="n"/>
      <c r="F83" s="75" t="n"/>
      <c r="G83" s="75" t="n"/>
      <c r="H83" s="129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69" t="n"/>
      <c r="T83" s="69" t="n"/>
      <c r="U83" s="69" t="n"/>
      <c r="V83" s="69" t="n"/>
      <c r="W83" s="69" t="n"/>
      <c r="X83" s="69" t="n"/>
      <c r="Y83" s="69" t="n"/>
      <c r="Z83" s="69" t="n"/>
    </row>
    <row r="84" ht="15.75" customHeight="1" s="673">
      <c r="A84" s="69" t="n"/>
      <c r="B84" s="75" t="n"/>
      <c r="C84" s="75" t="n"/>
      <c r="D84" s="75" t="n"/>
      <c r="E84" s="75" t="n"/>
      <c r="F84" s="75" t="n"/>
      <c r="G84" s="75" t="n"/>
      <c r="H84" s="129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69" t="n"/>
      <c r="T84" s="69" t="n"/>
      <c r="U84" s="69" t="n"/>
      <c r="V84" s="69" t="n"/>
      <c r="W84" s="69" t="n"/>
      <c r="X84" s="69" t="n"/>
      <c r="Y84" s="69" t="n"/>
      <c r="Z84" s="69" t="n"/>
    </row>
    <row r="85" ht="15.75" customHeight="1" s="673">
      <c r="A85" s="69" t="n"/>
      <c r="B85" s="75" t="n"/>
      <c r="C85" s="75" t="n"/>
      <c r="D85" s="75" t="n"/>
      <c r="E85" s="75" t="n"/>
      <c r="F85" s="75" t="n"/>
      <c r="G85" s="75" t="n"/>
      <c r="H85" s="129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69" t="n"/>
      <c r="T85" s="69" t="n"/>
      <c r="U85" s="69" t="n"/>
      <c r="V85" s="69" t="n"/>
      <c r="W85" s="69" t="n"/>
      <c r="X85" s="69" t="n"/>
      <c r="Y85" s="69" t="n"/>
      <c r="Z85" s="69" t="n"/>
    </row>
    <row r="86" ht="15.75" customHeight="1" s="673">
      <c r="A86" s="69" t="n"/>
      <c r="B86" s="75" t="n"/>
      <c r="C86" s="75" t="n"/>
      <c r="D86" s="75" t="n"/>
      <c r="E86" s="75" t="n"/>
      <c r="F86" s="75" t="n"/>
      <c r="G86" s="75" t="n"/>
      <c r="H86" s="129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69" t="n"/>
      <c r="T86" s="69" t="n"/>
      <c r="U86" s="69" t="n"/>
      <c r="V86" s="69" t="n"/>
      <c r="W86" s="69" t="n"/>
      <c r="X86" s="69" t="n"/>
      <c r="Y86" s="69" t="n"/>
      <c r="Z86" s="69" t="n"/>
    </row>
    <row r="87" ht="15.75" customHeight="1" s="673">
      <c r="A87" s="69" t="n"/>
      <c r="B87" s="75" t="n"/>
      <c r="C87" s="75" t="n"/>
      <c r="D87" s="75" t="n"/>
      <c r="E87" s="75" t="n"/>
      <c r="F87" s="75" t="n"/>
      <c r="G87" s="75" t="n"/>
      <c r="H87" s="129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69" t="n"/>
      <c r="T87" s="69" t="n"/>
      <c r="U87" s="69" t="n"/>
      <c r="V87" s="69" t="n"/>
      <c r="W87" s="69" t="n"/>
      <c r="X87" s="69" t="n"/>
      <c r="Y87" s="69" t="n"/>
      <c r="Z87" s="69" t="n"/>
    </row>
    <row r="88" ht="15.75" customHeight="1" s="673">
      <c r="A88" s="69" t="n"/>
      <c r="B88" s="75" t="n"/>
      <c r="C88" s="75" t="n"/>
      <c r="D88" s="75" t="n"/>
      <c r="E88" s="75" t="n"/>
      <c r="F88" s="75" t="n"/>
      <c r="G88" s="75" t="n"/>
      <c r="H88" s="129" t="n"/>
      <c r="I88" s="75" t="n"/>
      <c r="J88" s="75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69" t="n"/>
      <c r="T88" s="69" t="n"/>
      <c r="U88" s="69" t="n"/>
      <c r="V88" s="69" t="n"/>
      <c r="W88" s="69" t="n"/>
      <c r="X88" s="69" t="n"/>
      <c r="Y88" s="69" t="n"/>
      <c r="Z88" s="69" t="n"/>
    </row>
    <row r="89" ht="15.75" customHeight="1" s="673">
      <c r="A89" s="69" t="n"/>
      <c r="B89" s="75" t="n"/>
      <c r="C89" s="75" t="n"/>
      <c r="D89" s="75" t="n"/>
      <c r="E89" s="75" t="n"/>
      <c r="F89" s="75" t="n"/>
      <c r="G89" s="75" t="n"/>
      <c r="H89" s="129" t="n"/>
      <c r="I89" s="75" t="n"/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69" t="n"/>
      <c r="T89" s="69" t="n"/>
      <c r="U89" s="69" t="n"/>
      <c r="V89" s="69" t="n"/>
      <c r="W89" s="69" t="n"/>
      <c r="X89" s="69" t="n"/>
      <c r="Y89" s="69" t="n"/>
      <c r="Z89" s="69" t="n"/>
    </row>
    <row r="90" ht="15.75" customHeight="1" s="673">
      <c r="A90" s="69" t="n"/>
      <c r="B90" s="75" t="n"/>
      <c r="C90" s="75" t="n"/>
      <c r="D90" s="75" t="n"/>
      <c r="E90" s="75" t="n"/>
      <c r="F90" s="75" t="n"/>
      <c r="G90" s="75" t="n"/>
      <c r="H90" s="129" t="n"/>
      <c r="I90" s="75" t="n"/>
      <c r="J90" s="75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69" t="n"/>
      <c r="T90" s="69" t="n"/>
      <c r="U90" s="69" t="n"/>
      <c r="V90" s="69" t="n"/>
      <c r="W90" s="69" t="n"/>
      <c r="X90" s="69" t="n"/>
      <c r="Y90" s="69" t="n"/>
      <c r="Z90" s="69" t="n"/>
    </row>
    <row r="91" ht="15.75" customHeight="1" s="673">
      <c r="A91" s="69" t="n"/>
      <c r="B91" s="75" t="n"/>
      <c r="C91" s="75" t="n"/>
      <c r="D91" s="75" t="n"/>
      <c r="E91" s="75" t="n"/>
      <c r="F91" s="75" t="n"/>
      <c r="G91" s="75" t="n"/>
      <c r="H91" s="129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69" t="n"/>
      <c r="T91" s="69" t="n"/>
      <c r="U91" s="69" t="n"/>
      <c r="V91" s="69" t="n"/>
      <c r="W91" s="69" t="n"/>
      <c r="X91" s="69" t="n"/>
      <c r="Y91" s="69" t="n"/>
      <c r="Z91" s="69" t="n"/>
    </row>
    <row r="92" ht="15.75" customHeight="1" s="673">
      <c r="A92" s="69" t="n"/>
      <c r="B92" s="75" t="n"/>
      <c r="C92" s="75" t="n"/>
      <c r="D92" s="75" t="n"/>
      <c r="E92" s="75" t="n"/>
      <c r="F92" s="75" t="n"/>
      <c r="G92" s="75" t="n"/>
      <c r="H92" s="129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69" t="n"/>
      <c r="T92" s="69" t="n"/>
      <c r="U92" s="69" t="n"/>
      <c r="V92" s="69" t="n"/>
      <c r="W92" s="69" t="n"/>
      <c r="X92" s="69" t="n"/>
      <c r="Y92" s="69" t="n"/>
      <c r="Z92" s="69" t="n"/>
    </row>
    <row r="93" ht="15.75" customHeight="1" s="673">
      <c r="A93" s="69" t="n"/>
      <c r="B93" s="75" t="n"/>
      <c r="C93" s="75" t="n"/>
      <c r="D93" s="75" t="n"/>
      <c r="E93" s="75" t="n"/>
      <c r="F93" s="75" t="n"/>
      <c r="G93" s="75" t="n"/>
      <c r="H93" s="130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</row>
    <row r="94" ht="15.75" customHeight="1" s="673">
      <c r="A94" s="69" t="n"/>
      <c r="B94" s="129" t="n"/>
      <c r="C94" s="129" t="n"/>
      <c r="D94" s="129" t="n"/>
      <c r="E94" s="129" t="n"/>
      <c r="F94" s="129" t="n"/>
      <c r="G94" s="129" t="n"/>
      <c r="H94" s="130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</row>
    <row r="95" ht="15.75" customHeight="1" s="673">
      <c r="A95" s="69" t="n"/>
      <c r="B95" s="129" t="n"/>
      <c r="C95" s="129" t="n"/>
      <c r="D95" s="129" t="n"/>
      <c r="E95" s="129" t="n"/>
      <c r="F95" s="129" t="n"/>
      <c r="G95" s="129" t="n"/>
      <c r="H95" s="130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</row>
    <row r="96" ht="15.75" customHeight="1" s="673">
      <c r="A96" s="69" t="n"/>
      <c r="B96" s="129" t="n"/>
      <c r="C96" s="129" t="n"/>
      <c r="D96" s="129" t="n"/>
      <c r="E96" s="129" t="n"/>
      <c r="F96" s="129" t="n"/>
      <c r="G96" s="129" t="n"/>
      <c r="H96" s="130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</row>
    <row r="97" ht="15.75" customHeight="1" s="673">
      <c r="A97" s="69" t="n"/>
      <c r="B97" s="129" t="n"/>
      <c r="C97" s="129" t="n"/>
      <c r="D97" s="129" t="n"/>
      <c r="E97" s="129" t="n"/>
      <c r="F97" s="129" t="n"/>
      <c r="G97" s="129" t="n"/>
      <c r="H97" s="130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</row>
    <row r="98" ht="15.75" customHeight="1" s="673">
      <c r="A98" s="69" t="n"/>
      <c r="B98" s="129" t="n"/>
      <c r="C98" s="129" t="n"/>
      <c r="D98" s="129" t="n"/>
      <c r="E98" s="129" t="n"/>
      <c r="F98" s="129" t="n"/>
      <c r="G98" s="129" t="n"/>
      <c r="H98" s="130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</row>
    <row r="99" ht="15.75" customHeight="1" s="673">
      <c r="A99" s="69" t="n"/>
      <c r="B99" s="129" t="n"/>
      <c r="C99" s="129" t="n"/>
      <c r="D99" s="129" t="n"/>
      <c r="E99" s="129" t="n"/>
      <c r="F99" s="129" t="n"/>
      <c r="G99" s="129" t="n"/>
      <c r="H99" s="130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</row>
    <row r="100" ht="15.75" customHeight="1" s="673">
      <c r="A100" s="69" t="n"/>
      <c r="B100" s="129" t="n"/>
      <c r="C100" s="129" t="n"/>
      <c r="D100" s="129" t="n"/>
      <c r="E100" s="129" t="n"/>
      <c r="F100" s="129" t="n"/>
      <c r="G100" s="129" t="n"/>
      <c r="H100" s="130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</row>
    <row r="101" ht="15.75" customHeight="1" s="673">
      <c r="A101" s="69" t="n"/>
      <c r="B101" s="129" t="n"/>
      <c r="C101" s="129" t="n"/>
      <c r="D101" s="129" t="n"/>
      <c r="E101" s="129" t="n"/>
      <c r="F101" s="129" t="n"/>
      <c r="G101" s="129" t="n"/>
      <c r="H101" s="130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</row>
    <row r="102" ht="15.75" customHeight="1" s="673">
      <c r="A102" s="69" t="n"/>
      <c r="B102" s="129" t="n"/>
      <c r="C102" s="129" t="n"/>
      <c r="D102" s="129" t="n"/>
      <c r="E102" s="129" t="n"/>
      <c r="F102" s="129" t="n"/>
      <c r="G102" s="129" t="n"/>
      <c r="H102" s="131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</row>
    <row r="103" ht="15.75" customHeight="1" s="673">
      <c r="A103" s="69" t="n"/>
      <c r="B103" s="129" t="n"/>
      <c r="C103" s="129" t="n"/>
      <c r="D103" s="129" t="n"/>
      <c r="E103" s="129" t="n"/>
      <c r="F103" s="129" t="n"/>
      <c r="G103" s="129" t="n"/>
      <c r="H103" s="131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69" t="n"/>
    </row>
    <row r="104" ht="15.75" customHeight="1" s="673">
      <c r="A104" s="69" t="n"/>
      <c r="B104" s="129" t="n"/>
      <c r="C104" s="129" t="n"/>
      <c r="D104" s="129" t="n"/>
      <c r="E104" s="129" t="n"/>
      <c r="F104" s="129" t="n"/>
      <c r="G104" s="129" t="n"/>
      <c r="H104" s="131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</row>
    <row r="105" ht="15.75" customHeight="1" s="673">
      <c r="A105" s="69" t="n"/>
      <c r="B105" s="129" t="n"/>
      <c r="C105" s="129" t="n"/>
      <c r="D105" s="129" t="n"/>
      <c r="E105" s="129" t="n"/>
      <c r="F105" s="129" t="n"/>
      <c r="G105" s="129" t="n"/>
      <c r="H105" s="131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</row>
    <row r="106" ht="15.75" customHeight="1" s="673">
      <c r="A106" s="69" t="n"/>
      <c r="B106" s="130" t="n"/>
      <c r="C106" s="130" t="n"/>
      <c r="D106" s="130" t="n"/>
      <c r="E106" s="130" t="n"/>
      <c r="F106" s="130" t="n"/>
      <c r="G106" s="130" t="n"/>
      <c r="H106" s="131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</row>
    <row r="107" ht="15.75" customHeight="1" s="673">
      <c r="A107" s="69" t="n"/>
      <c r="B107" s="130" t="n"/>
      <c r="C107" s="130" t="n"/>
      <c r="D107" s="130" t="n"/>
      <c r="E107" s="130" t="n"/>
      <c r="F107" s="130" t="n"/>
      <c r="G107" s="130" t="n"/>
      <c r="H107" s="131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  <c r="Z107" s="69" t="n"/>
    </row>
    <row r="108" ht="15.75" customHeight="1" s="673">
      <c r="A108" s="69" t="n"/>
      <c r="B108" s="130" t="n"/>
      <c r="C108" s="130" t="n"/>
      <c r="D108" s="130" t="n"/>
      <c r="E108" s="130" t="n"/>
      <c r="F108" s="130" t="n"/>
      <c r="G108" s="130" t="n"/>
      <c r="H108" s="131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</row>
    <row r="109" ht="15.75" customHeight="1" s="673">
      <c r="A109" s="69" t="n"/>
      <c r="B109" s="130" t="n"/>
      <c r="C109" s="130" t="n"/>
      <c r="D109" s="130" t="n"/>
      <c r="E109" s="130" t="n"/>
      <c r="F109" s="130" t="n"/>
      <c r="G109" s="130" t="n"/>
      <c r="H109" s="131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</row>
    <row r="110" ht="15.75" customHeight="1" s="673">
      <c r="A110" s="69" t="n"/>
      <c r="B110" s="130" t="n"/>
      <c r="C110" s="130" t="n"/>
      <c r="D110" s="130" t="n"/>
      <c r="E110" s="130" t="n"/>
      <c r="F110" s="130" t="n"/>
      <c r="G110" s="130" t="n"/>
      <c r="H110" s="131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</row>
    <row r="111" ht="15.75" customHeight="1" s="673">
      <c r="A111" s="69" t="n"/>
      <c r="B111" s="130" t="n"/>
      <c r="C111" s="130" t="n"/>
      <c r="D111" s="130" t="n"/>
      <c r="E111" s="130" t="n"/>
      <c r="F111" s="130" t="n"/>
      <c r="G111" s="130" t="n"/>
      <c r="H111" s="131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</row>
    <row r="112" ht="15.75" customHeight="1" s="673">
      <c r="A112" s="69" t="n"/>
      <c r="B112" s="130" t="n"/>
      <c r="C112" s="130" t="n"/>
      <c r="D112" s="130" t="n"/>
      <c r="E112" s="130" t="n"/>
      <c r="F112" s="130" t="n"/>
      <c r="G112" s="130" t="n"/>
      <c r="H112" s="131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</row>
    <row r="113" ht="15.75" customHeight="1" s="673">
      <c r="A113" s="69" t="n"/>
      <c r="B113" s="130" t="n"/>
      <c r="C113" s="130" t="n"/>
      <c r="D113" s="130" t="n"/>
      <c r="E113" s="130" t="n"/>
      <c r="F113" s="130" t="n"/>
      <c r="G113" s="130" t="n"/>
      <c r="H113" s="131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</row>
    <row r="114" ht="15.75" customHeight="1" s="673">
      <c r="A114" s="69" t="n"/>
      <c r="B114" s="130" t="n"/>
      <c r="C114" s="130" t="n"/>
      <c r="D114" s="130" t="n"/>
      <c r="E114" s="130" t="n"/>
      <c r="F114" s="130" t="n"/>
      <c r="G114" s="130" t="n"/>
      <c r="H114" s="131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</row>
    <row r="115" ht="15.75" customHeight="1" s="673">
      <c r="A115" s="69" t="n"/>
      <c r="B115" s="131" t="n"/>
      <c r="C115" s="131" t="n"/>
      <c r="D115" s="131" t="n"/>
      <c r="E115" s="131" t="n"/>
      <c r="F115" s="131" t="n"/>
      <c r="G115" s="131" t="n"/>
      <c r="H115" s="131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  <c r="Z115" s="69" t="n"/>
    </row>
    <row r="116" ht="15.75" customHeight="1" s="673">
      <c r="A116" s="69" t="n"/>
      <c r="B116" s="131" t="n"/>
      <c r="C116" s="131" t="n"/>
      <c r="D116" s="131" t="n"/>
      <c r="E116" s="131" t="n"/>
      <c r="F116" s="131" t="n"/>
      <c r="G116" s="131" t="n"/>
      <c r="H116" s="131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</row>
    <row r="117" ht="15.75" customHeight="1" s="673">
      <c r="A117" s="69" t="n"/>
      <c r="B117" s="131" t="n"/>
      <c r="C117" s="131" t="n"/>
      <c r="D117" s="131" t="n"/>
      <c r="E117" s="131" t="n"/>
      <c r="F117" s="131" t="n"/>
      <c r="G117" s="131" t="n"/>
      <c r="H117" s="131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</row>
    <row r="118" ht="15.75" customHeight="1" s="673">
      <c r="A118" s="69" t="n"/>
      <c r="B118" s="131" t="n"/>
      <c r="C118" s="131" t="n"/>
      <c r="D118" s="131" t="n"/>
      <c r="E118" s="131" t="n"/>
      <c r="F118" s="131" t="n"/>
      <c r="G118" s="131" t="n"/>
      <c r="H118" s="131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</row>
    <row r="119" ht="15.75" customHeight="1" s="673">
      <c r="A119" s="69" t="n"/>
      <c r="B119" s="131" t="n"/>
      <c r="C119" s="131" t="n"/>
      <c r="D119" s="131" t="n"/>
      <c r="E119" s="131" t="n"/>
      <c r="F119" s="131" t="n"/>
      <c r="G119" s="131" t="n"/>
      <c r="H119" s="131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</row>
    <row r="120" ht="15.75" customHeight="1" s="673">
      <c r="A120" s="69" t="n"/>
      <c r="B120" s="131" t="n"/>
      <c r="C120" s="131" t="n"/>
      <c r="D120" s="131" t="n"/>
      <c r="E120" s="131" t="n"/>
      <c r="F120" s="131" t="n"/>
      <c r="G120" s="131" t="n"/>
      <c r="H120" s="131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</row>
    <row r="121" ht="15.75" customHeight="1" s="673">
      <c r="A121" s="69" t="n"/>
      <c r="B121" s="131" t="n"/>
      <c r="C121" s="131" t="n"/>
      <c r="D121" s="131" t="n"/>
      <c r="E121" s="131" t="n"/>
      <c r="F121" s="131" t="n"/>
      <c r="G121" s="131" t="n"/>
      <c r="H121" s="131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</row>
    <row r="122" ht="15.75" customHeight="1" s="673">
      <c r="A122" s="69" t="n"/>
      <c r="B122" s="131" t="n"/>
      <c r="C122" s="131" t="n"/>
      <c r="D122" s="131" t="n"/>
      <c r="E122" s="131" t="n"/>
      <c r="F122" s="131" t="n"/>
      <c r="G122" s="131" t="n"/>
      <c r="H122" s="131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</row>
    <row r="123" ht="15.75" customHeight="1" s="673">
      <c r="A123" s="69" t="n"/>
      <c r="B123" s="131" t="n"/>
      <c r="C123" s="131" t="n"/>
      <c r="D123" s="131" t="n"/>
      <c r="E123" s="131" t="n"/>
      <c r="F123" s="131" t="n"/>
      <c r="G123" s="131" t="n"/>
      <c r="H123" s="131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</row>
    <row r="124" ht="15.75" customHeight="1" s="673">
      <c r="A124" s="69" t="n"/>
      <c r="B124" s="131" t="n"/>
      <c r="C124" s="131" t="n"/>
      <c r="D124" s="131" t="n"/>
      <c r="E124" s="131" t="n"/>
      <c r="F124" s="131" t="n"/>
      <c r="G124" s="131" t="n"/>
      <c r="H124" s="131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</row>
    <row r="125" ht="15.75" customHeight="1" s="673">
      <c r="A125" s="69" t="n"/>
      <c r="B125" s="131" t="n"/>
      <c r="C125" s="131" t="n"/>
      <c r="D125" s="131" t="n"/>
      <c r="E125" s="131" t="n"/>
      <c r="F125" s="131" t="n"/>
      <c r="G125" s="131" t="n"/>
      <c r="H125" s="131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</row>
    <row r="126" ht="15.75" customHeight="1" s="673">
      <c r="A126" s="69" t="n"/>
      <c r="B126" s="131" t="n"/>
      <c r="C126" s="131" t="n"/>
      <c r="D126" s="131" t="n"/>
      <c r="E126" s="131" t="n"/>
      <c r="F126" s="131" t="n"/>
      <c r="G126" s="131" t="n"/>
      <c r="H126" s="131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</row>
    <row r="127" ht="15.75" customHeight="1" s="673">
      <c r="A127" s="69" t="n"/>
      <c r="B127" s="131" t="n"/>
      <c r="C127" s="131" t="n"/>
      <c r="D127" s="131" t="n"/>
      <c r="E127" s="131" t="n"/>
      <c r="F127" s="131" t="n"/>
      <c r="G127" s="131" t="n"/>
      <c r="H127" s="131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</row>
    <row r="128" ht="15.75" customHeight="1" s="673">
      <c r="A128" s="69" t="n"/>
      <c r="B128" s="131" t="n"/>
      <c r="C128" s="131" t="n"/>
      <c r="D128" s="131" t="n"/>
      <c r="E128" s="131" t="n"/>
      <c r="F128" s="131" t="n"/>
      <c r="G128" s="131" t="n"/>
      <c r="H128" s="131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</row>
    <row r="129" ht="15.75" customHeight="1" s="673">
      <c r="A129" s="69" t="n"/>
      <c r="B129" s="131" t="n"/>
      <c r="C129" s="131" t="n"/>
      <c r="D129" s="131" t="n"/>
      <c r="E129" s="131" t="n"/>
      <c r="F129" s="131" t="n"/>
      <c r="G129" s="131" t="n"/>
      <c r="H129" s="131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</row>
    <row r="130" ht="15.75" customHeight="1" s="673">
      <c r="A130" s="69" t="n"/>
      <c r="B130" s="131" t="n"/>
      <c r="C130" s="131" t="n"/>
      <c r="D130" s="131" t="n"/>
      <c r="E130" s="131" t="n"/>
      <c r="F130" s="131" t="n"/>
      <c r="G130" s="131" t="n"/>
      <c r="H130" s="131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</row>
    <row r="131" ht="15.75" customHeight="1" s="673">
      <c r="A131" s="69" t="n"/>
      <c r="B131" s="131" t="n"/>
      <c r="C131" s="131" t="n"/>
      <c r="D131" s="131" t="n"/>
      <c r="E131" s="131" t="n"/>
      <c r="F131" s="131" t="n"/>
      <c r="G131" s="131" t="n"/>
      <c r="H131" s="131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</row>
    <row r="132" ht="15.75" customHeight="1" s="673">
      <c r="A132" s="69" t="n"/>
      <c r="B132" s="131" t="n"/>
      <c r="C132" s="131" t="n"/>
      <c r="D132" s="131" t="n"/>
      <c r="E132" s="131" t="n"/>
      <c r="F132" s="131" t="n"/>
      <c r="G132" s="131" t="n"/>
      <c r="H132" s="131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</row>
    <row r="133" ht="15.75" customHeight="1" s="673">
      <c r="A133" s="69" t="n"/>
      <c r="B133" s="131" t="n"/>
      <c r="C133" s="131" t="n"/>
      <c r="D133" s="131" t="n"/>
      <c r="E133" s="131" t="n"/>
      <c r="F133" s="131" t="n"/>
      <c r="G133" s="131" t="n"/>
      <c r="H133" s="131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</row>
    <row r="134" ht="15.75" customHeight="1" s="673">
      <c r="A134" s="69" t="n"/>
      <c r="B134" s="131" t="n"/>
      <c r="C134" s="131" t="n"/>
      <c r="D134" s="131" t="n"/>
      <c r="E134" s="131" t="n"/>
      <c r="F134" s="131" t="n"/>
      <c r="G134" s="131" t="n"/>
      <c r="H134" s="131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</row>
    <row r="135" ht="15.75" customHeight="1" s="673">
      <c r="A135" s="69" t="n"/>
      <c r="B135" s="131" t="n"/>
      <c r="C135" s="131" t="n"/>
      <c r="D135" s="131" t="n"/>
      <c r="E135" s="131" t="n"/>
      <c r="F135" s="131" t="n"/>
      <c r="G135" s="131" t="n"/>
      <c r="H135" s="131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  <c r="Z135" s="69" t="n"/>
    </row>
    <row r="136" ht="15.75" customHeight="1" s="673">
      <c r="A136" s="69" t="n"/>
      <c r="B136" s="131" t="n"/>
      <c r="C136" s="131" t="n"/>
      <c r="D136" s="131" t="n"/>
      <c r="E136" s="131" t="n"/>
      <c r="F136" s="131" t="n"/>
      <c r="G136" s="131" t="n"/>
      <c r="H136" s="131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</row>
    <row r="137" ht="15.75" customHeight="1" s="673">
      <c r="A137" s="69" t="n"/>
      <c r="B137" s="131" t="n"/>
      <c r="C137" s="131" t="n"/>
      <c r="D137" s="131" t="n"/>
      <c r="E137" s="131" t="n"/>
      <c r="F137" s="131" t="n"/>
      <c r="G137" s="131" t="n"/>
      <c r="H137" s="131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</row>
    <row r="138" ht="15.75" customHeight="1" s="673">
      <c r="A138" s="69" t="n"/>
      <c r="B138" s="131" t="n"/>
      <c r="C138" s="131" t="n"/>
      <c r="D138" s="131" t="n"/>
      <c r="E138" s="131" t="n"/>
      <c r="F138" s="131" t="n"/>
      <c r="G138" s="131" t="n"/>
      <c r="H138" s="131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</row>
    <row r="139" ht="15.75" customHeight="1" s="673">
      <c r="A139" s="69" t="n"/>
      <c r="B139" s="131" t="n"/>
      <c r="C139" s="131" t="n"/>
      <c r="D139" s="131" t="n"/>
      <c r="E139" s="131" t="n"/>
      <c r="F139" s="131" t="n"/>
      <c r="G139" s="131" t="n"/>
      <c r="H139" s="131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</row>
    <row r="140" ht="15.75" customHeight="1" s="673">
      <c r="A140" s="69" t="n"/>
      <c r="B140" s="131" t="n"/>
      <c r="C140" s="131" t="n"/>
      <c r="D140" s="131" t="n"/>
      <c r="E140" s="131" t="n"/>
      <c r="F140" s="131" t="n"/>
      <c r="G140" s="131" t="n"/>
      <c r="H140" s="131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</row>
    <row r="141" ht="15.75" customHeight="1" s="673">
      <c r="A141" s="69" t="n"/>
      <c r="B141" s="131" t="n"/>
      <c r="C141" s="131" t="n"/>
      <c r="D141" s="131" t="n"/>
      <c r="E141" s="131" t="n"/>
      <c r="F141" s="131" t="n"/>
      <c r="G141" s="131" t="n"/>
      <c r="H141" s="131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</row>
    <row r="142" ht="15.75" customHeight="1" s="673">
      <c r="A142" s="69" t="n"/>
      <c r="B142" s="131" t="n"/>
      <c r="C142" s="131" t="n"/>
      <c r="D142" s="131" t="n"/>
      <c r="E142" s="131" t="n"/>
      <c r="F142" s="131" t="n"/>
      <c r="G142" s="131" t="n"/>
      <c r="H142" s="131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</row>
    <row r="143" ht="15.75" customHeight="1" s="673">
      <c r="A143" s="69" t="n"/>
      <c r="B143" s="131" t="n"/>
      <c r="C143" s="131" t="n"/>
      <c r="D143" s="131" t="n"/>
      <c r="E143" s="131" t="n"/>
      <c r="F143" s="131" t="n"/>
      <c r="G143" s="131" t="n"/>
      <c r="H143" s="131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</row>
    <row r="144" ht="15.75" customHeight="1" s="673">
      <c r="A144" s="69" t="n"/>
      <c r="B144" s="131" t="n"/>
      <c r="C144" s="131" t="n"/>
      <c r="D144" s="131" t="n"/>
      <c r="E144" s="131" t="n"/>
      <c r="F144" s="131" t="n"/>
      <c r="G144" s="131" t="n"/>
      <c r="H144" s="131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</row>
    <row r="145" ht="15.75" customHeight="1" s="673">
      <c r="A145" s="69" t="n"/>
      <c r="B145" s="131" t="n"/>
      <c r="C145" s="131" t="n"/>
      <c r="D145" s="131" t="n"/>
      <c r="E145" s="131" t="n"/>
      <c r="F145" s="131" t="n"/>
      <c r="G145" s="131" t="n"/>
      <c r="H145" s="131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</row>
    <row r="146" ht="15.75" customHeight="1" s="673">
      <c r="A146" s="69" t="n"/>
      <c r="B146" s="131" t="n"/>
      <c r="C146" s="131" t="n"/>
      <c r="D146" s="131" t="n"/>
      <c r="E146" s="131" t="n"/>
      <c r="F146" s="131" t="n"/>
      <c r="G146" s="131" t="n"/>
      <c r="H146" s="131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</row>
    <row r="147" ht="15.75" customHeight="1" s="673">
      <c r="A147" s="69" t="n"/>
      <c r="B147" s="131" t="n"/>
      <c r="C147" s="131" t="n"/>
      <c r="D147" s="131" t="n"/>
      <c r="E147" s="131" t="n"/>
      <c r="F147" s="131" t="n"/>
      <c r="G147" s="131" t="n"/>
      <c r="H147" s="131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</row>
    <row r="148" ht="15.75" customHeight="1" s="673">
      <c r="A148" s="69" t="n"/>
      <c r="B148" s="131" t="n"/>
      <c r="C148" s="131" t="n"/>
      <c r="D148" s="131" t="n"/>
      <c r="E148" s="131" t="n"/>
      <c r="F148" s="131" t="n"/>
      <c r="G148" s="131" t="n"/>
      <c r="H148" s="131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</row>
    <row r="149" ht="15.75" customHeight="1" s="673">
      <c r="A149" s="69" t="n"/>
      <c r="B149" s="131" t="n"/>
      <c r="C149" s="131" t="n"/>
      <c r="D149" s="131" t="n"/>
      <c r="E149" s="131" t="n"/>
      <c r="F149" s="131" t="n"/>
      <c r="G149" s="131" t="n"/>
      <c r="H149" s="131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</row>
    <row r="150" ht="15.75" customHeight="1" s="673">
      <c r="A150" s="69" t="n"/>
      <c r="B150" s="131" t="n"/>
      <c r="C150" s="131" t="n"/>
      <c r="D150" s="131" t="n"/>
      <c r="E150" s="131" t="n"/>
      <c r="F150" s="131" t="n"/>
      <c r="G150" s="131" t="n"/>
      <c r="H150" s="131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</row>
    <row r="151" ht="15.75" customHeight="1" s="673">
      <c r="A151" s="69" t="n"/>
      <c r="B151" s="131" t="n"/>
      <c r="C151" s="131" t="n"/>
      <c r="D151" s="131" t="n"/>
      <c r="E151" s="131" t="n"/>
      <c r="F151" s="131" t="n"/>
      <c r="G151" s="131" t="n"/>
      <c r="H151" s="131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</row>
    <row r="152" ht="15.75" customHeight="1" s="673">
      <c r="A152" s="69" t="n"/>
      <c r="B152" s="131" t="n"/>
      <c r="C152" s="131" t="n"/>
      <c r="D152" s="131" t="n"/>
      <c r="E152" s="131" t="n"/>
      <c r="F152" s="131" t="n"/>
      <c r="G152" s="131" t="n"/>
      <c r="H152" s="131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</row>
    <row r="153" ht="15.75" customHeight="1" s="673">
      <c r="A153" s="69" t="n"/>
      <c r="B153" s="131" t="n"/>
      <c r="C153" s="131" t="n"/>
      <c r="D153" s="131" t="n"/>
      <c r="E153" s="131" t="n"/>
      <c r="F153" s="131" t="n"/>
      <c r="G153" s="131" t="n"/>
      <c r="H153" s="131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</row>
    <row r="154" ht="15.75" customHeight="1" s="673">
      <c r="A154" s="69" t="n"/>
      <c r="B154" s="131" t="n"/>
      <c r="C154" s="131" t="n"/>
      <c r="D154" s="131" t="n"/>
      <c r="E154" s="131" t="n"/>
      <c r="F154" s="131" t="n"/>
      <c r="G154" s="131" t="n"/>
      <c r="H154" s="131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</row>
    <row r="155" ht="15.75" customHeight="1" s="673">
      <c r="A155" s="69" t="n"/>
      <c r="B155" s="131" t="n"/>
      <c r="C155" s="131" t="n"/>
      <c r="D155" s="131" t="n"/>
      <c r="E155" s="131" t="n"/>
      <c r="F155" s="131" t="n"/>
      <c r="G155" s="131" t="n"/>
      <c r="H155" s="131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</row>
    <row r="156" ht="15.75" customHeight="1" s="673">
      <c r="A156" s="69" t="n"/>
      <c r="B156" s="131" t="n"/>
      <c r="C156" s="131" t="n"/>
      <c r="D156" s="131" t="n"/>
      <c r="E156" s="131" t="n"/>
      <c r="F156" s="131" t="n"/>
      <c r="G156" s="131" t="n"/>
      <c r="H156" s="131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</row>
    <row r="157" ht="15.75" customHeight="1" s="673">
      <c r="A157" s="69" t="n"/>
      <c r="B157" s="131" t="n"/>
      <c r="C157" s="131" t="n"/>
      <c r="D157" s="131" t="n"/>
      <c r="E157" s="131" t="n"/>
      <c r="F157" s="131" t="n"/>
      <c r="G157" s="131" t="n"/>
      <c r="H157" s="131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</row>
    <row r="158" ht="15.75" customHeight="1" s="673">
      <c r="A158" s="69" t="n"/>
      <c r="B158" s="131" t="n"/>
      <c r="C158" s="131" t="n"/>
      <c r="D158" s="131" t="n"/>
      <c r="E158" s="131" t="n"/>
      <c r="F158" s="131" t="n"/>
      <c r="G158" s="131" t="n"/>
      <c r="H158" s="131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</row>
    <row r="159" ht="15.75" customHeight="1" s="673">
      <c r="A159" s="69" t="n"/>
      <c r="B159" s="131" t="n"/>
      <c r="C159" s="131" t="n"/>
      <c r="D159" s="131" t="n"/>
      <c r="E159" s="131" t="n"/>
      <c r="F159" s="131" t="n"/>
      <c r="G159" s="131" t="n"/>
      <c r="H159" s="131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</row>
    <row r="160" ht="15.75" customHeight="1" s="673">
      <c r="A160" s="69" t="n"/>
      <c r="B160" s="131" t="n"/>
      <c r="C160" s="131" t="n"/>
      <c r="D160" s="131" t="n"/>
      <c r="E160" s="131" t="n"/>
      <c r="F160" s="131" t="n"/>
      <c r="G160" s="131" t="n"/>
      <c r="H160" s="131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</row>
    <row r="161" ht="15.75" customHeight="1" s="673">
      <c r="A161" s="69" t="n"/>
      <c r="B161" s="131" t="n"/>
      <c r="C161" s="131" t="n"/>
      <c r="D161" s="131" t="n"/>
      <c r="E161" s="131" t="n"/>
      <c r="F161" s="131" t="n"/>
      <c r="G161" s="131" t="n"/>
      <c r="H161" s="131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</row>
    <row r="162" ht="15.75" customHeight="1" s="673">
      <c r="A162" s="69" t="n"/>
      <c r="B162" s="131" t="n"/>
      <c r="C162" s="131" t="n"/>
      <c r="D162" s="131" t="n"/>
      <c r="E162" s="131" t="n"/>
      <c r="F162" s="131" t="n"/>
      <c r="G162" s="131" t="n"/>
      <c r="H162" s="131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</row>
    <row r="163" ht="15.75" customHeight="1" s="673">
      <c r="A163" s="69" t="n"/>
      <c r="B163" s="131" t="n"/>
      <c r="C163" s="131" t="n"/>
      <c r="D163" s="131" t="n"/>
      <c r="E163" s="131" t="n"/>
      <c r="F163" s="131" t="n"/>
      <c r="G163" s="131" t="n"/>
      <c r="H163" s="131" t="n"/>
      <c r="I163" s="69" t="n"/>
      <c r="J163" s="69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</row>
    <row r="164" ht="15.75" customHeight="1" s="673">
      <c r="A164" s="69" t="n"/>
      <c r="B164" s="131" t="n"/>
      <c r="C164" s="131" t="n"/>
      <c r="D164" s="131" t="n"/>
      <c r="E164" s="131" t="n"/>
      <c r="F164" s="131" t="n"/>
      <c r="G164" s="131" t="n"/>
      <c r="H164" s="131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</row>
    <row r="165" ht="15.75" customHeight="1" s="673">
      <c r="A165" s="69" t="n"/>
      <c r="B165" s="131" t="n"/>
      <c r="C165" s="131" t="n"/>
      <c r="D165" s="131" t="n"/>
      <c r="E165" s="131" t="n"/>
      <c r="F165" s="131" t="n"/>
      <c r="G165" s="131" t="n"/>
      <c r="H165" s="131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  <c r="Z165" s="69" t="n"/>
    </row>
    <row r="166" ht="15.75" customHeight="1" s="673">
      <c r="A166" s="69" t="n"/>
      <c r="B166" s="131" t="n"/>
      <c r="C166" s="131" t="n"/>
      <c r="D166" s="131" t="n"/>
      <c r="E166" s="131" t="n"/>
      <c r="F166" s="131" t="n"/>
      <c r="G166" s="131" t="n"/>
      <c r="H166" s="131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</row>
    <row r="167" ht="15.75" customHeight="1" s="673">
      <c r="A167" s="69" t="n"/>
      <c r="B167" s="131" t="n"/>
      <c r="C167" s="131" t="n"/>
      <c r="D167" s="131" t="n"/>
      <c r="E167" s="131" t="n"/>
      <c r="F167" s="131" t="n"/>
      <c r="G167" s="131" t="n"/>
      <c r="H167" s="131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</row>
    <row r="168" ht="15.75" customHeight="1" s="673">
      <c r="A168" s="69" t="n"/>
      <c r="B168" s="131" t="n"/>
      <c r="C168" s="131" t="n"/>
      <c r="D168" s="131" t="n"/>
      <c r="E168" s="131" t="n"/>
      <c r="F168" s="131" t="n"/>
      <c r="G168" s="131" t="n"/>
      <c r="H168" s="131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</row>
    <row r="169" ht="15.75" customHeight="1" s="673">
      <c r="A169" s="69" t="n"/>
      <c r="B169" s="131" t="n"/>
      <c r="C169" s="131" t="n"/>
      <c r="D169" s="131" t="n"/>
      <c r="E169" s="131" t="n"/>
      <c r="F169" s="131" t="n"/>
      <c r="G169" s="131" t="n"/>
      <c r="H169" s="131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</row>
    <row r="170" ht="15.75" customHeight="1" s="673">
      <c r="A170" s="69" t="n"/>
      <c r="B170" s="131" t="n"/>
      <c r="C170" s="131" t="n"/>
      <c r="D170" s="131" t="n"/>
      <c r="E170" s="131" t="n"/>
      <c r="F170" s="131" t="n"/>
      <c r="G170" s="131" t="n"/>
      <c r="H170" s="131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</row>
    <row r="171" ht="15.75" customHeight="1" s="673">
      <c r="A171" s="69" t="n"/>
      <c r="B171" s="131" t="n"/>
      <c r="C171" s="131" t="n"/>
      <c r="D171" s="131" t="n"/>
      <c r="E171" s="131" t="n"/>
      <c r="F171" s="131" t="n"/>
      <c r="G171" s="131" t="n"/>
      <c r="H171" s="131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</row>
    <row r="172" ht="15.75" customHeight="1" s="673">
      <c r="A172" s="69" t="n"/>
      <c r="B172" s="131" t="n"/>
      <c r="C172" s="131" t="n"/>
      <c r="D172" s="131" t="n"/>
      <c r="E172" s="131" t="n"/>
      <c r="F172" s="131" t="n"/>
      <c r="G172" s="131" t="n"/>
      <c r="H172" s="131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</row>
    <row r="173" ht="15.75" customHeight="1" s="673">
      <c r="A173" s="69" t="n"/>
      <c r="B173" s="131" t="n"/>
      <c r="C173" s="131" t="n"/>
      <c r="D173" s="131" t="n"/>
      <c r="E173" s="131" t="n"/>
      <c r="F173" s="131" t="n"/>
      <c r="G173" s="131" t="n"/>
      <c r="H173" s="131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</row>
    <row r="174" ht="15.75" customHeight="1" s="673">
      <c r="A174" s="69" t="n"/>
      <c r="B174" s="131" t="n"/>
      <c r="C174" s="131" t="n"/>
      <c r="D174" s="131" t="n"/>
      <c r="E174" s="131" t="n"/>
      <c r="F174" s="131" t="n"/>
      <c r="G174" s="131" t="n"/>
      <c r="H174" s="131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</row>
    <row r="175" ht="15.75" customHeight="1" s="673">
      <c r="A175" s="69" t="n"/>
      <c r="B175" s="131" t="n"/>
      <c r="C175" s="131" t="n"/>
      <c r="D175" s="131" t="n"/>
      <c r="E175" s="131" t="n"/>
      <c r="F175" s="131" t="n"/>
      <c r="G175" s="131" t="n"/>
      <c r="H175" s="131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</row>
    <row r="176" ht="15.75" customHeight="1" s="673">
      <c r="A176" s="69" t="n"/>
      <c r="B176" s="131" t="n"/>
      <c r="C176" s="131" t="n"/>
      <c r="D176" s="131" t="n"/>
      <c r="E176" s="131" t="n"/>
      <c r="F176" s="131" t="n"/>
      <c r="G176" s="131" t="n"/>
      <c r="H176" s="131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</row>
    <row r="177" ht="15.75" customHeight="1" s="673">
      <c r="A177" s="69" t="n"/>
      <c r="B177" s="131" t="n"/>
      <c r="C177" s="131" t="n"/>
      <c r="D177" s="131" t="n"/>
      <c r="E177" s="131" t="n"/>
      <c r="F177" s="131" t="n"/>
      <c r="G177" s="131" t="n"/>
      <c r="H177" s="131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</row>
    <row r="178" ht="15.75" customHeight="1" s="673">
      <c r="A178" s="69" t="n"/>
      <c r="B178" s="131" t="n"/>
      <c r="C178" s="131" t="n"/>
      <c r="D178" s="131" t="n"/>
      <c r="E178" s="131" t="n"/>
      <c r="F178" s="131" t="n"/>
      <c r="G178" s="131" t="n"/>
      <c r="H178" s="131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</row>
    <row r="179" ht="15.75" customHeight="1" s="673">
      <c r="A179" s="69" t="n"/>
      <c r="B179" s="131" t="n"/>
      <c r="C179" s="131" t="n"/>
      <c r="D179" s="131" t="n"/>
      <c r="E179" s="131" t="n"/>
      <c r="F179" s="131" t="n"/>
      <c r="G179" s="131" t="n"/>
      <c r="H179" s="131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</row>
    <row r="180" ht="15.75" customHeight="1" s="673">
      <c r="A180" s="69" t="n"/>
      <c r="B180" s="131" t="n"/>
      <c r="C180" s="131" t="n"/>
      <c r="D180" s="131" t="n"/>
      <c r="E180" s="131" t="n"/>
      <c r="F180" s="131" t="n"/>
      <c r="G180" s="131" t="n"/>
      <c r="H180" s="131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</row>
    <row r="181" ht="15.75" customHeight="1" s="673">
      <c r="A181" s="69" t="n"/>
      <c r="B181" s="131" t="n"/>
      <c r="C181" s="131" t="n"/>
      <c r="D181" s="131" t="n"/>
      <c r="E181" s="131" t="n"/>
      <c r="F181" s="131" t="n"/>
      <c r="G181" s="131" t="n"/>
      <c r="H181" s="131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</row>
    <row r="182" ht="15.75" customHeight="1" s="673">
      <c r="A182" s="69" t="n"/>
      <c r="B182" s="131" t="n"/>
      <c r="C182" s="131" t="n"/>
      <c r="D182" s="131" t="n"/>
      <c r="E182" s="131" t="n"/>
      <c r="F182" s="131" t="n"/>
      <c r="G182" s="131" t="n"/>
      <c r="H182" s="131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</row>
    <row r="183" ht="15.75" customHeight="1" s="673">
      <c r="A183" s="69" t="n"/>
      <c r="B183" s="131" t="n"/>
      <c r="C183" s="131" t="n"/>
      <c r="D183" s="131" t="n"/>
      <c r="E183" s="131" t="n"/>
      <c r="F183" s="131" t="n"/>
      <c r="G183" s="131" t="n"/>
      <c r="H183" s="131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</row>
    <row r="184" ht="15.75" customHeight="1" s="673">
      <c r="A184" s="69" t="n"/>
      <c r="B184" s="131" t="n"/>
      <c r="C184" s="131" t="n"/>
      <c r="D184" s="131" t="n"/>
      <c r="E184" s="131" t="n"/>
      <c r="F184" s="131" t="n"/>
      <c r="G184" s="131" t="n"/>
      <c r="H184" s="131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</row>
    <row r="185" ht="15.75" customHeight="1" s="673">
      <c r="A185" s="69" t="n"/>
      <c r="B185" s="131" t="n"/>
      <c r="C185" s="131" t="n"/>
      <c r="D185" s="131" t="n"/>
      <c r="E185" s="131" t="n"/>
      <c r="F185" s="131" t="n"/>
      <c r="G185" s="131" t="n"/>
      <c r="H185" s="131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  <c r="Z185" s="69" t="n"/>
    </row>
    <row r="186" ht="15.75" customHeight="1" s="673">
      <c r="A186" s="69" t="n"/>
      <c r="B186" s="131" t="n"/>
      <c r="C186" s="131" t="n"/>
      <c r="D186" s="131" t="n"/>
      <c r="E186" s="131" t="n"/>
      <c r="F186" s="131" t="n"/>
      <c r="G186" s="131" t="n"/>
      <c r="H186" s="131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</row>
    <row r="187" ht="15.75" customHeight="1" s="673">
      <c r="A187" s="69" t="n"/>
      <c r="B187" s="131" t="n"/>
      <c r="C187" s="131" t="n"/>
      <c r="D187" s="131" t="n"/>
      <c r="E187" s="131" t="n"/>
      <c r="F187" s="131" t="n"/>
      <c r="G187" s="131" t="n"/>
      <c r="H187" s="131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</row>
    <row r="188" ht="15.75" customHeight="1" s="673">
      <c r="A188" s="69" t="n"/>
      <c r="B188" s="131" t="n"/>
      <c r="C188" s="131" t="n"/>
      <c r="D188" s="131" t="n"/>
      <c r="E188" s="131" t="n"/>
      <c r="F188" s="131" t="n"/>
      <c r="G188" s="131" t="n"/>
      <c r="H188" s="131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</row>
    <row r="189" ht="15.75" customHeight="1" s="673">
      <c r="A189" s="69" t="n"/>
      <c r="B189" s="131" t="n"/>
      <c r="C189" s="131" t="n"/>
      <c r="D189" s="131" t="n"/>
      <c r="E189" s="131" t="n"/>
      <c r="F189" s="131" t="n"/>
      <c r="G189" s="131" t="n"/>
      <c r="H189" s="131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</row>
    <row r="190" ht="15.75" customHeight="1" s="673">
      <c r="A190" s="69" t="n"/>
      <c r="B190" s="131" t="n"/>
      <c r="C190" s="131" t="n"/>
      <c r="D190" s="131" t="n"/>
      <c r="E190" s="131" t="n"/>
      <c r="F190" s="131" t="n"/>
      <c r="G190" s="131" t="n"/>
      <c r="H190" s="131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</row>
    <row r="191" ht="15.75" customHeight="1" s="673">
      <c r="A191" s="69" t="n"/>
      <c r="B191" s="131" t="n"/>
      <c r="C191" s="131" t="n"/>
      <c r="D191" s="131" t="n"/>
      <c r="E191" s="131" t="n"/>
      <c r="F191" s="131" t="n"/>
      <c r="G191" s="131" t="n"/>
      <c r="H191" s="131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</row>
    <row r="192" ht="15.75" customHeight="1" s="673">
      <c r="A192" s="69" t="n"/>
      <c r="B192" s="131" t="n"/>
      <c r="C192" s="131" t="n"/>
      <c r="D192" s="131" t="n"/>
      <c r="E192" s="131" t="n"/>
      <c r="F192" s="131" t="n"/>
      <c r="G192" s="131" t="n"/>
      <c r="H192" s="131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</row>
    <row r="193" ht="15.75" customHeight="1" s="673">
      <c r="A193" s="69" t="n"/>
      <c r="B193" s="131" t="n"/>
      <c r="C193" s="131" t="n"/>
      <c r="D193" s="131" t="n"/>
      <c r="E193" s="131" t="n"/>
      <c r="F193" s="131" t="n"/>
      <c r="G193" s="131" t="n"/>
      <c r="H193" s="131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</row>
    <row r="194" ht="15.75" customHeight="1" s="673">
      <c r="A194" s="69" t="n"/>
      <c r="B194" s="131" t="n"/>
      <c r="C194" s="131" t="n"/>
      <c r="D194" s="131" t="n"/>
      <c r="E194" s="131" t="n"/>
      <c r="F194" s="131" t="n"/>
      <c r="G194" s="131" t="n"/>
      <c r="H194" s="131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</row>
    <row r="195" ht="15.75" customHeight="1" s="673">
      <c r="A195" s="69" t="n"/>
      <c r="B195" s="131" t="n"/>
      <c r="C195" s="131" t="n"/>
      <c r="D195" s="131" t="n"/>
      <c r="E195" s="131" t="n"/>
      <c r="F195" s="131" t="n"/>
      <c r="G195" s="131" t="n"/>
      <c r="H195" s="131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</row>
    <row r="196" ht="15.75" customHeight="1" s="673">
      <c r="A196" s="69" t="n"/>
      <c r="B196" s="131" t="n"/>
      <c r="C196" s="131" t="n"/>
      <c r="D196" s="131" t="n"/>
      <c r="E196" s="131" t="n"/>
      <c r="F196" s="131" t="n"/>
      <c r="G196" s="131" t="n"/>
      <c r="H196" s="131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</row>
    <row r="197" ht="15.75" customHeight="1" s="673">
      <c r="A197" s="69" t="n"/>
      <c r="B197" s="131" t="n"/>
      <c r="C197" s="131" t="n"/>
      <c r="D197" s="131" t="n"/>
      <c r="E197" s="131" t="n"/>
      <c r="F197" s="131" t="n"/>
      <c r="G197" s="131" t="n"/>
      <c r="H197" s="131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</row>
    <row r="198" ht="15.75" customHeight="1" s="673">
      <c r="A198" s="69" t="n"/>
      <c r="B198" s="131" t="n"/>
      <c r="C198" s="131" t="n"/>
      <c r="D198" s="131" t="n"/>
      <c r="E198" s="131" t="n"/>
      <c r="F198" s="131" t="n"/>
      <c r="G198" s="131" t="n"/>
      <c r="H198" s="131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</row>
    <row r="199" ht="15.75" customHeight="1" s="673">
      <c r="A199" s="69" t="n"/>
      <c r="B199" s="131" t="n"/>
      <c r="C199" s="131" t="n"/>
      <c r="D199" s="131" t="n"/>
      <c r="E199" s="131" t="n"/>
      <c r="F199" s="131" t="n"/>
      <c r="G199" s="131" t="n"/>
      <c r="H199" s="131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</row>
    <row r="200" ht="15.75" customHeight="1" s="673">
      <c r="A200" s="69" t="n"/>
      <c r="B200" s="131" t="n"/>
      <c r="C200" s="131" t="n"/>
      <c r="D200" s="131" t="n"/>
      <c r="E200" s="131" t="n"/>
      <c r="F200" s="131" t="n"/>
      <c r="G200" s="131" t="n"/>
      <c r="H200" s="131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</row>
    <row r="201" ht="15.75" customHeight="1" s="673">
      <c r="A201" s="69" t="n"/>
      <c r="B201" s="131" t="n"/>
      <c r="C201" s="131" t="n"/>
      <c r="D201" s="131" t="n"/>
      <c r="E201" s="131" t="n"/>
      <c r="F201" s="131" t="n"/>
      <c r="G201" s="131" t="n"/>
      <c r="H201" s="131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</row>
    <row r="202" ht="15.75" customHeight="1" s="673">
      <c r="A202" s="69" t="n"/>
      <c r="B202" s="131" t="n"/>
      <c r="C202" s="131" t="n"/>
      <c r="D202" s="131" t="n"/>
      <c r="E202" s="131" t="n"/>
      <c r="F202" s="131" t="n"/>
      <c r="G202" s="131" t="n"/>
      <c r="H202" s="131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</row>
    <row r="203" ht="15.75" customHeight="1" s="673">
      <c r="A203" s="69" t="n"/>
      <c r="B203" s="131" t="n"/>
      <c r="C203" s="131" t="n"/>
      <c r="D203" s="131" t="n"/>
      <c r="E203" s="131" t="n"/>
      <c r="F203" s="131" t="n"/>
      <c r="G203" s="131" t="n"/>
      <c r="H203" s="131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</row>
    <row r="204" ht="15.75" customHeight="1" s="673">
      <c r="A204" s="69" t="n"/>
      <c r="B204" s="131" t="n"/>
      <c r="C204" s="131" t="n"/>
      <c r="D204" s="131" t="n"/>
      <c r="E204" s="131" t="n"/>
      <c r="F204" s="131" t="n"/>
      <c r="G204" s="131" t="n"/>
      <c r="H204" s="131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</row>
    <row r="205" ht="15.75" customHeight="1" s="673">
      <c r="A205" s="69" t="n"/>
      <c r="B205" s="131" t="n"/>
      <c r="C205" s="131" t="n"/>
      <c r="D205" s="131" t="n"/>
      <c r="E205" s="131" t="n"/>
      <c r="F205" s="131" t="n"/>
      <c r="G205" s="131" t="n"/>
      <c r="H205" s="131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</row>
    <row r="206" ht="15.75" customHeight="1" s="673">
      <c r="A206" s="69" t="n"/>
      <c r="B206" s="131" t="n"/>
      <c r="C206" s="131" t="n"/>
      <c r="D206" s="131" t="n"/>
      <c r="E206" s="131" t="n"/>
      <c r="F206" s="131" t="n"/>
      <c r="G206" s="131" t="n"/>
      <c r="H206" s="131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</row>
    <row r="207" ht="15.75" customHeight="1" s="673">
      <c r="A207" s="69" t="n"/>
      <c r="B207" s="131" t="n"/>
      <c r="C207" s="131" t="n"/>
      <c r="D207" s="131" t="n"/>
      <c r="E207" s="131" t="n"/>
      <c r="F207" s="131" t="n"/>
      <c r="G207" s="131" t="n"/>
      <c r="H207" s="131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</row>
    <row r="208" ht="15.75" customHeight="1" s="673">
      <c r="A208" s="69" t="n"/>
      <c r="B208" s="131" t="n"/>
      <c r="C208" s="131" t="n"/>
      <c r="D208" s="131" t="n"/>
      <c r="E208" s="131" t="n"/>
      <c r="F208" s="131" t="n"/>
      <c r="G208" s="131" t="n"/>
      <c r="H208" s="131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</row>
    <row r="209" ht="15.75" customHeight="1" s="673">
      <c r="A209" s="69" t="n"/>
      <c r="B209" s="131" t="n"/>
      <c r="C209" s="131" t="n"/>
      <c r="D209" s="131" t="n"/>
      <c r="E209" s="131" t="n"/>
      <c r="F209" s="131" t="n"/>
      <c r="G209" s="131" t="n"/>
      <c r="H209" s="131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</row>
    <row r="210" ht="15.75" customHeight="1" s="673">
      <c r="A210" s="69" t="n"/>
      <c r="B210" s="131" t="n"/>
      <c r="C210" s="131" t="n"/>
      <c r="D210" s="131" t="n"/>
      <c r="E210" s="131" t="n"/>
      <c r="F210" s="131" t="n"/>
      <c r="G210" s="131" t="n"/>
      <c r="H210" s="131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</row>
    <row r="211" ht="15.75" customHeight="1" s="673">
      <c r="A211" s="69" t="n"/>
      <c r="B211" s="131" t="n"/>
      <c r="C211" s="131" t="n"/>
      <c r="D211" s="131" t="n"/>
      <c r="E211" s="131" t="n"/>
      <c r="F211" s="131" t="n"/>
      <c r="G211" s="131" t="n"/>
      <c r="H211" s="131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  <c r="Z211" s="69" t="n"/>
    </row>
    <row r="212" ht="15.75" customHeight="1" s="673">
      <c r="A212" s="69" t="n"/>
      <c r="B212" s="131" t="n"/>
      <c r="C212" s="131" t="n"/>
      <c r="D212" s="131" t="n"/>
      <c r="E212" s="131" t="n"/>
      <c r="F212" s="131" t="n"/>
      <c r="G212" s="131" t="n"/>
      <c r="H212" s="131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</row>
    <row r="213" ht="15.75" customHeight="1" s="673">
      <c r="A213" s="69" t="n"/>
      <c r="B213" s="131" t="n"/>
      <c r="C213" s="131" t="n"/>
      <c r="D213" s="131" t="n"/>
      <c r="E213" s="131" t="n"/>
      <c r="F213" s="131" t="n"/>
      <c r="G213" s="131" t="n"/>
      <c r="H213" s="131" t="n"/>
      <c r="I213" s="69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  <c r="Z213" s="69" t="n"/>
    </row>
    <row r="214" ht="15.75" customHeight="1" s="673">
      <c r="A214" s="69" t="n"/>
      <c r="B214" s="131" t="n"/>
      <c r="C214" s="131" t="n"/>
      <c r="D214" s="131" t="n"/>
      <c r="E214" s="131" t="n"/>
      <c r="F214" s="131" t="n"/>
      <c r="G214" s="131" t="n"/>
      <c r="H214" s="131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</row>
    <row r="215" ht="15.75" customHeight="1" s="673">
      <c r="A215" s="69" t="n"/>
      <c r="B215" s="131" t="n"/>
      <c r="C215" s="131" t="n"/>
      <c r="D215" s="131" t="n"/>
      <c r="E215" s="131" t="n"/>
      <c r="F215" s="131" t="n"/>
      <c r="G215" s="131" t="n"/>
      <c r="H215" s="131" t="n"/>
      <c r="I215" s="69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</row>
    <row r="216" ht="15.75" customHeight="1" s="673">
      <c r="A216" s="69" t="n"/>
      <c r="B216" s="131" t="n"/>
      <c r="C216" s="131" t="n"/>
      <c r="D216" s="131" t="n"/>
      <c r="E216" s="131" t="n"/>
      <c r="F216" s="131" t="n"/>
      <c r="G216" s="131" t="n"/>
      <c r="H216" s="131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</row>
    <row r="217" ht="15.75" customHeight="1" s="673">
      <c r="A217" s="69" t="n"/>
      <c r="B217" s="131" t="n"/>
      <c r="C217" s="131" t="n"/>
      <c r="D217" s="131" t="n"/>
      <c r="E217" s="131" t="n"/>
      <c r="F217" s="131" t="n"/>
      <c r="G217" s="131" t="n"/>
      <c r="H217" s="131" t="n"/>
      <c r="I217" s="69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  <c r="Z217" s="69" t="n"/>
    </row>
    <row r="218" ht="15.75" customHeight="1" s="673">
      <c r="A218" s="69" t="n"/>
      <c r="B218" s="131" t="n"/>
      <c r="C218" s="131" t="n"/>
      <c r="D218" s="131" t="n"/>
      <c r="E218" s="131" t="n"/>
      <c r="F218" s="131" t="n"/>
      <c r="G218" s="131" t="n"/>
      <c r="H218" s="131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</row>
    <row r="219" ht="15.75" customHeight="1" s="673">
      <c r="A219" s="69" t="n"/>
      <c r="B219" s="131" t="n"/>
      <c r="C219" s="131" t="n"/>
      <c r="D219" s="131" t="n"/>
      <c r="E219" s="131" t="n"/>
      <c r="F219" s="131" t="n"/>
      <c r="G219" s="131" t="n"/>
      <c r="H219" s="131" t="n"/>
      <c r="I219" s="69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  <c r="Z219" s="69" t="n"/>
    </row>
    <row r="220" ht="15.75" customHeight="1" s="673">
      <c r="A220" s="69" t="n"/>
      <c r="B220" s="131" t="n"/>
      <c r="C220" s="131" t="n"/>
      <c r="D220" s="131" t="n"/>
      <c r="E220" s="131" t="n"/>
      <c r="F220" s="131" t="n"/>
      <c r="G220" s="131" t="n"/>
      <c r="H220" s="131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</row>
    <row r="221" ht="15.75" customHeight="1" s="673">
      <c r="A221" s="69" t="n"/>
      <c r="B221" s="131" t="n"/>
      <c r="C221" s="131" t="n"/>
      <c r="D221" s="131" t="n"/>
      <c r="E221" s="131" t="n"/>
      <c r="F221" s="131" t="n"/>
      <c r="G221" s="131" t="n"/>
      <c r="H221" s="131" t="n"/>
      <c r="I221" s="69" t="n"/>
      <c r="J221" s="69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</row>
    <row r="222" ht="15.75" customHeight="1" s="673">
      <c r="A222" s="69" t="n"/>
      <c r="B222" s="131" t="n"/>
      <c r="C222" s="131" t="n"/>
      <c r="D222" s="131" t="n"/>
      <c r="E222" s="131" t="n"/>
      <c r="F222" s="131" t="n"/>
      <c r="G222" s="131" t="n"/>
      <c r="H222" s="131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</row>
    <row r="223" ht="15.75" customHeight="1" s="673">
      <c r="A223" s="69" t="n"/>
      <c r="B223" s="131" t="n"/>
      <c r="C223" s="131" t="n"/>
      <c r="D223" s="131" t="n"/>
      <c r="E223" s="131" t="n"/>
      <c r="F223" s="131" t="n"/>
      <c r="G223" s="131" t="n"/>
      <c r="H223" s="131" t="n"/>
      <c r="I223" s="69" t="n"/>
      <c r="J223" s="69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  <c r="Z223" s="69" t="n"/>
    </row>
    <row r="224" ht="15.75" customHeight="1" s="673">
      <c r="A224" s="69" t="n"/>
      <c r="B224" s="131" t="n"/>
      <c r="C224" s="131" t="n"/>
      <c r="D224" s="131" t="n"/>
      <c r="E224" s="131" t="n"/>
      <c r="F224" s="131" t="n"/>
      <c r="G224" s="131" t="n"/>
      <c r="H224" s="131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</row>
    <row r="225" ht="15.75" customHeight="1" s="673">
      <c r="A225" s="69" t="n"/>
      <c r="B225" s="131" t="n"/>
      <c r="C225" s="131" t="n"/>
      <c r="D225" s="131" t="n"/>
      <c r="E225" s="131" t="n"/>
      <c r="F225" s="131" t="n"/>
      <c r="G225" s="131" t="n"/>
      <c r="H225" s="131" t="n"/>
      <c r="I225" s="69" t="n"/>
      <c r="J225" s="69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  <c r="Z225" s="69" t="n"/>
    </row>
    <row r="226" ht="15.75" customHeight="1" s="673">
      <c r="A226" s="69" t="n"/>
      <c r="B226" s="131" t="n"/>
      <c r="C226" s="131" t="n"/>
      <c r="D226" s="131" t="n"/>
      <c r="E226" s="131" t="n"/>
      <c r="F226" s="131" t="n"/>
      <c r="G226" s="131" t="n"/>
      <c r="H226" s="131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</row>
    <row r="227" ht="15.75" customHeight="1" s="673">
      <c r="A227" s="69" t="n"/>
      <c r="B227" s="131" t="n"/>
      <c r="C227" s="131" t="n"/>
      <c r="D227" s="131" t="n"/>
      <c r="E227" s="131" t="n"/>
      <c r="F227" s="131" t="n"/>
      <c r="G227" s="131" t="n"/>
      <c r="H227" s="131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  <c r="Z227" s="69" t="n"/>
    </row>
    <row r="228" ht="15.75" customHeight="1" s="673">
      <c r="A228" s="69" t="n"/>
      <c r="B228" s="131" t="n"/>
      <c r="C228" s="131" t="n"/>
      <c r="D228" s="131" t="n"/>
      <c r="E228" s="131" t="n"/>
      <c r="F228" s="131" t="n"/>
      <c r="G228" s="131" t="n"/>
      <c r="H228" s="131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</row>
    <row r="229" ht="15.75" customHeight="1" s="673">
      <c r="A229" s="69" t="n"/>
      <c r="B229" s="131" t="n"/>
      <c r="C229" s="131" t="n"/>
      <c r="D229" s="131" t="n"/>
      <c r="E229" s="131" t="n"/>
      <c r="F229" s="131" t="n"/>
      <c r="G229" s="131" t="n"/>
      <c r="H229" s="131" t="n"/>
      <c r="I229" s="69" t="n"/>
      <c r="J229" s="69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  <c r="Z229" s="69" t="n"/>
    </row>
    <row r="230" ht="15.75" customHeight="1" s="673">
      <c r="A230" s="69" t="n"/>
      <c r="B230" s="131" t="n"/>
      <c r="C230" s="131" t="n"/>
      <c r="D230" s="131" t="n"/>
      <c r="E230" s="131" t="n"/>
      <c r="F230" s="131" t="n"/>
      <c r="G230" s="131" t="n"/>
      <c r="H230" s="131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</row>
    <row r="231" ht="15.75" customHeight="1" s="673">
      <c r="A231" s="69" t="n"/>
      <c r="B231" s="131" t="n"/>
      <c r="C231" s="131" t="n"/>
      <c r="D231" s="131" t="n"/>
      <c r="E231" s="131" t="n"/>
      <c r="F231" s="131" t="n"/>
      <c r="G231" s="131" t="n"/>
      <c r="H231" s="131" t="n"/>
      <c r="I231" s="69" t="n"/>
      <c r="J231" s="69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  <c r="Z231" s="69" t="n"/>
    </row>
    <row r="232" ht="15.75" customHeight="1" s="673">
      <c r="A232" s="69" t="n"/>
      <c r="B232" s="131" t="n"/>
      <c r="C232" s="131" t="n"/>
      <c r="D232" s="131" t="n"/>
      <c r="E232" s="131" t="n"/>
      <c r="F232" s="131" t="n"/>
      <c r="G232" s="131" t="n"/>
      <c r="H232" s="131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</row>
    <row r="233" ht="15.75" customHeight="1" s="673">
      <c r="A233" s="69" t="n"/>
      <c r="B233" s="131" t="n"/>
      <c r="C233" s="131" t="n"/>
      <c r="D233" s="131" t="n"/>
      <c r="E233" s="131" t="n"/>
      <c r="F233" s="131" t="n"/>
      <c r="G233" s="131" t="n"/>
      <c r="H233" s="131" t="n"/>
      <c r="I233" s="69" t="n"/>
      <c r="J233" s="69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  <c r="Z233" s="69" t="n"/>
    </row>
    <row r="234" ht="15.75" customHeight="1" s="673">
      <c r="A234" s="69" t="n"/>
      <c r="B234" s="131" t="n"/>
      <c r="C234" s="131" t="n"/>
      <c r="D234" s="131" t="n"/>
      <c r="E234" s="131" t="n"/>
      <c r="F234" s="131" t="n"/>
      <c r="G234" s="131" t="n"/>
      <c r="H234" s="131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</row>
    <row r="235" ht="15.75" customHeight="1" s="673">
      <c r="A235" s="69" t="n"/>
      <c r="B235" s="131" t="n"/>
      <c r="C235" s="131" t="n"/>
      <c r="D235" s="131" t="n"/>
      <c r="E235" s="131" t="n"/>
      <c r="F235" s="131" t="n"/>
      <c r="G235" s="131" t="n"/>
      <c r="H235" s="131" t="n"/>
      <c r="I235" s="69" t="n"/>
      <c r="J235" s="69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  <c r="Z235" s="69" t="n"/>
    </row>
    <row r="236" ht="15.75" customHeight="1" s="673">
      <c r="A236" s="69" t="n"/>
      <c r="B236" s="131" t="n"/>
      <c r="C236" s="131" t="n"/>
      <c r="D236" s="131" t="n"/>
      <c r="E236" s="131" t="n"/>
      <c r="F236" s="131" t="n"/>
      <c r="G236" s="131" t="n"/>
      <c r="H236" s="131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</row>
    <row r="237" ht="15.75" customHeight="1" s="673">
      <c r="A237" s="69" t="n"/>
      <c r="B237" s="131" t="n"/>
      <c r="C237" s="131" t="n"/>
      <c r="D237" s="131" t="n"/>
      <c r="E237" s="131" t="n"/>
      <c r="F237" s="131" t="n"/>
      <c r="G237" s="131" t="n"/>
      <c r="H237" s="131" t="n"/>
      <c r="I237" s="69" t="n"/>
      <c r="J237" s="69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  <c r="Z237" s="69" t="n"/>
    </row>
    <row r="238" ht="15.75" customHeight="1" s="673">
      <c r="A238" s="69" t="n"/>
      <c r="B238" s="131" t="n"/>
      <c r="C238" s="131" t="n"/>
      <c r="D238" s="131" t="n"/>
      <c r="E238" s="131" t="n"/>
      <c r="F238" s="131" t="n"/>
      <c r="G238" s="131" t="n"/>
      <c r="H238" s="131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</row>
    <row r="239" ht="15.75" customHeight="1" s="673">
      <c r="A239" s="69" t="n"/>
      <c r="B239" s="131" t="n"/>
      <c r="C239" s="131" t="n"/>
      <c r="D239" s="131" t="n"/>
      <c r="E239" s="131" t="n"/>
      <c r="F239" s="131" t="n"/>
      <c r="G239" s="131" t="n"/>
      <c r="H239" s="131" t="n"/>
      <c r="I239" s="69" t="n"/>
      <c r="J239" s="69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  <c r="Z239" s="69" t="n"/>
    </row>
    <row r="240" ht="15.75" customHeight="1" s="673">
      <c r="A240" s="69" t="n"/>
      <c r="B240" s="131" t="n"/>
      <c r="C240" s="131" t="n"/>
      <c r="D240" s="131" t="n"/>
      <c r="E240" s="131" t="n"/>
      <c r="F240" s="131" t="n"/>
      <c r="G240" s="131" t="n"/>
      <c r="H240" s="131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</row>
    <row r="241" ht="15.75" customHeight="1" s="673">
      <c r="A241" s="69" t="n"/>
      <c r="B241" s="131" t="n"/>
      <c r="C241" s="131" t="n"/>
      <c r="D241" s="131" t="n"/>
      <c r="E241" s="131" t="n"/>
      <c r="F241" s="131" t="n"/>
      <c r="G241" s="131" t="n"/>
      <c r="H241" s="131" t="n"/>
      <c r="I241" s="69" t="n"/>
      <c r="J241" s="69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  <c r="Z241" s="69" t="n"/>
    </row>
    <row r="242" ht="15.75" customHeight="1" s="673">
      <c r="A242" s="69" t="n"/>
      <c r="B242" s="131" t="n"/>
      <c r="C242" s="131" t="n"/>
      <c r="D242" s="131" t="n"/>
      <c r="E242" s="131" t="n"/>
      <c r="F242" s="131" t="n"/>
      <c r="G242" s="131" t="n"/>
      <c r="H242" s="131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</row>
    <row r="243" ht="15.75" customHeight="1" s="673">
      <c r="A243" s="69" t="n"/>
      <c r="B243" s="131" t="n"/>
      <c r="C243" s="131" t="n"/>
      <c r="D243" s="131" t="n"/>
      <c r="E243" s="131" t="n"/>
      <c r="F243" s="131" t="n"/>
      <c r="G243" s="131" t="n"/>
      <c r="H243" s="131" t="n"/>
      <c r="I243" s="69" t="n"/>
      <c r="J243" s="69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  <c r="Z243" s="69" t="n"/>
    </row>
    <row r="244" ht="15.75" customHeight="1" s="673">
      <c r="A244" s="69" t="n"/>
      <c r="B244" s="131" t="n"/>
      <c r="C244" s="131" t="n"/>
      <c r="D244" s="131" t="n"/>
      <c r="E244" s="131" t="n"/>
      <c r="F244" s="131" t="n"/>
      <c r="G244" s="131" t="n"/>
      <c r="H244" s="131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</row>
    <row r="245" ht="15.75" customHeight="1" s="673">
      <c r="A245" s="69" t="n"/>
      <c r="B245" s="131" t="n"/>
      <c r="C245" s="131" t="n"/>
      <c r="D245" s="131" t="n"/>
      <c r="E245" s="131" t="n"/>
      <c r="F245" s="131" t="n"/>
      <c r="G245" s="131" t="n"/>
      <c r="H245" s="131" t="n"/>
      <c r="I245" s="69" t="n"/>
      <c r="J245" s="69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  <c r="Z245" s="69" t="n"/>
    </row>
    <row r="246" ht="15.75" customHeight="1" s="673">
      <c r="A246" s="69" t="n"/>
      <c r="B246" s="131" t="n"/>
      <c r="C246" s="131" t="n"/>
      <c r="D246" s="131" t="n"/>
      <c r="E246" s="131" t="n"/>
      <c r="F246" s="131" t="n"/>
      <c r="G246" s="131" t="n"/>
      <c r="H246" s="131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  <c r="Z246" s="69" t="n"/>
    </row>
    <row r="247" ht="15.75" customHeight="1" s="673">
      <c r="A247" s="69" t="n"/>
      <c r="B247" s="131" t="n"/>
      <c r="C247" s="131" t="n"/>
      <c r="D247" s="131" t="n"/>
      <c r="E247" s="131" t="n"/>
      <c r="F247" s="131" t="n"/>
      <c r="G247" s="131" t="n"/>
      <c r="H247" s="131" t="n"/>
      <c r="I247" s="69" t="n"/>
      <c r="J247" s="69" t="n"/>
      <c r="K247" s="69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  <c r="Z247" s="69" t="n"/>
    </row>
    <row r="248" ht="15.75" customHeight="1" s="673">
      <c r="A248" s="69" t="n"/>
      <c r="B248" s="131" t="n"/>
      <c r="C248" s="131" t="n"/>
      <c r="D248" s="131" t="n"/>
      <c r="E248" s="131" t="n"/>
      <c r="F248" s="131" t="n"/>
      <c r="G248" s="131" t="n"/>
      <c r="H248" s="131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</row>
    <row r="249" ht="15.75" customHeight="1" s="673">
      <c r="A249" s="69" t="n"/>
      <c r="B249" s="131" t="n"/>
      <c r="C249" s="131" t="n"/>
      <c r="D249" s="131" t="n"/>
      <c r="E249" s="131" t="n"/>
      <c r="F249" s="131" t="n"/>
      <c r="G249" s="131" t="n"/>
      <c r="H249" s="131" t="n"/>
      <c r="I249" s="69" t="n"/>
      <c r="J249" s="69" t="n"/>
      <c r="K249" s="69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  <c r="Z249" s="69" t="n"/>
    </row>
    <row r="250" ht="15.75" customHeight="1" s="673">
      <c r="A250" s="69" t="n"/>
      <c r="B250" s="131" t="n"/>
      <c r="C250" s="131" t="n"/>
      <c r="D250" s="131" t="n"/>
      <c r="E250" s="131" t="n"/>
      <c r="F250" s="131" t="n"/>
      <c r="G250" s="131" t="n"/>
      <c r="H250" s="131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</row>
    <row r="251" ht="15.75" customHeight="1" s="673">
      <c r="A251" s="69" t="n"/>
      <c r="B251" s="131" t="n"/>
      <c r="C251" s="131" t="n"/>
      <c r="D251" s="131" t="n"/>
      <c r="E251" s="131" t="n"/>
      <c r="F251" s="131" t="n"/>
      <c r="G251" s="131" t="n"/>
      <c r="H251" s="131" t="n"/>
      <c r="I251" s="69" t="n"/>
      <c r="J251" s="69" t="n"/>
      <c r="K251" s="69" t="n"/>
      <c r="L251" s="69" t="n"/>
      <c r="M251" s="69" t="n"/>
      <c r="N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W251" s="69" t="n"/>
      <c r="X251" s="69" t="n"/>
      <c r="Y251" s="69" t="n"/>
      <c r="Z251" s="69" t="n"/>
    </row>
    <row r="252" ht="15.75" customHeight="1" s="673">
      <c r="A252" s="69" t="n"/>
      <c r="B252" s="131" t="n"/>
      <c r="C252" s="131" t="n"/>
      <c r="D252" s="131" t="n"/>
      <c r="E252" s="131" t="n"/>
      <c r="F252" s="131" t="n"/>
      <c r="G252" s="131" t="n"/>
      <c r="H252" s="131" t="n"/>
      <c r="I252" s="69" t="n"/>
      <c r="J252" s="69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  <c r="Z252" s="69" t="n"/>
    </row>
    <row r="253" ht="15.75" customHeight="1" s="673">
      <c r="A253" s="69" t="n"/>
      <c r="B253" s="131" t="n"/>
      <c r="C253" s="131" t="n"/>
      <c r="D253" s="131" t="n"/>
      <c r="E253" s="131" t="n"/>
      <c r="F253" s="131" t="n"/>
      <c r="G253" s="131" t="n"/>
      <c r="H253" s="131" t="n"/>
      <c r="I253" s="69" t="n"/>
      <c r="J253" s="69" t="n"/>
      <c r="K253" s="69" t="n"/>
      <c r="L253" s="69" t="n"/>
      <c r="M253" s="69" t="n"/>
      <c r="N253" s="69" t="n"/>
      <c r="O253" s="69" t="n"/>
      <c r="P253" s="69" t="n"/>
      <c r="Q253" s="69" t="n"/>
      <c r="R253" s="69" t="n"/>
      <c r="S253" s="69" t="n"/>
      <c r="T253" s="69" t="n"/>
      <c r="U253" s="69" t="n"/>
      <c r="V253" s="69" t="n"/>
      <c r="W253" s="69" t="n"/>
      <c r="X253" s="69" t="n"/>
      <c r="Y253" s="69" t="n"/>
      <c r="Z253" s="69" t="n"/>
    </row>
    <row r="254" ht="15.75" customHeight="1" s="673">
      <c r="A254" s="69" t="n"/>
      <c r="B254" s="131" t="n"/>
      <c r="C254" s="131" t="n"/>
      <c r="D254" s="131" t="n"/>
      <c r="E254" s="131" t="n"/>
      <c r="F254" s="131" t="n"/>
      <c r="G254" s="131" t="n"/>
      <c r="H254" s="131" t="n"/>
      <c r="I254" s="69" t="n"/>
      <c r="J254" s="69" t="n"/>
      <c r="K254" s="69" t="n"/>
      <c r="L254" s="69" t="n"/>
      <c r="M254" s="69" t="n"/>
      <c r="N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  <c r="Z254" s="69" t="n"/>
    </row>
    <row r="255" ht="15.75" customHeight="1" s="673">
      <c r="A255" s="69" t="n"/>
      <c r="B255" s="131" t="n"/>
      <c r="C255" s="131" t="n"/>
      <c r="D255" s="131" t="n"/>
      <c r="E255" s="131" t="n"/>
      <c r="F255" s="131" t="n"/>
      <c r="G255" s="131" t="n"/>
      <c r="H255" s="131" t="n"/>
      <c r="I255" s="69" t="n"/>
      <c r="J255" s="69" t="n"/>
      <c r="K255" s="69" t="n"/>
      <c r="L255" s="69" t="n"/>
      <c r="M255" s="69" t="n"/>
      <c r="N255" s="69" t="n"/>
      <c r="O255" s="69" t="n"/>
      <c r="P255" s="69" t="n"/>
      <c r="Q255" s="69" t="n"/>
      <c r="R255" s="69" t="n"/>
      <c r="S255" s="69" t="n"/>
      <c r="T255" s="69" t="n"/>
      <c r="U255" s="69" t="n"/>
      <c r="V255" s="69" t="n"/>
      <c r="W255" s="69" t="n"/>
      <c r="X255" s="69" t="n"/>
      <c r="Y255" s="69" t="n"/>
      <c r="Z255" s="69" t="n"/>
    </row>
    <row r="256" ht="15.75" customHeight="1" s="673">
      <c r="A256" s="69" t="n"/>
      <c r="B256" s="131" t="n"/>
      <c r="C256" s="131" t="n"/>
      <c r="D256" s="131" t="n"/>
      <c r="E256" s="131" t="n"/>
      <c r="F256" s="131" t="n"/>
      <c r="G256" s="131" t="n"/>
      <c r="H256" s="131" t="n"/>
      <c r="I256" s="69" t="n"/>
      <c r="J256" s="69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  <c r="Z256" s="69" t="n"/>
    </row>
    <row r="257" ht="15.75" customHeight="1" s="673">
      <c r="A257" s="69" t="n"/>
      <c r="B257" s="131" t="n"/>
      <c r="C257" s="131" t="n"/>
      <c r="D257" s="131" t="n"/>
      <c r="E257" s="131" t="n"/>
      <c r="F257" s="131" t="n"/>
      <c r="G257" s="131" t="n"/>
      <c r="H257" s="131" t="n"/>
      <c r="I257" s="69" t="n"/>
      <c r="J257" s="69" t="n"/>
      <c r="K257" s="69" t="n"/>
      <c r="L257" s="69" t="n"/>
      <c r="M257" s="69" t="n"/>
      <c r="N257" s="69" t="n"/>
      <c r="O257" s="69" t="n"/>
      <c r="P257" s="69" t="n"/>
      <c r="Q257" s="69" t="n"/>
      <c r="R257" s="69" t="n"/>
      <c r="S257" s="69" t="n"/>
      <c r="T257" s="69" t="n"/>
      <c r="U257" s="69" t="n"/>
      <c r="V257" s="69" t="n"/>
      <c r="W257" s="69" t="n"/>
      <c r="X257" s="69" t="n"/>
      <c r="Y257" s="69" t="n"/>
      <c r="Z257" s="69" t="n"/>
    </row>
    <row r="258" ht="15.75" customHeight="1" s="673">
      <c r="A258" s="69" t="n"/>
      <c r="B258" s="131" t="n"/>
      <c r="C258" s="131" t="n"/>
      <c r="D258" s="131" t="n"/>
      <c r="E258" s="131" t="n"/>
      <c r="F258" s="131" t="n"/>
      <c r="G258" s="131" t="n"/>
      <c r="H258" s="131" t="n"/>
      <c r="I258" s="69" t="n"/>
      <c r="J258" s="69" t="n"/>
      <c r="K258" s="69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  <c r="Z258" s="69" t="n"/>
    </row>
    <row r="259" ht="15.75" customHeight="1" s="673">
      <c r="A259" s="69" t="n"/>
      <c r="B259" s="131" t="n"/>
      <c r="C259" s="131" t="n"/>
      <c r="D259" s="131" t="n"/>
      <c r="E259" s="131" t="n"/>
      <c r="F259" s="131" t="n"/>
      <c r="G259" s="131" t="n"/>
      <c r="H259" s="131" t="n"/>
      <c r="I259" s="69" t="n"/>
      <c r="J259" s="69" t="n"/>
      <c r="K259" s="69" t="n"/>
      <c r="L259" s="69" t="n"/>
      <c r="M259" s="69" t="n"/>
      <c r="N259" s="69" t="n"/>
      <c r="O259" s="69" t="n"/>
      <c r="P259" s="69" t="n"/>
      <c r="Q259" s="69" t="n"/>
      <c r="R259" s="69" t="n"/>
      <c r="S259" s="69" t="n"/>
      <c r="T259" s="69" t="n"/>
      <c r="U259" s="69" t="n"/>
      <c r="V259" s="69" t="n"/>
      <c r="W259" s="69" t="n"/>
      <c r="X259" s="69" t="n"/>
      <c r="Y259" s="69" t="n"/>
      <c r="Z259" s="69" t="n"/>
    </row>
    <row r="260" ht="15.75" customHeight="1" s="673">
      <c r="A260" s="69" t="n"/>
      <c r="B260" s="131" t="n"/>
      <c r="C260" s="131" t="n"/>
      <c r="D260" s="131" t="n"/>
      <c r="E260" s="131" t="n"/>
      <c r="F260" s="131" t="n"/>
      <c r="G260" s="131" t="n"/>
      <c r="H260" s="131" t="n"/>
      <c r="I260" s="69" t="n"/>
      <c r="J260" s="69" t="n"/>
      <c r="K260" s="69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  <c r="Z260" s="69" t="n"/>
    </row>
    <row r="261" ht="15.75" customHeight="1" s="673">
      <c r="A261" s="69" t="n"/>
      <c r="B261" s="131" t="n"/>
      <c r="C261" s="131" t="n"/>
      <c r="D261" s="131" t="n"/>
      <c r="E261" s="131" t="n"/>
      <c r="F261" s="131" t="n"/>
      <c r="G261" s="131" t="n"/>
      <c r="H261" s="131" t="n"/>
      <c r="I261" s="69" t="n"/>
      <c r="J261" s="69" t="n"/>
      <c r="K261" s="69" t="n"/>
      <c r="L261" s="69" t="n"/>
      <c r="M261" s="69" t="n"/>
      <c r="N261" s="69" t="n"/>
      <c r="O261" s="69" t="n"/>
      <c r="P261" s="69" t="n"/>
      <c r="Q261" s="69" t="n"/>
      <c r="R261" s="69" t="n"/>
      <c r="S261" s="69" t="n"/>
      <c r="T261" s="69" t="n"/>
      <c r="U261" s="69" t="n"/>
      <c r="V261" s="69" t="n"/>
      <c r="W261" s="69" t="n"/>
      <c r="X261" s="69" t="n"/>
      <c r="Y261" s="69" t="n"/>
      <c r="Z261" s="69" t="n"/>
    </row>
    <row r="262" ht="15.75" customHeight="1" s="673">
      <c r="A262" s="69" t="n"/>
      <c r="B262" s="131" t="n"/>
      <c r="C262" s="131" t="n"/>
      <c r="D262" s="131" t="n"/>
      <c r="E262" s="131" t="n"/>
      <c r="F262" s="131" t="n"/>
      <c r="G262" s="131" t="n"/>
      <c r="H262" s="131" t="n"/>
      <c r="I262" s="69" t="n"/>
      <c r="J262" s="69" t="n"/>
      <c r="K262" s="69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  <c r="Z262" s="69" t="n"/>
    </row>
    <row r="263" ht="15.75" customHeight="1" s="673">
      <c r="A263" s="69" t="n"/>
      <c r="B263" s="131" t="n"/>
      <c r="C263" s="131" t="n"/>
      <c r="D263" s="131" t="n"/>
      <c r="E263" s="131" t="n"/>
      <c r="F263" s="131" t="n"/>
      <c r="G263" s="131" t="n"/>
      <c r="H263" s="131" t="n"/>
      <c r="I263" s="69" t="n"/>
      <c r="J263" s="69" t="n"/>
      <c r="K263" s="69" t="n"/>
      <c r="L263" s="69" t="n"/>
      <c r="M263" s="69" t="n"/>
      <c r="N263" s="69" t="n"/>
      <c r="O263" s="69" t="n"/>
      <c r="P263" s="69" t="n"/>
      <c r="Q263" s="69" t="n"/>
      <c r="R263" s="69" t="n"/>
      <c r="S263" s="69" t="n"/>
      <c r="T263" s="69" t="n"/>
      <c r="U263" s="69" t="n"/>
      <c r="V263" s="69" t="n"/>
      <c r="W263" s="69" t="n"/>
      <c r="X263" s="69" t="n"/>
      <c r="Y263" s="69" t="n"/>
      <c r="Z263" s="69" t="n"/>
    </row>
    <row r="264" ht="15.75" customHeight="1" s="673">
      <c r="A264" s="69" t="n"/>
      <c r="B264" s="131" t="n"/>
      <c r="C264" s="131" t="n"/>
      <c r="D264" s="131" t="n"/>
      <c r="E264" s="131" t="n"/>
      <c r="F264" s="131" t="n"/>
      <c r="G264" s="131" t="n"/>
      <c r="H264" s="131" t="n"/>
      <c r="I264" s="69" t="n"/>
      <c r="J264" s="69" t="n"/>
      <c r="K264" s="69" t="n"/>
      <c r="L264" s="69" t="n"/>
      <c r="M264" s="69" t="n"/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9" t="n"/>
      <c r="X264" s="69" t="n"/>
      <c r="Y264" s="69" t="n"/>
      <c r="Z264" s="69" t="n"/>
    </row>
    <row r="265" ht="15.75" customHeight="1" s="673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  <c r="Z265" s="52" t="n"/>
    </row>
    <row r="266" ht="15.75" customHeight="1" s="673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</row>
    <row r="267" ht="15.75" customHeight="1" s="673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</row>
    <row r="268" ht="15.75" customHeight="1" s="673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</row>
    <row r="269" ht="15.75" customHeight="1" s="673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mergeCells count="4">
    <mergeCell ref="E57:F57"/>
    <mergeCell ref="C1:D1"/>
    <mergeCell ref="B55:D55"/>
    <mergeCell ref="B44:C44"/>
  </mergeCells>
  <pageMargins left="0.5905511811023623" right="0.5905511811023623" top="0.5905511811023623" bottom="0.5905511811023623" header="0" footer="0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673" min="1" max="1"/>
    <col width="12.88" customWidth="1" style="673" min="2" max="15"/>
    <col width="8.630000000000001" customWidth="1" style="673" min="16" max="26"/>
  </cols>
  <sheetData>
    <row r="1">
      <c r="A1" s="175" t="n"/>
      <c r="B1" s="176" t="inlineStr">
        <is>
          <t>ATIVIDADE RURAL PARTICULAR</t>
        </is>
      </c>
    </row>
    <row r="2">
      <c r="A2" s="175" t="n"/>
    </row>
    <row r="3">
      <c r="A3" s="175" t="n"/>
    </row>
    <row r="4">
      <c r="A4" s="175" t="n"/>
    </row>
    <row r="5">
      <c r="A5" s="175" t="n"/>
    </row>
    <row r="6">
      <c r="A6" s="175" t="n"/>
      <c r="B6" s="177" t="inlineStr">
        <is>
          <t>FAVOR INFORMAR RECEITAS E DESPESAS DA ATIVIDADE RURAL DIRETA (NAO PARCERIA)</t>
        </is>
      </c>
    </row>
    <row r="7">
      <c r="A7" s="175" t="n"/>
      <c r="B7" s="178" t="n">
        <v>2026</v>
      </c>
    </row>
    <row r="8">
      <c r="A8" s="179" t="n">
        <v>1</v>
      </c>
      <c r="B8" s="180">
        <f>RESULTADO!B28</f>
        <v/>
      </c>
      <c r="C8" s="181" t="inlineStr">
        <is>
          <t>JANEIRO</t>
        </is>
      </c>
      <c r="D8" s="181" t="inlineStr">
        <is>
          <t>FEVEREIRO</t>
        </is>
      </c>
      <c r="E8" s="181" t="inlineStr">
        <is>
          <t>MARCO</t>
        </is>
      </c>
      <c r="F8" s="181" t="inlineStr">
        <is>
          <t>ABRIL</t>
        </is>
      </c>
      <c r="G8" s="181" t="inlineStr">
        <is>
          <t>MAIO</t>
        </is>
      </c>
      <c r="H8" s="181" t="inlineStr">
        <is>
          <t>JUNHO</t>
        </is>
      </c>
      <c r="I8" s="181" t="inlineStr">
        <is>
          <t>JULHO</t>
        </is>
      </c>
      <c r="J8" s="181" t="inlineStr">
        <is>
          <t>AGOSTO</t>
        </is>
      </c>
      <c r="K8" s="181" t="inlineStr">
        <is>
          <t>SETEMBRO</t>
        </is>
      </c>
      <c r="L8" s="181" t="inlineStr">
        <is>
          <t>OUTUBRO</t>
        </is>
      </c>
      <c r="M8" s="181" t="inlineStr">
        <is>
          <t>NOVEMBRO</t>
        </is>
      </c>
      <c r="N8" s="181" t="inlineStr">
        <is>
          <t>DEZEMBRO</t>
        </is>
      </c>
      <c r="O8" s="182" t="inlineStr">
        <is>
          <t>TOTAL</t>
        </is>
      </c>
    </row>
    <row r="9">
      <c r="A9" s="179" t="n"/>
      <c r="B9" s="183" t="inlineStr">
        <is>
          <t>RECEITAS</t>
        </is>
      </c>
      <c r="C9" s="185" t="n">
        <v>200000</v>
      </c>
      <c r="D9" s="185" t="n"/>
      <c r="E9" s="185" t="n"/>
      <c r="F9" s="185" t="n"/>
      <c r="G9" s="185" t="n"/>
      <c r="H9" s="185" t="n"/>
      <c r="I9" s="185" t="n"/>
      <c r="J9" s="185" t="n"/>
      <c r="K9" s="185" t="n"/>
      <c r="L9" s="185" t="n"/>
      <c r="M9" s="185" t="n"/>
      <c r="N9" s="185" t="n"/>
      <c r="O9" s="186">
        <f>SUM(C9:N9)</f>
        <v/>
      </c>
    </row>
    <row r="10">
      <c r="A10" s="179" t="n"/>
      <c r="B10" s="183" t="inlineStr">
        <is>
          <t>DESPESAS</t>
        </is>
      </c>
      <c r="C10" s="185" t="n"/>
      <c r="D10" s="185" t="n"/>
      <c r="E10" s="185" t="n"/>
      <c r="F10" s="185" t="n"/>
      <c r="G10" s="185" t="n"/>
      <c r="H10" s="185" t="n"/>
      <c r="I10" s="185" t="n"/>
      <c r="J10" s="185" t="n"/>
      <c r="K10" s="185" t="n"/>
      <c r="L10" s="185" t="n"/>
      <c r="M10" s="185" t="n"/>
      <c r="N10" s="185" t="n"/>
      <c r="O10" s="186">
        <f>SUM(C10:N10)</f>
        <v/>
      </c>
    </row>
    <row r="11">
      <c r="A11" s="179" t="n"/>
      <c r="B11" s="183" t="inlineStr">
        <is>
          <t>RESULTADO</t>
        </is>
      </c>
      <c r="C11" s="185">
        <f>C9-C10</f>
        <v/>
      </c>
      <c r="D11" s="185">
        <f>D9-D10</f>
        <v/>
      </c>
      <c r="E11" s="185">
        <f>E9-E10</f>
        <v/>
      </c>
      <c r="F11" s="185">
        <f>F9-F10</f>
        <v/>
      </c>
      <c r="G11" s="185">
        <f>G9-G10</f>
        <v/>
      </c>
      <c r="H11" s="185">
        <f>H9-H10</f>
        <v/>
      </c>
      <c r="I11" s="185">
        <f>I9-I10</f>
        <v/>
      </c>
      <c r="J11" s="185">
        <f>J9-J10</f>
        <v/>
      </c>
      <c r="K11" s="185">
        <f>K9-K10</f>
        <v/>
      </c>
      <c r="L11" s="185">
        <f>L9-L10</f>
        <v/>
      </c>
      <c r="M11" s="185">
        <f>M9-M10</f>
        <v/>
      </c>
      <c r="N11" s="185">
        <f>N9-N10</f>
        <v/>
      </c>
      <c r="O11" s="186">
        <f>O9-O10</f>
        <v/>
      </c>
    </row>
    <row r="12">
      <c r="A12" s="179" t="n">
        <v>2</v>
      </c>
      <c r="B12" s="180">
        <f>RESULTADO!B29</f>
        <v/>
      </c>
      <c r="C12" s="181" t="inlineStr">
        <is>
          <t>JANEIRO</t>
        </is>
      </c>
      <c r="D12" s="181" t="inlineStr">
        <is>
          <t>FEVEREIRO</t>
        </is>
      </c>
      <c r="E12" s="181" t="inlineStr">
        <is>
          <t>MARCO</t>
        </is>
      </c>
      <c r="F12" s="181" t="inlineStr">
        <is>
          <t>ABRIL</t>
        </is>
      </c>
      <c r="G12" s="181" t="inlineStr">
        <is>
          <t>MAIO</t>
        </is>
      </c>
      <c r="H12" s="181" t="inlineStr">
        <is>
          <t>JUNHO</t>
        </is>
      </c>
      <c r="I12" s="181" t="inlineStr">
        <is>
          <t>JULHO</t>
        </is>
      </c>
      <c r="J12" s="181" t="inlineStr">
        <is>
          <t>AGOSTO</t>
        </is>
      </c>
      <c r="K12" s="181" t="inlineStr">
        <is>
          <t>SETEMBRO</t>
        </is>
      </c>
      <c r="L12" s="181" t="inlineStr">
        <is>
          <t>OUTUBRO</t>
        </is>
      </c>
      <c r="M12" s="181" t="inlineStr">
        <is>
          <t>NOVEMBRO</t>
        </is>
      </c>
      <c r="N12" s="181" t="inlineStr">
        <is>
          <t>DEZEMBRO</t>
        </is>
      </c>
      <c r="O12" s="182" t="inlineStr">
        <is>
          <t>TOTAL</t>
        </is>
      </c>
    </row>
    <row r="13">
      <c r="A13" s="179" t="n"/>
      <c r="B13" s="183" t="inlineStr">
        <is>
          <t>RECEITAS</t>
        </is>
      </c>
      <c r="C13" s="185" t="n"/>
      <c r="D13" s="185" t="n"/>
      <c r="E13" s="185" t="n"/>
      <c r="F13" s="185" t="n"/>
      <c r="G13" s="185" t="n"/>
      <c r="H13" s="185" t="n"/>
      <c r="I13" s="185" t="n"/>
      <c r="J13" s="185" t="n"/>
      <c r="K13" s="185" t="n"/>
      <c r="L13" s="185" t="n"/>
      <c r="M13" s="185" t="n"/>
      <c r="N13" s="185" t="n"/>
      <c r="O13" s="186">
        <f>SUM(C13:N13)</f>
        <v/>
      </c>
    </row>
    <row r="14">
      <c r="A14" s="179" t="n"/>
      <c r="B14" s="183" t="inlineStr">
        <is>
          <t>DESPESAS</t>
        </is>
      </c>
      <c r="C14" s="185" t="n"/>
      <c r="D14" s="185" t="n"/>
      <c r="E14" s="185" t="n"/>
      <c r="F14" s="185" t="n"/>
      <c r="G14" s="185" t="n"/>
      <c r="H14" s="185" t="n"/>
      <c r="I14" s="185" t="n"/>
      <c r="J14" s="185" t="n"/>
      <c r="K14" s="185" t="n"/>
      <c r="L14" s="185" t="n"/>
      <c r="M14" s="185" t="n"/>
      <c r="N14" s="185" t="n"/>
      <c r="O14" s="186">
        <f>SUM(C14:N14)</f>
        <v/>
      </c>
    </row>
    <row r="15">
      <c r="A15" s="179" t="n"/>
      <c r="B15" s="183" t="inlineStr">
        <is>
          <t>RESULTADO</t>
        </is>
      </c>
      <c r="C15" s="185">
        <f>C13-C14</f>
        <v/>
      </c>
      <c r="D15" s="185">
        <f>D13-D14</f>
        <v/>
      </c>
      <c r="E15" s="185">
        <f>E13-E14</f>
        <v/>
      </c>
      <c r="F15" s="185">
        <f>F13-F14</f>
        <v/>
      </c>
      <c r="G15" s="185">
        <f>G13-G14</f>
        <v/>
      </c>
      <c r="H15" s="185">
        <f>H13-H14</f>
        <v/>
      </c>
      <c r="I15" s="185">
        <f>I13-I14</f>
        <v/>
      </c>
      <c r="J15" s="185">
        <f>J13-J14</f>
        <v/>
      </c>
      <c r="K15" s="185">
        <f>K13-K14</f>
        <v/>
      </c>
      <c r="L15" s="185">
        <f>L13-L14</f>
        <v/>
      </c>
      <c r="M15" s="185">
        <f>M13-M14</f>
        <v/>
      </c>
      <c r="N15" s="185">
        <f>N13-N14</f>
        <v/>
      </c>
      <c r="O15" s="186">
        <f>O13-O14</f>
        <v/>
      </c>
    </row>
    <row r="16">
      <c r="A16" s="179" t="n">
        <v>3</v>
      </c>
      <c r="B16" s="180">
        <f>RESULTADO!B30</f>
        <v/>
      </c>
      <c r="C16" s="181" t="inlineStr">
        <is>
          <t>JANEIRO</t>
        </is>
      </c>
      <c r="D16" s="181" t="inlineStr">
        <is>
          <t>FEVEREIRO</t>
        </is>
      </c>
      <c r="E16" s="181" t="inlineStr">
        <is>
          <t>MARCO</t>
        </is>
      </c>
      <c r="F16" s="181" t="inlineStr">
        <is>
          <t>ABRIL</t>
        </is>
      </c>
      <c r="G16" s="181" t="inlineStr">
        <is>
          <t>MAIO</t>
        </is>
      </c>
      <c r="H16" s="181" t="inlineStr">
        <is>
          <t>JUNHO</t>
        </is>
      </c>
      <c r="I16" s="181" t="inlineStr">
        <is>
          <t>JULHO</t>
        </is>
      </c>
      <c r="J16" s="181" t="inlineStr">
        <is>
          <t>AGOSTO</t>
        </is>
      </c>
      <c r="K16" s="181" t="inlineStr">
        <is>
          <t>SETEMBRO</t>
        </is>
      </c>
      <c r="L16" s="181" t="inlineStr">
        <is>
          <t>OUTUBRO</t>
        </is>
      </c>
      <c r="M16" s="181" t="inlineStr">
        <is>
          <t>NOVEMBRO</t>
        </is>
      </c>
      <c r="N16" s="181" t="inlineStr">
        <is>
          <t>DEZEMBRO</t>
        </is>
      </c>
      <c r="O16" s="182" t="inlineStr">
        <is>
          <t>TOTAL</t>
        </is>
      </c>
    </row>
    <row r="17">
      <c r="A17" s="179" t="n"/>
      <c r="B17" s="183" t="inlineStr">
        <is>
          <t>RECEITAS</t>
        </is>
      </c>
      <c r="C17" s="185" t="n"/>
      <c r="D17" s="185" t="n"/>
      <c r="E17" s="185" t="n"/>
      <c r="F17" s="185" t="n"/>
      <c r="G17" s="185" t="n"/>
      <c r="H17" s="185" t="n"/>
      <c r="I17" s="185" t="n"/>
      <c r="J17" s="185" t="n"/>
      <c r="K17" s="185" t="n"/>
      <c r="L17" s="185" t="n"/>
      <c r="M17" s="185" t="n"/>
      <c r="N17" s="185" t="n"/>
      <c r="O17" s="186">
        <f>SUM(C17:N17)</f>
        <v/>
      </c>
    </row>
    <row r="18">
      <c r="A18" s="179" t="n"/>
      <c r="B18" s="183" t="inlineStr">
        <is>
          <t>DESPESAS</t>
        </is>
      </c>
      <c r="C18" s="185" t="n"/>
      <c r="D18" s="185" t="n"/>
      <c r="E18" s="185" t="n"/>
      <c r="F18" s="185" t="n"/>
      <c r="G18" s="185" t="n"/>
      <c r="H18" s="185" t="n"/>
      <c r="I18" s="185" t="n"/>
      <c r="J18" s="185" t="n"/>
      <c r="K18" s="185" t="n"/>
      <c r="L18" s="185" t="n"/>
      <c r="M18" s="185" t="n"/>
      <c r="N18" s="185" t="n"/>
      <c r="O18" s="186">
        <f>SUM(C18:N18)</f>
        <v/>
      </c>
    </row>
    <row r="19">
      <c r="A19" s="179" t="n"/>
      <c r="B19" s="183" t="inlineStr">
        <is>
          <t>RESULTADO</t>
        </is>
      </c>
      <c r="C19" s="185">
        <f>C17-C18</f>
        <v/>
      </c>
      <c r="D19" s="185">
        <f>D17-D18</f>
        <v/>
      </c>
      <c r="E19" s="185">
        <f>E17-E18</f>
        <v/>
      </c>
      <c r="F19" s="185">
        <f>F17-F18</f>
        <v/>
      </c>
      <c r="G19" s="185">
        <f>G17-G18</f>
        <v/>
      </c>
      <c r="H19" s="185">
        <f>H17-H18</f>
        <v/>
      </c>
      <c r="I19" s="185">
        <f>I17-I18</f>
        <v/>
      </c>
      <c r="J19" s="185">
        <f>J17-J18</f>
        <v/>
      </c>
      <c r="K19" s="185">
        <f>K17-K18</f>
        <v/>
      </c>
      <c r="L19" s="185">
        <f>L17-L18</f>
        <v/>
      </c>
      <c r="M19" s="185">
        <f>M17-M18</f>
        <v/>
      </c>
      <c r="N19" s="185">
        <f>N17-N18</f>
        <v/>
      </c>
      <c r="O19" s="186">
        <f>O17-O18</f>
        <v/>
      </c>
    </row>
    <row r="20">
      <c r="A20" s="179" t="n">
        <v>4</v>
      </c>
      <c r="B20" s="180">
        <f>RESULTADO!B31</f>
        <v/>
      </c>
      <c r="C20" s="181" t="inlineStr">
        <is>
          <t>JANEIRO</t>
        </is>
      </c>
      <c r="D20" s="181" t="inlineStr">
        <is>
          <t>FEVEREIRO</t>
        </is>
      </c>
      <c r="E20" s="181" t="inlineStr">
        <is>
          <t>MARCO</t>
        </is>
      </c>
      <c r="F20" s="181" t="inlineStr">
        <is>
          <t>ABRIL</t>
        </is>
      </c>
      <c r="G20" s="181" t="inlineStr">
        <is>
          <t>MAIO</t>
        </is>
      </c>
      <c r="H20" s="181" t="inlineStr">
        <is>
          <t>JUNHO</t>
        </is>
      </c>
      <c r="I20" s="181" t="inlineStr">
        <is>
          <t>JULHO</t>
        </is>
      </c>
      <c r="J20" s="181" t="inlineStr">
        <is>
          <t>AGOSTO</t>
        </is>
      </c>
      <c r="K20" s="181" t="inlineStr">
        <is>
          <t>SETEMBRO</t>
        </is>
      </c>
      <c r="L20" s="181" t="inlineStr">
        <is>
          <t>OUTUBRO</t>
        </is>
      </c>
      <c r="M20" s="181" t="inlineStr">
        <is>
          <t>NOVEMBRO</t>
        </is>
      </c>
      <c r="N20" s="181" t="inlineStr">
        <is>
          <t>DEZEMBRO</t>
        </is>
      </c>
      <c r="O20" s="182" t="inlineStr">
        <is>
          <t>TOTAL</t>
        </is>
      </c>
    </row>
    <row r="21" ht="15.75" customHeight="1" s="673">
      <c r="A21" s="179" t="n"/>
      <c r="B21" s="183" t="inlineStr">
        <is>
          <t>RECEITAS</t>
        </is>
      </c>
      <c r="C21" s="185" t="n"/>
      <c r="D21" s="185" t="n"/>
      <c r="E21" s="185" t="n"/>
      <c r="F21" s="185" t="n"/>
      <c r="G21" s="185" t="n"/>
      <c r="H21" s="185" t="n"/>
      <c r="I21" s="185" t="n"/>
      <c r="J21" s="185" t="n"/>
      <c r="K21" s="185" t="n"/>
      <c r="L21" s="185" t="n"/>
      <c r="M21" s="185" t="n"/>
      <c r="N21" s="185" t="n"/>
      <c r="O21" s="186">
        <f>SUM(C21:N21)</f>
        <v/>
      </c>
    </row>
    <row r="22" ht="15.75" customHeight="1" s="673">
      <c r="A22" s="179" t="n"/>
      <c r="B22" s="183" t="inlineStr">
        <is>
          <t>DESPESAS</t>
        </is>
      </c>
      <c r="C22" s="185" t="n"/>
      <c r="D22" s="185" t="n"/>
      <c r="E22" s="185" t="n"/>
      <c r="F22" s="185" t="n"/>
      <c r="G22" s="185" t="n"/>
      <c r="H22" s="185" t="n"/>
      <c r="I22" s="185" t="n"/>
      <c r="J22" s="185" t="n"/>
      <c r="K22" s="185" t="n"/>
      <c r="L22" s="185" t="n"/>
      <c r="M22" s="185" t="n"/>
      <c r="N22" s="185" t="n"/>
      <c r="O22" s="186">
        <f>SUM(C22:N22)</f>
        <v/>
      </c>
    </row>
    <row r="23" ht="15.75" customHeight="1" s="673">
      <c r="A23" s="179" t="n"/>
      <c r="B23" s="183" t="inlineStr">
        <is>
          <t>RESULTADO</t>
        </is>
      </c>
      <c r="C23" s="185">
        <f>C21-C22</f>
        <v/>
      </c>
      <c r="D23" s="185">
        <f>D21-D22</f>
        <v/>
      </c>
      <c r="E23" s="185">
        <f>E21-E22</f>
        <v/>
      </c>
      <c r="F23" s="185">
        <f>F21-F22</f>
        <v/>
      </c>
      <c r="G23" s="185">
        <f>G21-G22</f>
        <v/>
      </c>
      <c r="H23" s="185">
        <f>H21-H22</f>
        <v/>
      </c>
      <c r="I23" s="185">
        <f>I21-I22</f>
        <v/>
      </c>
      <c r="J23" s="185">
        <f>J21-J22</f>
        <v/>
      </c>
      <c r="K23" s="185">
        <f>K21-K22</f>
        <v/>
      </c>
      <c r="L23" s="185">
        <f>L21-L22</f>
        <v/>
      </c>
      <c r="M23" s="185">
        <f>M21-M22</f>
        <v/>
      </c>
      <c r="N23" s="185">
        <f>N21-N22</f>
        <v/>
      </c>
      <c r="O23" s="186">
        <f>O21-O22</f>
        <v/>
      </c>
    </row>
    <row r="24" ht="15.75" customHeight="1" s="673">
      <c r="A24" s="179" t="n">
        <v>5</v>
      </c>
      <c r="B24" s="180">
        <f>RESULTADO!B32</f>
        <v/>
      </c>
      <c r="C24" s="181" t="inlineStr">
        <is>
          <t>JANEIRO</t>
        </is>
      </c>
      <c r="D24" s="181" t="inlineStr">
        <is>
          <t>FEVEREIRO</t>
        </is>
      </c>
      <c r="E24" s="181" t="inlineStr">
        <is>
          <t>MARCO</t>
        </is>
      </c>
      <c r="F24" s="181" t="inlineStr">
        <is>
          <t>ABRIL</t>
        </is>
      </c>
      <c r="G24" s="181" t="inlineStr">
        <is>
          <t>MAIO</t>
        </is>
      </c>
      <c r="H24" s="181" t="inlineStr">
        <is>
          <t>JUNHO</t>
        </is>
      </c>
      <c r="I24" s="181" t="inlineStr">
        <is>
          <t>JULHO</t>
        </is>
      </c>
      <c r="J24" s="181" t="inlineStr">
        <is>
          <t>AGOSTO</t>
        </is>
      </c>
      <c r="K24" s="181" t="inlineStr">
        <is>
          <t>SETEMBRO</t>
        </is>
      </c>
      <c r="L24" s="181" t="inlineStr">
        <is>
          <t>OUTUBRO</t>
        </is>
      </c>
      <c r="M24" s="181" t="inlineStr">
        <is>
          <t>NOVEMBRO</t>
        </is>
      </c>
      <c r="N24" s="181" t="inlineStr">
        <is>
          <t>DEZEMBRO</t>
        </is>
      </c>
      <c r="O24" s="182" t="inlineStr">
        <is>
          <t>TOTAL</t>
        </is>
      </c>
    </row>
    <row r="25" ht="15.75" customHeight="1" s="673">
      <c r="A25" s="179" t="n"/>
      <c r="B25" s="183" t="inlineStr">
        <is>
          <t>RECEITAS</t>
        </is>
      </c>
      <c r="C25" s="185" t="n"/>
      <c r="D25" s="185" t="n"/>
      <c r="E25" s="185" t="n"/>
      <c r="F25" s="185" t="n"/>
      <c r="G25" s="185" t="n"/>
      <c r="H25" s="185" t="n"/>
      <c r="I25" s="185" t="n"/>
      <c r="J25" s="185" t="n"/>
      <c r="K25" s="185" t="n"/>
      <c r="L25" s="185" t="n"/>
      <c r="M25" s="185" t="n"/>
      <c r="N25" s="185" t="n"/>
      <c r="O25" s="186">
        <f>SUM(C25:N25)</f>
        <v/>
      </c>
    </row>
    <row r="26" ht="15.75" customHeight="1" s="673">
      <c r="A26" s="179" t="n"/>
      <c r="B26" s="183" t="inlineStr">
        <is>
          <t>DESPESAS</t>
        </is>
      </c>
      <c r="C26" s="185" t="n"/>
      <c r="D26" s="185" t="n"/>
      <c r="E26" s="185" t="n"/>
      <c r="F26" s="185" t="n"/>
      <c r="G26" s="185" t="n"/>
      <c r="H26" s="185" t="n"/>
      <c r="I26" s="185" t="n"/>
      <c r="J26" s="185" t="n"/>
      <c r="K26" s="185" t="n"/>
      <c r="L26" s="185" t="n"/>
      <c r="M26" s="185" t="n"/>
      <c r="N26" s="185" t="n"/>
      <c r="O26" s="186">
        <f>SUM(C26:N26)</f>
        <v/>
      </c>
    </row>
    <row r="27" ht="15.75" customHeight="1" s="673">
      <c r="A27" s="179" t="n"/>
      <c r="B27" s="183" t="inlineStr">
        <is>
          <t>RESULTADO</t>
        </is>
      </c>
      <c r="C27" s="185">
        <f>C25-C26</f>
        <v/>
      </c>
      <c r="D27" s="185">
        <f>D25-D26</f>
        <v/>
      </c>
      <c r="E27" s="185">
        <f>E25-E26</f>
        <v/>
      </c>
      <c r="F27" s="185">
        <f>F25-F26</f>
        <v/>
      </c>
      <c r="G27" s="185">
        <f>G25-G26</f>
        <v/>
      </c>
      <c r="H27" s="185">
        <f>H25-H26</f>
        <v/>
      </c>
      <c r="I27" s="185">
        <f>I25-I26</f>
        <v/>
      </c>
      <c r="J27" s="185">
        <f>J25-J26</f>
        <v/>
      </c>
      <c r="K27" s="185">
        <f>K25-K26</f>
        <v/>
      </c>
      <c r="L27" s="185">
        <f>L25-L26</f>
        <v/>
      </c>
      <c r="M27" s="185">
        <f>M25-M26</f>
        <v/>
      </c>
      <c r="N27" s="185">
        <f>N25-N26</f>
        <v/>
      </c>
      <c r="O27" s="186">
        <f>O25-O26</f>
        <v/>
      </c>
    </row>
    <row r="28" ht="15.75" customHeight="1" s="673">
      <c r="A28" s="179" t="n">
        <v>6</v>
      </c>
      <c r="B28" s="180">
        <f>RESULTADO!B33</f>
        <v/>
      </c>
      <c r="C28" s="181" t="inlineStr">
        <is>
          <t>JANEIRO</t>
        </is>
      </c>
      <c r="D28" s="181" t="inlineStr">
        <is>
          <t>FEVEREIRO</t>
        </is>
      </c>
      <c r="E28" s="181" t="inlineStr">
        <is>
          <t>MARCO</t>
        </is>
      </c>
      <c r="F28" s="181" t="inlineStr">
        <is>
          <t>ABRIL</t>
        </is>
      </c>
      <c r="G28" s="181" t="inlineStr">
        <is>
          <t>MAIO</t>
        </is>
      </c>
      <c r="H28" s="181" t="inlineStr">
        <is>
          <t>JUNHO</t>
        </is>
      </c>
      <c r="I28" s="181" t="inlineStr">
        <is>
          <t>JULHO</t>
        </is>
      </c>
      <c r="J28" s="181" t="inlineStr">
        <is>
          <t>AGOSTO</t>
        </is>
      </c>
      <c r="K28" s="181" t="inlineStr">
        <is>
          <t>SETEMBRO</t>
        </is>
      </c>
      <c r="L28" s="181" t="inlineStr">
        <is>
          <t>OUTUBRO</t>
        </is>
      </c>
      <c r="M28" s="181" t="inlineStr">
        <is>
          <t>NOVEMBRO</t>
        </is>
      </c>
      <c r="N28" s="181" t="inlineStr">
        <is>
          <t>DEZEMBRO</t>
        </is>
      </c>
      <c r="O28" s="182" t="inlineStr">
        <is>
          <t>TOTAL</t>
        </is>
      </c>
    </row>
    <row r="29" ht="15.75" customHeight="1" s="673">
      <c r="A29" s="179" t="n"/>
      <c r="B29" s="183" t="inlineStr">
        <is>
          <t>RECEITAS</t>
        </is>
      </c>
      <c r="C29" s="185" t="n"/>
      <c r="D29" s="185" t="n"/>
      <c r="E29" s="185" t="n"/>
      <c r="F29" s="185" t="n"/>
      <c r="G29" s="185" t="n"/>
      <c r="H29" s="185" t="n"/>
      <c r="I29" s="185" t="n"/>
      <c r="J29" s="185" t="n"/>
      <c r="K29" s="185" t="n"/>
      <c r="L29" s="185" t="n"/>
      <c r="M29" s="185" t="n"/>
      <c r="N29" s="185" t="n"/>
      <c r="O29" s="186">
        <f>SUM(C29:N29)</f>
        <v/>
      </c>
    </row>
    <row r="30" ht="15.75" customHeight="1" s="673">
      <c r="A30" s="179" t="n"/>
      <c r="B30" s="183" t="inlineStr">
        <is>
          <t>DESPESAS</t>
        </is>
      </c>
      <c r="C30" s="185" t="n"/>
      <c r="D30" s="185" t="n"/>
      <c r="E30" s="185" t="n"/>
      <c r="F30" s="185" t="n"/>
      <c r="G30" s="185" t="n"/>
      <c r="H30" s="185" t="n"/>
      <c r="I30" s="185" t="n"/>
      <c r="J30" s="185" t="n"/>
      <c r="K30" s="185" t="n"/>
      <c r="L30" s="185" t="n"/>
      <c r="M30" s="185" t="n"/>
      <c r="N30" s="185" t="n"/>
      <c r="O30" s="186">
        <f>SUM(C30:N30)</f>
        <v/>
      </c>
    </row>
    <row r="31" ht="15.75" customHeight="1" s="673">
      <c r="A31" s="179" t="n"/>
      <c r="B31" s="183" t="inlineStr">
        <is>
          <t>RESULTADO</t>
        </is>
      </c>
      <c r="C31" s="185">
        <f>C29-C30</f>
        <v/>
      </c>
      <c r="D31" s="185">
        <f>D29-D30</f>
        <v/>
      </c>
      <c r="E31" s="185">
        <f>E29-E30</f>
        <v/>
      </c>
      <c r="F31" s="185">
        <f>F29-F30</f>
        <v/>
      </c>
      <c r="G31" s="185">
        <f>G29-G30</f>
        <v/>
      </c>
      <c r="H31" s="185">
        <f>H29-H30</f>
        <v/>
      </c>
      <c r="I31" s="185">
        <f>I29-I30</f>
        <v/>
      </c>
      <c r="J31" s="185">
        <f>J29-J30</f>
        <v/>
      </c>
      <c r="K31" s="185">
        <f>K29-K30</f>
        <v/>
      </c>
      <c r="L31" s="185">
        <f>L29-L30</f>
        <v/>
      </c>
      <c r="M31" s="185">
        <f>M29-M30</f>
        <v/>
      </c>
      <c r="N31" s="185">
        <f>N29-N30</f>
        <v/>
      </c>
      <c r="O31" s="186">
        <f>O29-O30</f>
        <v/>
      </c>
    </row>
    <row r="32" ht="15.75" customHeight="1" s="673">
      <c r="A32" s="179" t="n">
        <v>7</v>
      </c>
      <c r="B32" s="180">
        <f>RESULTADO!B34</f>
        <v/>
      </c>
      <c r="C32" s="181" t="inlineStr">
        <is>
          <t>JANEIRO</t>
        </is>
      </c>
      <c r="D32" s="181" t="inlineStr">
        <is>
          <t>FEVEREIRO</t>
        </is>
      </c>
      <c r="E32" s="181" t="inlineStr">
        <is>
          <t>MARCO</t>
        </is>
      </c>
      <c r="F32" s="181" t="inlineStr">
        <is>
          <t>ABRIL</t>
        </is>
      </c>
      <c r="G32" s="181" t="inlineStr">
        <is>
          <t>MAIO</t>
        </is>
      </c>
      <c r="H32" s="181" t="inlineStr">
        <is>
          <t>JUNHO</t>
        </is>
      </c>
      <c r="I32" s="181" t="inlineStr">
        <is>
          <t>JULHO</t>
        </is>
      </c>
      <c r="J32" s="181" t="inlineStr">
        <is>
          <t>AGOSTO</t>
        </is>
      </c>
      <c r="K32" s="181" t="inlineStr">
        <is>
          <t>SETEMBRO</t>
        </is>
      </c>
      <c r="L32" s="181" t="inlineStr">
        <is>
          <t>OUTUBRO</t>
        </is>
      </c>
      <c r="M32" s="181" t="inlineStr">
        <is>
          <t>NOVEMBRO</t>
        </is>
      </c>
      <c r="N32" s="181" t="inlineStr">
        <is>
          <t>DEZEMBRO</t>
        </is>
      </c>
      <c r="O32" s="182" t="inlineStr">
        <is>
          <t>TOTAL</t>
        </is>
      </c>
    </row>
    <row r="33" ht="15.75" customHeight="1" s="673">
      <c r="A33" s="179" t="n"/>
      <c r="B33" s="183" t="inlineStr">
        <is>
          <t>RECEITAS</t>
        </is>
      </c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  <c r="N33" s="185" t="n"/>
      <c r="O33" s="186">
        <f>SUM(C33:N33)</f>
        <v/>
      </c>
    </row>
    <row r="34" ht="15.75" customHeight="1" s="673">
      <c r="A34" s="179" t="n"/>
      <c r="B34" s="183" t="inlineStr">
        <is>
          <t>DESPESAS</t>
        </is>
      </c>
      <c r="C34" s="185" t="n"/>
      <c r="D34" s="185" t="n"/>
      <c r="E34" s="185" t="n"/>
      <c r="F34" s="185" t="n"/>
      <c r="G34" s="185" t="n"/>
      <c r="H34" s="185" t="n"/>
      <c r="I34" s="185" t="n"/>
      <c r="J34" s="185" t="n"/>
      <c r="K34" s="185" t="n"/>
      <c r="L34" s="185" t="n"/>
      <c r="M34" s="185" t="n"/>
      <c r="N34" s="185" t="n"/>
      <c r="O34" s="186">
        <f>SUM(C34:N34)</f>
        <v/>
      </c>
    </row>
    <row r="35" ht="15.75" customHeight="1" s="673">
      <c r="A35" s="179" t="n"/>
      <c r="B35" s="183" t="inlineStr">
        <is>
          <t>RESULTADO</t>
        </is>
      </c>
      <c r="C35" s="185">
        <f>C33-C34</f>
        <v/>
      </c>
      <c r="D35" s="185">
        <f>D33-D34</f>
        <v/>
      </c>
      <c r="E35" s="185">
        <f>E33-E34</f>
        <v/>
      </c>
      <c r="F35" s="185">
        <f>F33-F34</f>
        <v/>
      </c>
      <c r="G35" s="185">
        <f>G33-G34</f>
        <v/>
      </c>
      <c r="H35" s="185">
        <f>H33-H34</f>
        <v/>
      </c>
      <c r="I35" s="185">
        <f>I33-I34</f>
        <v/>
      </c>
      <c r="J35" s="185">
        <f>J33-J34</f>
        <v/>
      </c>
      <c r="K35" s="185">
        <f>K33-K34</f>
        <v/>
      </c>
      <c r="L35" s="185">
        <f>L33-L34</f>
        <v/>
      </c>
      <c r="M35" s="185">
        <f>M33-M34</f>
        <v/>
      </c>
      <c r="N35" s="185">
        <f>N33-N34</f>
        <v/>
      </c>
      <c r="O35" s="186">
        <f>O33-O34</f>
        <v/>
      </c>
    </row>
    <row r="36" ht="15.75" customHeight="1" s="673">
      <c r="A36" s="179" t="n">
        <v>8</v>
      </c>
      <c r="B36" s="180">
        <f>RESULTADO!B35</f>
        <v/>
      </c>
      <c r="C36" s="181" t="inlineStr">
        <is>
          <t>JANEIRO</t>
        </is>
      </c>
      <c r="D36" s="181" t="inlineStr">
        <is>
          <t>FEVEREIRO</t>
        </is>
      </c>
      <c r="E36" s="181" t="inlineStr">
        <is>
          <t>MARCO</t>
        </is>
      </c>
      <c r="F36" s="181" t="inlineStr">
        <is>
          <t>ABRIL</t>
        </is>
      </c>
      <c r="G36" s="181" t="inlineStr">
        <is>
          <t>MAIO</t>
        </is>
      </c>
      <c r="H36" s="181" t="inlineStr">
        <is>
          <t>JUNHO</t>
        </is>
      </c>
      <c r="I36" s="181" t="inlineStr">
        <is>
          <t>JULHO</t>
        </is>
      </c>
      <c r="J36" s="181" t="inlineStr">
        <is>
          <t>AGOSTO</t>
        </is>
      </c>
      <c r="K36" s="181" t="inlineStr">
        <is>
          <t>SETEMBRO</t>
        </is>
      </c>
      <c r="L36" s="181" t="inlineStr">
        <is>
          <t>OUTUBRO</t>
        </is>
      </c>
      <c r="M36" s="181" t="inlineStr">
        <is>
          <t>NOVEMBRO</t>
        </is>
      </c>
      <c r="N36" s="181" t="inlineStr">
        <is>
          <t>DEZEMBRO</t>
        </is>
      </c>
      <c r="O36" s="182" t="inlineStr">
        <is>
          <t>TOTAL</t>
        </is>
      </c>
    </row>
    <row r="37" ht="15.75" customHeight="1" s="673">
      <c r="A37" s="179" t="n"/>
      <c r="B37" s="183" t="inlineStr">
        <is>
          <t>RECEITAS</t>
        </is>
      </c>
      <c r="C37" s="185" t="n"/>
      <c r="D37" s="185" t="n"/>
      <c r="E37" s="185" t="n"/>
      <c r="F37" s="185" t="n"/>
      <c r="G37" s="185" t="n"/>
      <c r="H37" s="185" t="n"/>
      <c r="I37" s="185" t="n"/>
      <c r="J37" s="185" t="n"/>
      <c r="K37" s="185" t="n"/>
      <c r="L37" s="185" t="n"/>
      <c r="M37" s="185" t="n"/>
      <c r="N37" s="185" t="n"/>
      <c r="O37" s="186">
        <f>SUM(C37:N37)</f>
        <v/>
      </c>
    </row>
    <row r="38" ht="15.75" customHeight="1" s="673">
      <c r="A38" s="179" t="n"/>
      <c r="B38" s="183" t="inlineStr">
        <is>
          <t>DESPESAS</t>
        </is>
      </c>
      <c r="C38" s="185" t="n"/>
      <c r="D38" s="185" t="n"/>
      <c r="E38" s="185" t="n"/>
      <c r="F38" s="185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6">
        <f>SUM(C38:N38)</f>
        <v/>
      </c>
    </row>
    <row r="39" ht="15.75" customHeight="1" s="673">
      <c r="A39" s="179" t="n"/>
      <c r="B39" s="183" t="inlineStr">
        <is>
          <t>RESULTADO</t>
        </is>
      </c>
      <c r="C39" s="185">
        <f>C37-C38</f>
        <v/>
      </c>
      <c r="D39" s="185">
        <f>D37-D38</f>
        <v/>
      </c>
      <c r="E39" s="185">
        <f>E37-E38</f>
        <v/>
      </c>
      <c r="F39" s="185">
        <f>F37-F38</f>
        <v/>
      </c>
      <c r="G39" s="185">
        <f>G37-G38</f>
        <v/>
      </c>
      <c r="H39" s="185">
        <f>H37-H38</f>
        <v/>
      </c>
      <c r="I39" s="185">
        <f>I37-I38</f>
        <v/>
      </c>
      <c r="J39" s="185">
        <f>J37-J38</f>
        <v/>
      </c>
      <c r="K39" s="185">
        <f>K37-K38</f>
        <v/>
      </c>
      <c r="L39" s="185">
        <f>L37-L38</f>
        <v/>
      </c>
      <c r="M39" s="185">
        <f>M37-M38</f>
        <v/>
      </c>
      <c r="N39" s="185">
        <f>N37-N38</f>
        <v/>
      </c>
      <c r="O39" s="186">
        <f>O37-O38</f>
        <v/>
      </c>
    </row>
    <row r="40" ht="15.75" customHeight="1" s="673">
      <c r="A40" s="175" t="n"/>
    </row>
    <row r="41" ht="15.75" customHeight="1" s="673">
      <c r="A41" s="175" t="n"/>
    </row>
    <row r="42" ht="15.75" customHeight="1" s="673">
      <c r="A42" s="175" t="n"/>
    </row>
    <row r="43" ht="15.75" customHeight="1" s="673">
      <c r="A43" s="175" t="n"/>
    </row>
    <row r="44" ht="15.75" customHeight="1" s="673">
      <c r="A44" s="175" t="n"/>
    </row>
    <row r="45" ht="15.75" customHeight="1" s="673">
      <c r="A45" s="175" t="n"/>
    </row>
    <row r="46" ht="15.75" customHeight="1" s="673">
      <c r="A46" s="175" t="n"/>
    </row>
    <row r="47" ht="15.75" customHeight="1" s="673">
      <c r="A47" s="175" t="n"/>
    </row>
    <row r="48" ht="15.75" customHeight="1" s="673">
      <c r="A48" s="175" t="n"/>
    </row>
    <row r="49" ht="15.75" customHeight="1" s="673">
      <c r="A49" s="175" t="n"/>
    </row>
    <row r="50" ht="15.75" customHeight="1" s="673">
      <c r="A50" s="175" t="n"/>
    </row>
    <row r="51" ht="15.75" customHeight="1" s="673">
      <c r="A51" s="175" t="n"/>
    </row>
    <row r="52" ht="15.75" customHeight="1" s="673">
      <c r="A52" s="175" t="n"/>
    </row>
    <row r="53" ht="15.75" customHeight="1" s="673">
      <c r="A53" s="175" t="n"/>
    </row>
    <row r="54" ht="15.75" customHeight="1" s="673">
      <c r="A54" s="175" t="n"/>
    </row>
    <row r="55" ht="15.75" customHeight="1" s="673">
      <c r="A55" s="175" t="n"/>
    </row>
    <row r="56" ht="15.75" customHeight="1" s="673">
      <c r="A56" s="175" t="n"/>
    </row>
    <row r="57" ht="15.75" customHeight="1" s="673">
      <c r="A57" s="175" t="n"/>
    </row>
    <row r="58" ht="15.75" customHeight="1" s="673">
      <c r="A58" s="175" t="n"/>
    </row>
    <row r="59" ht="15.75" customHeight="1" s="673">
      <c r="A59" s="175" t="n"/>
    </row>
    <row r="60" ht="15.75" customHeight="1" s="673">
      <c r="A60" s="175" t="n"/>
    </row>
    <row r="61" ht="15.75" customHeight="1" s="673">
      <c r="A61" s="175" t="n"/>
    </row>
    <row r="62" ht="15.75" customHeight="1" s="673">
      <c r="A62" s="175" t="n"/>
    </row>
    <row r="63" ht="15.75" customHeight="1" s="673">
      <c r="A63" s="175" t="n"/>
    </row>
    <row r="64" ht="15.75" customHeight="1" s="673">
      <c r="A64" s="175" t="n"/>
    </row>
    <row r="65" ht="15.75" customHeight="1" s="673">
      <c r="A65" s="175" t="n"/>
    </row>
    <row r="66" ht="15.75" customHeight="1" s="673">
      <c r="A66" s="175" t="n"/>
    </row>
    <row r="67" ht="15.75" customHeight="1" s="673">
      <c r="A67" s="175" t="n"/>
    </row>
    <row r="68" ht="15.75" customHeight="1" s="673">
      <c r="A68" s="175" t="n"/>
    </row>
    <row r="69" ht="15.75" customHeight="1" s="673">
      <c r="A69" s="175" t="n"/>
    </row>
    <row r="70" ht="15.75" customHeight="1" s="673">
      <c r="A70" s="175" t="n"/>
    </row>
    <row r="71" ht="15.75" customHeight="1" s="673">
      <c r="A71" s="175" t="n"/>
    </row>
    <row r="72" ht="15.75" customHeight="1" s="673">
      <c r="A72" s="175" t="n"/>
    </row>
    <row r="73" ht="15.75" customHeight="1" s="673">
      <c r="A73" s="175" t="n"/>
    </row>
    <row r="74" ht="15.75" customHeight="1" s="673">
      <c r="A74" s="175" t="n"/>
    </row>
    <row r="75" ht="15.75" customHeight="1" s="673">
      <c r="A75" s="175" t="n"/>
    </row>
    <row r="76" ht="15.75" customHeight="1" s="673">
      <c r="A76" s="175" t="n"/>
    </row>
    <row r="77" ht="15.75" customHeight="1" s="673">
      <c r="A77" s="175" t="n"/>
    </row>
    <row r="78" ht="15.75" customHeight="1" s="673">
      <c r="A78" s="175" t="n"/>
    </row>
    <row r="79" ht="15.75" customHeight="1" s="673">
      <c r="A79" s="175" t="n"/>
    </row>
    <row r="80" ht="15.75" customHeight="1" s="673">
      <c r="A80" s="175" t="n"/>
    </row>
    <row r="81" ht="15.75" customHeight="1" s="673">
      <c r="A81" s="175" t="n"/>
    </row>
    <row r="82" ht="15.75" customHeight="1" s="673">
      <c r="A82" s="175" t="n"/>
    </row>
    <row r="83" ht="15.75" customHeight="1" s="673">
      <c r="A83" s="175" t="n"/>
    </row>
    <row r="84" ht="15.75" customHeight="1" s="673">
      <c r="A84" s="175" t="n"/>
    </row>
    <row r="85" ht="15.75" customHeight="1" s="673">
      <c r="A85" s="175" t="n"/>
    </row>
    <row r="86" ht="15.75" customHeight="1" s="673">
      <c r="A86" s="175" t="n"/>
    </row>
    <row r="87" ht="15.75" customHeight="1" s="673">
      <c r="A87" s="175" t="n"/>
    </row>
    <row r="88" ht="15.75" customHeight="1" s="673">
      <c r="A88" s="175" t="n"/>
    </row>
    <row r="89" ht="15.75" customHeight="1" s="673">
      <c r="A89" s="175" t="n"/>
    </row>
    <row r="90" ht="15.75" customHeight="1" s="673">
      <c r="A90" s="175" t="n"/>
    </row>
    <row r="91" ht="15.75" customHeight="1" s="673">
      <c r="A91" s="175" t="n"/>
    </row>
    <row r="92" ht="15.75" customHeight="1" s="673">
      <c r="A92" s="175" t="n"/>
    </row>
    <row r="93" ht="15.75" customHeight="1" s="673">
      <c r="A93" s="175" t="n"/>
    </row>
    <row r="94" ht="15.75" customHeight="1" s="673">
      <c r="A94" s="175" t="n"/>
    </row>
    <row r="95" ht="15.75" customHeight="1" s="673">
      <c r="A95" s="175" t="n"/>
    </row>
    <row r="96" ht="15.75" customHeight="1" s="673">
      <c r="A96" s="175" t="n"/>
    </row>
    <row r="97" ht="15.75" customHeight="1" s="673">
      <c r="A97" s="175" t="n"/>
    </row>
    <row r="98" ht="15.75" customHeight="1" s="673">
      <c r="A98" s="175" t="n"/>
    </row>
    <row r="99" ht="15.75" customHeight="1" s="673">
      <c r="A99" s="175" t="n"/>
    </row>
    <row r="100" ht="15.75" customHeight="1" s="673">
      <c r="A100" s="175" t="n"/>
    </row>
    <row r="101" ht="15.75" customHeight="1" s="673">
      <c r="A101" s="175" t="n"/>
    </row>
    <row r="102" ht="15.75" customHeight="1" s="673">
      <c r="A102" s="175" t="n"/>
    </row>
    <row r="103" ht="15.75" customHeight="1" s="673">
      <c r="A103" s="175" t="n"/>
    </row>
    <row r="104" ht="15.75" customHeight="1" s="673">
      <c r="A104" s="175" t="n"/>
    </row>
    <row r="105" ht="15.75" customHeight="1" s="673">
      <c r="A105" s="175" t="n"/>
    </row>
    <row r="106" ht="15.75" customHeight="1" s="673">
      <c r="A106" s="175" t="n"/>
    </row>
    <row r="107" ht="15.75" customHeight="1" s="673">
      <c r="A107" s="175" t="n"/>
    </row>
    <row r="108" ht="15.75" customHeight="1" s="673">
      <c r="A108" s="175" t="n"/>
    </row>
    <row r="109" ht="15.75" customHeight="1" s="673">
      <c r="A109" s="175" t="n"/>
    </row>
    <row r="110" ht="15.75" customHeight="1" s="673">
      <c r="A110" s="175" t="n"/>
    </row>
    <row r="111" ht="15.75" customHeight="1" s="673">
      <c r="A111" s="175" t="n"/>
    </row>
    <row r="112" ht="15.75" customHeight="1" s="673">
      <c r="A112" s="175" t="n"/>
    </row>
    <row r="113" ht="15.75" customHeight="1" s="673">
      <c r="A113" s="175" t="n"/>
    </row>
    <row r="114" ht="15.75" customHeight="1" s="673">
      <c r="A114" s="175" t="n"/>
    </row>
    <row r="115" ht="15.75" customHeight="1" s="673">
      <c r="A115" s="175" t="n"/>
    </row>
    <row r="116" ht="15.75" customHeight="1" s="673">
      <c r="A116" s="175" t="n"/>
    </row>
    <row r="117" ht="15.75" customHeight="1" s="673">
      <c r="A117" s="175" t="n"/>
    </row>
    <row r="118" ht="15.75" customHeight="1" s="673">
      <c r="A118" s="175" t="n"/>
    </row>
    <row r="119" ht="15.75" customHeight="1" s="673">
      <c r="A119" s="175" t="n"/>
    </row>
    <row r="120" ht="15.75" customHeight="1" s="673">
      <c r="A120" s="175" t="n"/>
    </row>
    <row r="121" ht="15.75" customHeight="1" s="673">
      <c r="A121" s="175" t="n"/>
    </row>
    <row r="122" ht="15.75" customHeight="1" s="673">
      <c r="A122" s="175" t="n"/>
    </row>
    <row r="123" ht="15.75" customHeight="1" s="673">
      <c r="A123" s="175" t="n"/>
    </row>
    <row r="124" ht="15.75" customHeight="1" s="673">
      <c r="A124" s="175" t="n"/>
    </row>
    <row r="125" ht="15.75" customHeight="1" s="673">
      <c r="A125" s="175" t="n"/>
    </row>
    <row r="126" ht="15.75" customHeight="1" s="673">
      <c r="A126" s="175" t="n"/>
    </row>
    <row r="127" ht="15.75" customHeight="1" s="673">
      <c r="A127" s="175" t="n"/>
    </row>
    <row r="128" ht="15.75" customHeight="1" s="673">
      <c r="A128" s="175" t="n"/>
    </row>
    <row r="129" ht="15.75" customHeight="1" s="673">
      <c r="A129" s="175" t="n"/>
    </row>
    <row r="130" ht="15.75" customHeight="1" s="673">
      <c r="A130" s="175" t="n"/>
    </row>
    <row r="131" ht="15.75" customHeight="1" s="673">
      <c r="A131" s="175" t="n"/>
    </row>
    <row r="132" ht="15.75" customHeight="1" s="673">
      <c r="A132" s="175" t="n"/>
    </row>
    <row r="133" ht="15.75" customHeight="1" s="673">
      <c r="A133" s="175" t="n"/>
    </row>
    <row r="134" ht="15.75" customHeight="1" s="673">
      <c r="A134" s="175" t="n"/>
    </row>
    <row r="135" ht="15.75" customHeight="1" s="673">
      <c r="A135" s="175" t="n"/>
    </row>
    <row r="136" ht="15.75" customHeight="1" s="673">
      <c r="A136" s="175" t="n"/>
    </row>
    <row r="137" ht="15.75" customHeight="1" s="673">
      <c r="A137" s="175" t="n"/>
    </row>
    <row r="138" ht="15.75" customHeight="1" s="673">
      <c r="A138" s="175" t="n"/>
    </row>
    <row r="139" ht="15.75" customHeight="1" s="673">
      <c r="A139" s="175" t="n"/>
    </row>
    <row r="140" ht="15.75" customHeight="1" s="673">
      <c r="A140" s="175" t="n"/>
    </row>
    <row r="141" ht="15.75" customHeight="1" s="673">
      <c r="A141" s="175" t="n"/>
    </row>
    <row r="142" ht="15.75" customHeight="1" s="673">
      <c r="A142" s="175" t="n"/>
    </row>
    <row r="143" ht="15.75" customHeight="1" s="673">
      <c r="A143" s="175" t="n"/>
    </row>
    <row r="144" ht="15.75" customHeight="1" s="673">
      <c r="A144" s="175" t="n"/>
    </row>
    <row r="145" ht="15.75" customHeight="1" s="673">
      <c r="A145" s="175" t="n"/>
    </row>
    <row r="146" ht="15.75" customHeight="1" s="673">
      <c r="A146" s="175" t="n"/>
    </row>
    <row r="147" ht="15.75" customHeight="1" s="673">
      <c r="A147" s="175" t="n"/>
    </row>
    <row r="148" ht="15.75" customHeight="1" s="673">
      <c r="A148" s="175" t="n"/>
    </row>
    <row r="149" ht="15.75" customHeight="1" s="673">
      <c r="A149" s="175" t="n"/>
    </row>
    <row r="150" ht="15.75" customHeight="1" s="673">
      <c r="A150" s="175" t="n"/>
    </row>
    <row r="151" ht="15.75" customHeight="1" s="673">
      <c r="A151" s="175" t="n"/>
    </row>
    <row r="152" ht="15.75" customHeight="1" s="673">
      <c r="A152" s="175" t="n"/>
    </row>
    <row r="153" ht="15.75" customHeight="1" s="673">
      <c r="A153" s="175" t="n"/>
    </row>
    <row r="154" ht="15.75" customHeight="1" s="673">
      <c r="A154" s="175" t="n"/>
    </row>
    <row r="155" ht="15.75" customHeight="1" s="673">
      <c r="A155" s="175" t="n"/>
    </row>
    <row r="156" ht="15.75" customHeight="1" s="673">
      <c r="A156" s="175" t="n"/>
    </row>
    <row r="157" ht="15.75" customHeight="1" s="673">
      <c r="A157" s="175" t="n"/>
    </row>
    <row r="158" ht="15.75" customHeight="1" s="673">
      <c r="A158" s="175" t="n"/>
    </row>
    <row r="159" ht="15.75" customHeight="1" s="673">
      <c r="A159" s="175" t="n"/>
    </row>
    <row r="160" ht="15.75" customHeight="1" s="673">
      <c r="A160" s="175" t="n"/>
    </row>
    <row r="161" ht="15.75" customHeight="1" s="673">
      <c r="A161" s="175" t="n"/>
    </row>
    <row r="162" ht="15.75" customHeight="1" s="673">
      <c r="A162" s="175" t="n"/>
    </row>
    <row r="163" ht="15.75" customHeight="1" s="673">
      <c r="A163" s="175" t="n"/>
    </row>
    <row r="164" ht="15.75" customHeight="1" s="673">
      <c r="A164" s="175" t="n"/>
    </row>
    <row r="165" ht="15.75" customHeight="1" s="673">
      <c r="A165" s="175" t="n"/>
    </row>
    <row r="166" ht="15.75" customHeight="1" s="673">
      <c r="A166" s="175" t="n"/>
    </row>
    <row r="167" ht="15.75" customHeight="1" s="673">
      <c r="A167" s="175" t="n"/>
    </row>
    <row r="168" ht="15.75" customHeight="1" s="673">
      <c r="A168" s="175" t="n"/>
    </row>
    <row r="169" ht="15.75" customHeight="1" s="673">
      <c r="A169" s="175" t="n"/>
    </row>
    <row r="170" ht="15.75" customHeight="1" s="673">
      <c r="A170" s="175" t="n"/>
    </row>
    <row r="171" ht="15.75" customHeight="1" s="673">
      <c r="A171" s="175" t="n"/>
    </row>
    <row r="172" ht="15.75" customHeight="1" s="673">
      <c r="A172" s="175" t="n"/>
    </row>
    <row r="173" ht="15.75" customHeight="1" s="673">
      <c r="A173" s="175" t="n"/>
    </row>
    <row r="174" ht="15.75" customHeight="1" s="673">
      <c r="A174" s="175" t="n"/>
    </row>
    <row r="175" ht="15.75" customHeight="1" s="673">
      <c r="A175" s="175" t="n"/>
    </row>
    <row r="176" ht="15.75" customHeight="1" s="673">
      <c r="A176" s="175" t="n"/>
    </row>
    <row r="177" ht="15.75" customHeight="1" s="673">
      <c r="A177" s="175" t="n"/>
    </row>
    <row r="178" ht="15.75" customHeight="1" s="673">
      <c r="A178" s="175" t="n"/>
    </row>
    <row r="179" ht="15.75" customHeight="1" s="673">
      <c r="A179" s="175" t="n"/>
    </row>
    <row r="180" ht="15.75" customHeight="1" s="673">
      <c r="A180" s="175" t="n"/>
    </row>
    <row r="181" ht="15.75" customHeight="1" s="673">
      <c r="A181" s="175" t="n"/>
    </row>
    <row r="182" ht="15.75" customHeight="1" s="673">
      <c r="A182" s="175" t="n"/>
    </row>
    <row r="183" ht="15.75" customHeight="1" s="673">
      <c r="A183" s="175" t="n"/>
    </row>
    <row r="184" ht="15.75" customHeight="1" s="673">
      <c r="A184" s="175" t="n"/>
    </row>
    <row r="185" ht="15.75" customHeight="1" s="673">
      <c r="A185" s="175" t="n"/>
    </row>
    <row r="186" ht="15.75" customHeight="1" s="673">
      <c r="A186" s="175" t="n"/>
    </row>
    <row r="187" ht="15.75" customHeight="1" s="673">
      <c r="A187" s="175" t="n"/>
    </row>
    <row r="188" ht="15.75" customHeight="1" s="673">
      <c r="A188" s="175" t="n"/>
    </row>
    <row r="189" ht="15.75" customHeight="1" s="673">
      <c r="A189" s="175" t="n"/>
    </row>
    <row r="190" ht="15.75" customHeight="1" s="673">
      <c r="A190" s="175" t="n"/>
    </row>
    <row r="191" ht="15.75" customHeight="1" s="673">
      <c r="A191" s="175" t="n"/>
    </row>
    <row r="192" ht="15.75" customHeight="1" s="673">
      <c r="A192" s="175" t="n"/>
    </row>
    <row r="193" ht="15.75" customHeight="1" s="673">
      <c r="A193" s="175" t="n"/>
    </row>
    <row r="194" ht="15.75" customHeight="1" s="673">
      <c r="A194" s="175" t="n"/>
    </row>
    <row r="195" ht="15.75" customHeight="1" s="673">
      <c r="A195" s="175" t="n"/>
    </row>
    <row r="196" ht="15.75" customHeight="1" s="673">
      <c r="A196" s="175" t="n"/>
    </row>
    <row r="197" ht="15.75" customHeight="1" s="673">
      <c r="A197" s="175" t="n"/>
    </row>
    <row r="198" ht="15.75" customHeight="1" s="673">
      <c r="A198" s="175" t="n"/>
    </row>
    <row r="199" ht="15.75" customHeight="1" s="673">
      <c r="A199" s="175" t="n"/>
    </row>
    <row r="200" ht="15.75" customHeight="1" s="673">
      <c r="A200" s="175" t="n"/>
    </row>
    <row r="201" ht="15.75" customHeight="1" s="673">
      <c r="A201" s="175" t="n"/>
    </row>
    <row r="202" ht="15.75" customHeight="1" s="673">
      <c r="A202" s="175" t="n"/>
    </row>
    <row r="203" ht="15.75" customHeight="1" s="673">
      <c r="A203" s="175" t="n"/>
    </row>
    <row r="204" ht="15.75" customHeight="1" s="673">
      <c r="A204" s="175" t="n"/>
    </row>
    <row r="205" ht="15.75" customHeight="1" s="673">
      <c r="A205" s="175" t="n"/>
    </row>
    <row r="206" ht="15.75" customHeight="1" s="673">
      <c r="A206" s="175" t="n"/>
    </row>
    <row r="207" ht="15.75" customHeight="1" s="673">
      <c r="A207" s="175" t="n"/>
    </row>
    <row r="208" ht="15.75" customHeight="1" s="673">
      <c r="A208" s="175" t="n"/>
    </row>
    <row r="209" ht="15.75" customHeight="1" s="673">
      <c r="A209" s="175" t="n"/>
    </row>
    <row r="210" ht="15.75" customHeight="1" s="673">
      <c r="A210" s="175" t="n"/>
    </row>
    <row r="211" ht="15.75" customHeight="1" s="673">
      <c r="A211" s="175" t="n"/>
    </row>
    <row r="212" ht="15.75" customHeight="1" s="673">
      <c r="A212" s="175" t="n"/>
    </row>
    <row r="213" ht="15.75" customHeight="1" s="673">
      <c r="A213" s="175" t="n"/>
    </row>
    <row r="214" ht="15.75" customHeight="1" s="673">
      <c r="A214" s="175" t="n"/>
    </row>
    <row r="215" ht="15.75" customHeight="1" s="673">
      <c r="A215" s="175" t="n"/>
    </row>
    <row r="216" ht="15.75" customHeight="1" s="673">
      <c r="A216" s="175" t="n"/>
    </row>
    <row r="217" ht="15.75" customHeight="1" s="673">
      <c r="A217" s="175" t="n"/>
    </row>
    <row r="218" ht="15.75" customHeight="1" s="673">
      <c r="A218" s="175" t="n"/>
    </row>
    <row r="219" ht="15.75" customHeight="1" s="673">
      <c r="A219" s="175" t="n"/>
    </row>
    <row r="220" ht="15.75" customHeight="1" s="673">
      <c r="A220" s="175" t="n"/>
    </row>
    <row r="221" ht="15.75" customHeight="1" s="673">
      <c r="A221" s="175" t="n"/>
    </row>
    <row r="222" ht="15.75" customHeight="1" s="673">
      <c r="A222" s="175" t="n"/>
    </row>
    <row r="223" ht="15.75" customHeight="1" s="673">
      <c r="A223" s="175" t="n"/>
    </row>
    <row r="224" ht="15.75" customHeight="1" s="673">
      <c r="A224" s="175" t="n"/>
    </row>
    <row r="225" ht="15.75" customHeight="1" s="673">
      <c r="A225" s="175" t="n"/>
    </row>
    <row r="226" ht="15.75" customHeight="1" s="673">
      <c r="A226" s="175" t="n"/>
    </row>
    <row r="227" ht="15.75" customHeight="1" s="673">
      <c r="A227" s="175" t="n"/>
    </row>
    <row r="228" ht="15.75" customHeight="1" s="673">
      <c r="A228" s="175" t="n"/>
    </row>
    <row r="229" ht="15.75" customHeight="1" s="673">
      <c r="A229" s="175" t="n"/>
    </row>
    <row r="230" ht="15.75" customHeight="1" s="673">
      <c r="A230" s="175" t="n"/>
    </row>
    <row r="231" ht="15.75" customHeight="1" s="673">
      <c r="A231" s="175" t="n"/>
    </row>
    <row r="232" ht="15.75" customHeight="1" s="673">
      <c r="A232" s="175" t="n"/>
    </row>
    <row r="233" ht="15.75" customHeight="1" s="673">
      <c r="A233" s="175" t="n"/>
    </row>
    <row r="234" ht="15.75" customHeight="1" s="673">
      <c r="A234" s="175" t="n"/>
    </row>
    <row r="235" ht="15.75" customHeight="1" s="673">
      <c r="A235" s="175" t="n"/>
    </row>
    <row r="236" ht="15.75" customHeight="1" s="673">
      <c r="A236" s="175" t="n"/>
    </row>
    <row r="237" ht="15.75" customHeight="1" s="673">
      <c r="A237" s="175" t="n"/>
    </row>
    <row r="238" ht="15.75" customHeight="1" s="673">
      <c r="A238" s="175" t="n"/>
    </row>
    <row r="239" ht="15.75" customHeight="1" s="673">
      <c r="A239" s="175" t="n"/>
    </row>
    <row r="240" ht="15.75" customHeight="1" s="673">
      <c r="A240" s="175" t="n"/>
    </row>
    <row r="241" ht="15.75" customHeight="1" s="673">
      <c r="A241" s="175" t="n"/>
    </row>
    <row r="242" ht="15.75" customHeight="1" s="673">
      <c r="A242" s="175" t="n"/>
    </row>
    <row r="243" ht="15.75" customHeight="1" s="673">
      <c r="A243" s="175" t="n"/>
    </row>
    <row r="244" ht="15.75" customHeight="1" s="673">
      <c r="A244" s="175" t="n"/>
    </row>
    <row r="245" ht="15.75" customHeight="1" s="673">
      <c r="A245" s="175" t="n"/>
    </row>
    <row r="246" ht="15.75" customHeight="1" s="673">
      <c r="A246" s="175" t="n"/>
    </row>
    <row r="247" ht="15.75" customHeight="1" s="673">
      <c r="A247" s="175" t="n"/>
    </row>
    <row r="248" ht="15.75" customHeight="1" s="673">
      <c r="A248" s="175" t="n"/>
    </row>
    <row r="249" ht="15.75" customHeight="1" s="673">
      <c r="A249" s="175" t="n"/>
    </row>
    <row r="250" ht="15.75" customHeight="1" s="673">
      <c r="A250" s="175" t="n"/>
    </row>
    <row r="251" ht="15.75" customHeight="1" s="673">
      <c r="A251" s="175" t="n"/>
    </row>
    <row r="252" ht="15.75" customHeight="1" s="673">
      <c r="A252" s="175" t="n"/>
    </row>
    <row r="253" ht="15.75" customHeight="1" s="673">
      <c r="A253" s="175" t="n"/>
    </row>
    <row r="254" ht="15.75" customHeight="1" s="673">
      <c r="A254" s="175" t="n"/>
    </row>
    <row r="255" ht="15.75" customHeight="1" s="673">
      <c r="A255" s="175" t="n"/>
    </row>
    <row r="256" ht="15.75" customHeight="1" s="673">
      <c r="A256" s="175" t="n"/>
    </row>
    <row r="257" ht="15.75" customHeight="1" s="673">
      <c r="A257" s="175" t="n"/>
    </row>
    <row r="258" ht="15.75" customHeight="1" s="673">
      <c r="A258" s="175" t="n"/>
    </row>
    <row r="259" ht="15.75" customHeight="1" s="673">
      <c r="A259" s="175" t="n"/>
    </row>
    <row r="260" ht="15.75" customHeight="1" s="673">
      <c r="A260" s="175" t="n"/>
    </row>
    <row r="261" ht="15.75" customHeight="1" s="673">
      <c r="A261" s="175" t="n"/>
    </row>
    <row r="262" ht="15.75" customHeight="1" s="673">
      <c r="A262" s="175" t="n"/>
    </row>
    <row r="263" ht="15.75" customHeight="1" s="673">
      <c r="A263" s="175" t="n"/>
    </row>
    <row r="264" ht="15.75" customHeight="1" s="673">
      <c r="A264" s="175" t="n"/>
    </row>
    <row r="265" ht="15.75" customHeight="1" s="673">
      <c r="A265" s="175" t="n"/>
    </row>
    <row r="266" ht="15.75" customHeight="1" s="673">
      <c r="A266" s="175" t="n"/>
    </row>
    <row r="267" ht="15.75" customHeight="1" s="673">
      <c r="A267" s="175" t="n"/>
    </row>
    <row r="268" ht="15.75" customHeight="1" s="673">
      <c r="A268" s="175" t="n"/>
    </row>
    <row r="269" ht="15.75" customHeight="1" s="673">
      <c r="A269" s="175" t="n"/>
    </row>
    <row r="270" ht="15.75" customHeight="1" s="673">
      <c r="A270" s="175" t="n"/>
    </row>
    <row r="271" ht="15.75" customHeight="1" s="673">
      <c r="A271" s="175" t="n"/>
    </row>
    <row r="272" ht="15.75" customHeight="1" s="673">
      <c r="A272" s="175" t="n"/>
    </row>
    <row r="273" ht="15.75" customHeight="1" s="673">
      <c r="A273" s="175" t="n"/>
    </row>
    <row r="274" ht="15.75" customHeight="1" s="673">
      <c r="A274" s="175" t="n"/>
    </row>
    <row r="275" ht="15.75" customHeight="1" s="673">
      <c r="A275" s="175" t="n"/>
    </row>
    <row r="276" ht="15.75" customHeight="1" s="673">
      <c r="A276" s="175" t="n"/>
    </row>
    <row r="277" ht="15.75" customHeight="1" s="673">
      <c r="A277" s="175" t="n"/>
    </row>
    <row r="278" ht="15.75" customHeight="1" s="673">
      <c r="A278" s="175" t="n"/>
    </row>
    <row r="279" ht="15.75" customHeight="1" s="673">
      <c r="A279" s="175" t="n"/>
    </row>
    <row r="280" ht="15.75" customHeight="1" s="673">
      <c r="A280" s="175" t="n"/>
    </row>
    <row r="281" ht="15.75" customHeight="1" s="673">
      <c r="A281" s="175" t="n"/>
    </row>
    <row r="282" ht="15.75" customHeight="1" s="673">
      <c r="A282" s="175" t="n"/>
    </row>
    <row r="283" ht="15.75" customHeight="1" s="673">
      <c r="A283" s="175" t="n"/>
    </row>
    <row r="284" ht="15.75" customHeight="1" s="673">
      <c r="A284" s="175" t="n"/>
    </row>
    <row r="285" ht="15.75" customHeight="1" s="673">
      <c r="A285" s="175" t="n"/>
    </row>
    <row r="286" ht="15.75" customHeight="1" s="673">
      <c r="A286" s="175" t="n"/>
    </row>
    <row r="287" ht="15.75" customHeight="1" s="673">
      <c r="A287" s="175" t="n"/>
    </row>
    <row r="288" ht="15.75" customHeight="1" s="673">
      <c r="A288" s="175" t="n"/>
    </row>
    <row r="289" ht="15.75" customHeight="1" s="673">
      <c r="A289" s="175" t="n"/>
    </row>
    <row r="290" ht="15.75" customHeight="1" s="673">
      <c r="A290" s="175" t="n"/>
    </row>
    <row r="291" ht="15.75" customHeight="1" s="673">
      <c r="A291" s="175" t="n"/>
    </row>
    <row r="292" ht="15.75" customHeight="1" s="673">
      <c r="A292" s="175" t="n"/>
    </row>
    <row r="293" ht="15.75" customHeight="1" s="673">
      <c r="A293" s="175" t="n"/>
    </row>
    <row r="294" ht="15.75" customHeight="1" s="673">
      <c r="A294" s="175" t="n"/>
    </row>
    <row r="295" ht="15.75" customHeight="1" s="673">
      <c r="A295" s="175" t="n"/>
    </row>
    <row r="296" ht="15.75" customHeight="1" s="673">
      <c r="A296" s="175" t="n"/>
    </row>
    <row r="297" ht="15.75" customHeight="1" s="673">
      <c r="A297" s="175" t="n"/>
    </row>
    <row r="298" ht="15.75" customHeight="1" s="673">
      <c r="A298" s="175" t="n"/>
    </row>
    <row r="299" ht="15.75" customHeight="1" s="673">
      <c r="A299" s="175" t="n"/>
    </row>
    <row r="300" ht="15.75" customHeight="1" s="673">
      <c r="A300" s="175" t="n"/>
    </row>
    <row r="301" ht="15.75" customHeight="1" s="673">
      <c r="A301" s="175" t="n"/>
    </row>
    <row r="302" ht="15.75" customHeight="1" s="673">
      <c r="A302" s="175" t="n"/>
    </row>
    <row r="303" ht="15.75" customHeight="1" s="673">
      <c r="A303" s="175" t="n"/>
    </row>
    <row r="304" ht="15.75" customHeight="1" s="673">
      <c r="A304" s="175" t="n"/>
    </row>
    <row r="305" ht="15.75" customHeight="1" s="673">
      <c r="A305" s="175" t="n"/>
    </row>
    <row r="306" ht="15.75" customHeight="1" s="673">
      <c r="A306" s="175" t="n"/>
    </row>
    <row r="307" ht="15.75" customHeight="1" s="673">
      <c r="A307" s="175" t="n"/>
    </row>
    <row r="308" ht="15.75" customHeight="1" s="673">
      <c r="A308" s="175" t="n"/>
    </row>
    <row r="309" ht="15.75" customHeight="1" s="673">
      <c r="A309" s="175" t="n"/>
    </row>
    <row r="310" ht="15.75" customHeight="1" s="673">
      <c r="A310" s="175" t="n"/>
    </row>
    <row r="311" ht="15.75" customHeight="1" s="673">
      <c r="A311" s="175" t="n"/>
    </row>
    <row r="312" ht="15.75" customHeight="1" s="673">
      <c r="A312" s="175" t="n"/>
    </row>
    <row r="313" ht="15.75" customHeight="1" s="673">
      <c r="A313" s="175" t="n"/>
    </row>
    <row r="314" ht="15.75" customHeight="1" s="673">
      <c r="A314" s="175" t="n"/>
    </row>
    <row r="315" ht="15.75" customHeight="1" s="673">
      <c r="A315" s="175" t="n"/>
    </row>
    <row r="316" ht="15.75" customHeight="1" s="673">
      <c r="A316" s="175" t="n"/>
    </row>
    <row r="317" ht="15.75" customHeight="1" s="673">
      <c r="A317" s="175" t="n"/>
    </row>
    <row r="318" ht="15.75" customHeight="1" s="673">
      <c r="A318" s="175" t="n"/>
    </row>
    <row r="319" ht="15.75" customHeight="1" s="673">
      <c r="A319" s="175" t="n"/>
    </row>
    <row r="320" ht="15.75" customHeight="1" s="673">
      <c r="A320" s="175" t="n"/>
    </row>
    <row r="321" ht="15.75" customHeight="1" s="673">
      <c r="A321" s="175" t="n"/>
    </row>
    <row r="322" ht="15.75" customHeight="1" s="673">
      <c r="A322" s="175" t="n"/>
    </row>
    <row r="323" ht="15.75" customHeight="1" s="673">
      <c r="A323" s="175" t="n"/>
    </row>
    <row r="324" ht="15.75" customHeight="1" s="673">
      <c r="A324" s="175" t="n"/>
    </row>
    <row r="325" ht="15.75" customHeight="1" s="673">
      <c r="A325" s="175" t="n"/>
    </row>
    <row r="326" ht="15.75" customHeight="1" s="673">
      <c r="A326" s="175" t="n"/>
    </row>
    <row r="327" ht="15.75" customHeight="1" s="673">
      <c r="A327" s="175" t="n"/>
    </row>
    <row r="328" ht="15.75" customHeight="1" s="673">
      <c r="A328" s="175" t="n"/>
    </row>
    <row r="329" ht="15.75" customHeight="1" s="673">
      <c r="A329" s="175" t="n"/>
    </row>
    <row r="330" ht="15.75" customHeight="1" s="673">
      <c r="A330" s="175" t="n"/>
    </row>
    <row r="331" ht="15.75" customHeight="1" s="673">
      <c r="A331" s="175" t="n"/>
    </row>
    <row r="332" ht="15.75" customHeight="1" s="673">
      <c r="A332" s="175" t="n"/>
    </row>
    <row r="333" ht="15.75" customHeight="1" s="673">
      <c r="A333" s="175" t="n"/>
    </row>
    <row r="334" ht="15.75" customHeight="1" s="673">
      <c r="A334" s="175" t="n"/>
    </row>
    <row r="335" ht="15.75" customHeight="1" s="673">
      <c r="A335" s="175" t="n"/>
    </row>
    <row r="336" ht="15.75" customHeight="1" s="673">
      <c r="A336" s="175" t="n"/>
    </row>
    <row r="337" ht="15.75" customHeight="1" s="673">
      <c r="A337" s="175" t="n"/>
    </row>
    <row r="338" ht="15.75" customHeight="1" s="673">
      <c r="A338" s="175" t="n"/>
    </row>
    <row r="339" ht="15.75" customHeight="1" s="673">
      <c r="A339" s="175" t="n"/>
    </row>
    <row r="340" ht="15.75" customHeight="1" s="673">
      <c r="A340" s="175" t="n"/>
    </row>
    <row r="341" ht="15.75" customHeight="1" s="673">
      <c r="A341" s="175" t="n"/>
    </row>
    <row r="342" ht="15.75" customHeight="1" s="673">
      <c r="A342" s="175" t="n"/>
    </row>
    <row r="343" ht="15.75" customHeight="1" s="673">
      <c r="A343" s="175" t="n"/>
    </row>
    <row r="344" ht="15.75" customHeight="1" s="673">
      <c r="A344" s="175" t="n"/>
    </row>
    <row r="345" ht="15.75" customHeight="1" s="673">
      <c r="A345" s="175" t="n"/>
    </row>
    <row r="346" ht="15.75" customHeight="1" s="673">
      <c r="A346" s="175" t="n"/>
    </row>
    <row r="347" ht="15.75" customHeight="1" s="673">
      <c r="A347" s="175" t="n"/>
    </row>
    <row r="348" ht="15.75" customHeight="1" s="673">
      <c r="A348" s="175" t="n"/>
    </row>
    <row r="349" ht="15.75" customHeight="1" s="673">
      <c r="A349" s="175" t="n"/>
    </row>
    <row r="350" ht="15.75" customHeight="1" s="673">
      <c r="A350" s="175" t="n"/>
    </row>
    <row r="351" ht="15.75" customHeight="1" s="673">
      <c r="A351" s="175" t="n"/>
    </row>
    <row r="352" ht="15.75" customHeight="1" s="673">
      <c r="A352" s="175" t="n"/>
    </row>
    <row r="353" ht="15.75" customHeight="1" s="673">
      <c r="A353" s="175" t="n"/>
    </row>
    <row r="354" ht="15.75" customHeight="1" s="673">
      <c r="A354" s="175" t="n"/>
    </row>
    <row r="355" ht="15.75" customHeight="1" s="673">
      <c r="A355" s="175" t="n"/>
    </row>
    <row r="356" ht="15.75" customHeight="1" s="673">
      <c r="A356" s="175" t="n"/>
    </row>
    <row r="357" ht="15.75" customHeight="1" s="673">
      <c r="A357" s="175" t="n"/>
    </row>
    <row r="358" ht="15.75" customHeight="1" s="673">
      <c r="A358" s="175" t="n"/>
    </row>
    <row r="359" ht="15.75" customHeight="1" s="673">
      <c r="A359" s="175" t="n"/>
    </row>
    <row r="360" ht="15.75" customHeight="1" s="673">
      <c r="A360" s="175" t="n"/>
    </row>
    <row r="361" ht="15.75" customHeight="1" s="673">
      <c r="A361" s="175" t="n"/>
    </row>
    <row r="362" ht="15.75" customHeight="1" s="673">
      <c r="A362" s="175" t="n"/>
    </row>
    <row r="363" ht="15.75" customHeight="1" s="673">
      <c r="A363" s="175" t="n"/>
    </row>
    <row r="364" ht="15.75" customHeight="1" s="673">
      <c r="A364" s="175" t="n"/>
    </row>
    <row r="365" ht="15.75" customHeight="1" s="673">
      <c r="A365" s="175" t="n"/>
    </row>
    <row r="366" ht="15.75" customHeight="1" s="673">
      <c r="A366" s="175" t="n"/>
    </row>
    <row r="367" ht="15.75" customHeight="1" s="673">
      <c r="A367" s="175" t="n"/>
    </row>
    <row r="368" ht="15.75" customHeight="1" s="673">
      <c r="A368" s="175" t="n"/>
    </row>
    <row r="369" ht="15.75" customHeight="1" s="673">
      <c r="A369" s="175" t="n"/>
    </row>
    <row r="370" ht="15.75" customHeight="1" s="673">
      <c r="A370" s="175" t="n"/>
    </row>
    <row r="371" ht="15.75" customHeight="1" s="673">
      <c r="A371" s="175" t="n"/>
    </row>
    <row r="372" ht="15.75" customHeight="1" s="673">
      <c r="A372" s="175" t="n"/>
    </row>
    <row r="373" ht="15.75" customHeight="1" s="673">
      <c r="A373" s="175" t="n"/>
    </row>
    <row r="374" ht="15.75" customHeight="1" s="673">
      <c r="A374" s="175" t="n"/>
    </row>
    <row r="375" ht="15.75" customHeight="1" s="673">
      <c r="A375" s="175" t="n"/>
    </row>
    <row r="376" ht="15.75" customHeight="1" s="673">
      <c r="A376" s="175" t="n"/>
    </row>
    <row r="377" ht="15.75" customHeight="1" s="673">
      <c r="A377" s="175" t="n"/>
    </row>
    <row r="378" ht="15.75" customHeight="1" s="673">
      <c r="A378" s="175" t="n"/>
    </row>
    <row r="379" ht="15.75" customHeight="1" s="673">
      <c r="A379" s="175" t="n"/>
    </row>
    <row r="380" ht="15.75" customHeight="1" s="673">
      <c r="A380" s="175" t="n"/>
    </row>
    <row r="381" ht="15.75" customHeight="1" s="673">
      <c r="A381" s="175" t="n"/>
    </row>
    <row r="382" ht="15.75" customHeight="1" s="673">
      <c r="A382" s="175" t="n"/>
    </row>
    <row r="383" ht="15.75" customHeight="1" s="673">
      <c r="A383" s="175" t="n"/>
    </row>
    <row r="384" ht="15.75" customHeight="1" s="673">
      <c r="A384" s="175" t="n"/>
    </row>
    <row r="385" ht="15.75" customHeight="1" s="673">
      <c r="A385" s="175" t="n"/>
    </row>
    <row r="386" ht="15.75" customHeight="1" s="673">
      <c r="A386" s="175" t="n"/>
    </row>
    <row r="387" ht="15.75" customHeight="1" s="673">
      <c r="A387" s="175" t="n"/>
    </row>
    <row r="388" ht="15.75" customHeight="1" s="673">
      <c r="A388" s="175" t="n"/>
    </row>
    <row r="389" ht="15.75" customHeight="1" s="673">
      <c r="A389" s="175" t="n"/>
    </row>
    <row r="390" ht="15.75" customHeight="1" s="673">
      <c r="A390" s="175" t="n"/>
    </row>
    <row r="391" ht="15.75" customHeight="1" s="673">
      <c r="A391" s="175" t="n"/>
    </row>
    <row r="392" ht="15.75" customHeight="1" s="673">
      <c r="A392" s="175" t="n"/>
    </row>
    <row r="393" ht="15.75" customHeight="1" s="673">
      <c r="A393" s="175" t="n"/>
    </row>
    <row r="394" ht="15.75" customHeight="1" s="673">
      <c r="A394" s="175" t="n"/>
    </row>
    <row r="395" ht="15.75" customHeight="1" s="673">
      <c r="A395" s="175" t="n"/>
    </row>
    <row r="396" ht="15.75" customHeight="1" s="673">
      <c r="A396" s="175" t="n"/>
    </row>
    <row r="397" ht="15.75" customHeight="1" s="673">
      <c r="A397" s="175" t="n"/>
    </row>
    <row r="398" ht="15.75" customHeight="1" s="673">
      <c r="A398" s="175" t="n"/>
    </row>
    <row r="399" ht="15.75" customHeight="1" s="673">
      <c r="A399" s="175" t="n"/>
    </row>
    <row r="400" ht="15.75" customHeight="1" s="673">
      <c r="A400" s="175" t="n"/>
    </row>
    <row r="401" ht="15.75" customHeight="1" s="673">
      <c r="A401" s="175" t="n"/>
    </row>
    <row r="402" ht="15.75" customHeight="1" s="673">
      <c r="A402" s="175" t="n"/>
    </row>
    <row r="403" ht="15.75" customHeight="1" s="673">
      <c r="A403" s="175" t="n"/>
    </row>
    <row r="404" ht="15.75" customHeight="1" s="673">
      <c r="A404" s="175" t="n"/>
    </row>
    <row r="405" ht="15.75" customHeight="1" s="673">
      <c r="A405" s="175" t="n"/>
    </row>
    <row r="406" ht="15.75" customHeight="1" s="673">
      <c r="A406" s="175" t="n"/>
    </row>
    <row r="407" ht="15.75" customHeight="1" s="673">
      <c r="A407" s="175" t="n"/>
    </row>
    <row r="408" ht="15.75" customHeight="1" s="673">
      <c r="A408" s="175" t="n"/>
    </row>
    <row r="409" ht="15.75" customHeight="1" s="673">
      <c r="A409" s="175" t="n"/>
    </row>
    <row r="410" ht="15.75" customHeight="1" s="673">
      <c r="A410" s="175" t="n"/>
    </row>
    <row r="411" ht="15.75" customHeight="1" s="673">
      <c r="A411" s="175" t="n"/>
    </row>
    <row r="412" ht="15.75" customHeight="1" s="673">
      <c r="A412" s="175" t="n"/>
    </row>
    <row r="413" ht="15.75" customHeight="1" s="673">
      <c r="A413" s="175" t="n"/>
    </row>
    <row r="414" ht="15.75" customHeight="1" s="673">
      <c r="A414" s="175" t="n"/>
    </row>
    <row r="415" ht="15.75" customHeight="1" s="673">
      <c r="A415" s="175" t="n"/>
    </row>
    <row r="416" ht="15.75" customHeight="1" s="673">
      <c r="A416" s="175" t="n"/>
    </row>
    <row r="417" ht="15.75" customHeight="1" s="673">
      <c r="A417" s="175" t="n"/>
    </row>
    <row r="418" ht="15.75" customHeight="1" s="673">
      <c r="A418" s="175" t="n"/>
    </row>
    <row r="419" ht="15.75" customHeight="1" s="673">
      <c r="A419" s="175" t="n"/>
    </row>
    <row r="420" ht="15.75" customHeight="1" s="673">
      <c r="A420" s="175" t="n"/>
    </row>
    <row r="421" ht="15.75" customHeight="1" s="673">
      <c r="A421" s="175" t="n"/>
    </row>
    <row r="422" ht="15.75" customHeight="1" s="673">
      <c r="A422" s="175" t="n"/>
    </row>
    <row r="423" ht="15.75" customHeight="1" s="673">
      <c r="A423" s="175" t="n"/>
    </row>
    <row r="424" ht="15.75" customHeight="1" s="673">
      <c r="A424" s="175" t="n"/>
    </row>
    <row r="425" ht="15.75" customHeight="1" s="673">
      <c r="A425" s="175" t="n"/>
    </row>
    <row r="426" ht="15.75" customHeight="1" s="673">
      <c r="A426" s="175" t="n"/>
    </row>
    <row r="427" ht="15.75" customHeight="1" s="673">
      <c r="A427" s="175" t="n"/>
    </row>
    <row r="428" ht="15.75" customHeight="1" s="673">
      <c r="A428" s="175" t="n"/>
    </row>
    <row r="429" ht="15.75" customHeight="1" s="673">
      <c r="A429" s="175" t="n"/>
    </row>
    <row r="430" ht="15.75" customHeight="1" s="673">
      <c r="A430" s="175" t="n"/>
    </row>
    <row r="431" ht="15.75" customHeight="1" s="673">
      <c r="A431" s="175" t="n"/>
    </row>
    <row r="432" ht="15.75" customHeight="1" s="673">
      <c r="A432" s="175" t="n"/>
    </row>
    <row r="433" ht="15.75" customHeight="1" s="673">
      <c r="A433" s="175" t="n"/>
    </row>
    <row r="434" ht="15.75" customHeight="1" s="673">
      <c r="A434" s="175" t="n"/>
    </row>
    <row r="435" ht="15.75" customHeight="1" s="673">
      <c r="A435" s="175" t="n"/>
    </row>
    <row r="436" ht="15.75" customHeight="1" s="673">
      <c r="A436" s="175" t="n"/>
    </row>
    <row r="437" ht="15.75" customHeight="1" s="673">
      <c r="A437" s="175" t="n"/>
    </row>
    <row r="438" ht="15.75" customHeight="1" s="673">
      <c r="A438" s="175" t="n"/>
    </row>
    <row r="439" ht="15.75" customHeight="1" s="673">
      <c r="A439" s="175" t="n"/>
    </row>
    <row r="440" ht="15.75" customHeight="1" s="673">
      <c r="A440" s="175" t="n"/>
    </row>
    <row r="441" ht="15.75" customHeight="1" s="673">
      <c r="A441" s="175" t="n"/>
    </row>
    <row r="442" ht="15.75" customHeight="1" s="673">
      <c r="A442" s="175" t="n"/>
    </row>
    <row r="443" ht="15.75" customHeight="1" s="673">
      <c r="A443" s="175" t="n"/>
    </row>
    <row r="444" ht="15.75" customHeight="1" s="673">
      <c r="A444" s="175" t="n"/>
    </row>
    <row r="445" ht="15.75" customHeight="1" s="673">
      <c r="A445" s="175" t="n"/>
    </row>
    <row r="446" ht="15.75" customHeight="1" s="673">
      <c r="A446" s="175" t="n"/>
    </row>
    <row r="447" ht="15.75" customHeight="1" s="673">
      <c r="A447" s="175" t="n"/>
    </row>
    <row r="448" ht="15.75" customHeight="1" s="673">
      <c r="A448" s="175" t="n"/>
    </row>
    <row r="449" ht="15.75" customHeight="1" s="673">
      <c r="A449" s="175" t="n"/>
    </row>
    <row r="450" ht="15.75" customHeight="1" s="673">
      <c r="A450" s="175" t="n"/>
    </row>
    <row r="451" ht="15.75" customHeight="1" s="673">
      <c r="A451" s="175" t="n"/>
    </row>
    <row r="452" ht="15.75" customHeight="1" s="673">
      <c r="A452" s="175" t="n"/>
    </row>
    <row r="453" ht="15.75" customHeight="1" s="673">
      <c r="A453" s="175" t="n"/>
    </row>
    <row r="454" ht="15.75" customHeight="1" s="673">
      <c r="A454" s="175" t="n"/>
    </row>
    <row r="455" ht="15.75" customHeight="1" s="673">
      <c r="A455" s="175" t="n"/>
    </row>
    <row r="456" ht="15.75" customHeight="1" s="673">
      <c r="A456" s="175" t="n"/>
    </row>
    <row r="457" ht="15.75" customHeight="1" s="673">
      <c r="A457" s="175" t="n"/>
    </row>
    <row r="458" ht="15.75" customHeight="1" s="673">
      <c r="A458" s="175" t="n"/>
    </row>
    <row r="459" ht="15.75" customHeight="1" s="673">
      <c r="A459" s="175" t="n"/>
    </row>
    <row r="460" ht="15.75" customHeight="1" s="673">
      <c r="A460" s="175" t="n"/>
    </row>
    <row r="461" ht="15.75" customHeight="1" s="673">
      <c r="A461" s="175" t="n"/>
    </row>
    <row r="462" ht="15.75" customHeight="1" s="673">
      <c r="A462" s="175" t="n"/>
    </row>
    <row r="463" ht="15.75" customHeight="1" s="673">
      <c r="A463" s="175" t="n"/>
    </row>
    <row r="464" ht="15.75" customHeight="1" s="673">
      <c r="A464" s="175" t="n"/>
    </row>
    <row r="465" ht="15.75" customHeight="1" s="673">
      <c r="A465" s="175" t="n"/>
    </row>
    <row r="466" ht="15.75" customHeight="1" s="673">
      <c r="A466" s="175" t="n"/>
    </row>
    <row r="467" ht="15.75" customHeight="1" s="673">
      <c r="A467" s="175" t="n"/>
    </row>
    <row r="468" ht="15.75" customHeight="1" s="673">
      <c r="A468" s="175" t="n"/>
    </row>
    <row r="469" ht="15.75" customHeight="1" s="673">
      <c r="A469" s="175" t="n"/>
    </row>
    <row r="470" ht="15.75" customHeight="1" s="673">
      <c r="A470" s="175" t="n"/>
    </row>
    <row r="471" ht="15.75" customHeight="1" s="673">
      <c r="A471" s="175" t="n"/>
    </row>
    <row r="472" ht="15.75" customHeight="1" s="673">
      <c r="A472" s="175" t="n"/>
    </row>
    <row r="473" ht="15.75" customHeight="1" s="673">
      <c r="A473" s="175" t="n"/>
    </row>
    <row r="474" ht="15.75" customHeight="1" s="673">
      <c r="A474" s="175" t="n"/>
    </row>
    <row r="475" ht="15.75" customHeight="1" s="673">
      <c r="A475" s="175" t="n"/>
    </row>
    <row r="476" ht="15.75" customHeight="1" s="673">
      <c r="A476" s="175" t="n"/>
    </row>
    <row r="477" ht="15.75" customHeight="1" s="673">
      <c r="A477" s="175" t="n"/>
    </row>
    <row r="478" ht="15.75" customHeight="1" s="673">
      <c r="A478" s="175" t="n"/>
    </row>
    <row r="479" ht="15.75" customHeight="1" s="673">
      <c r="A479" s="175" t="n"/>
    </row>
    <row r="480" ht="15.75" customHeight="1" s="673">
      <c r="A480" s="175" t="n"/>
    </row>
    <row r="481" ht="15.75" customHeight="1" s="673">
      <c r="A481" s="175" t="n"/>
    </row>
    <row r="482" ht="15.75" customHeight="1" s="673">
      <c r="A482" s="175" t="n"/>
    </row>
    <row r="483" ht="15.75" customHeight="1" s="673">
      <c r="A483" s="175" t="n"/>
    </row>
    <row r="484" ht="15.75" customHeight="1" s="673">
      <c r="A484" s="175" t="n"/>
    </row>
    <row r="485" ht="15.75" customHeight="1" s="673">
      <c r="A485" s="175" t="n"/>
    </row>
    <row r="486" ht="15.75" customHeight="1" s="673">
      <c r="A486" s="175" t="n"/>
    </row>
    <row r="487" ht="15.75" customHeight="1" s="673">
      <c r="A487" s="175" t="n"/>
    </row>
    <row r="488" ht="15.75" customHeight="1" s="673">
      <c r="A488" s="175" t="n"/>
    </row>
    <row r="489" ht="15.75" customHeight="1" s="673">
      <c r="A489" s="175" t="n"/>
    </row>
    <row r="490" ht="15.75" customHeight="1" s="673">
      <c r="A490" s="175" t="n"/>
    </row>
    <row r="491" ht="15.75" customHeight="1" s="673">
      <c r="A491" s="175" t="n"/>
    </row>
    <row r="492" ht="15.75" customHeight="1" s="673">
      <c r="A492" s="175" t="n"/>
    </row>
    <row r="493" ht="15.75" customHeight="1" s="673">
      <c r="A493" s="175" t="n"/>
    </row>
    <row r="494" ht="15.75" customHeight="1" s="673">
      <c r="A494" s="175" t="n"/>
    </row>
    <row r="495" ht="15.75" customHeight="1" s="673">
      <c r="A495" s="175" t="n"/>
    </row>
    <row r="496" ht="15.75" customHeight="1" s="673">
      <c r="A496" s="175" t="n"/>
    </row>
    <row r="497" ht="15.75" customHeight="1" s="673">
      <c r="A497" s="175" t="n"/>
    </row>
    <row r="498" ht="15.75" customHeight="1" s="673">
      <c r="A498" s="175" t="n"/>
    </row>
    <row r="499" ht="15.75" customHeight="1" s="673">
      <c r="A499" s="175" t="n"/>
    </row>
    <row r="500" ht="15.75" customHeight="1" s="673">
      <c r="A500" s="175" t="n"/>
    </row>
    <row r="501" ht="15.75" customHeight="1" s="673">
      <c r="A501" s="175" t="n"/>
    </row>
    <row r="502" ht="15.75" customHeight="1" s="673">
      <c r="A502" s="175" t="n"/>
    </row>
    <row r="503" ht="15.75" customHeight="1" s="673">
      <c r="A503" s="175" t="n"/>
    </row>
    <row r="504" ht="15.75" customHeight="1" s="673">
      <c r="A504" s="175" t="n"/>
    </row>
    <row r="505" ht="15.75" customHeight="1" s="673">
      <c r="A505" s="175" t="n"/>
    </row>
    <row r="506" ht="15.75" customHeight="1" s="673">
      <c r="A506" s="175" t="n"/>
    </row>
    <row r="507" ht="15.75" customHeight="1" s="673">
      <c r="A507" s="175" t="n"/>
    </row>
    <row r="508" ht="15.75" customHeight="1" s="673">
      <c r="A508" s="175" t="n"/>
    </row>
    <row r="509" ht="15.75" customHeight="1" s="673">
      <c r="A509" s="175" t="n"/>
    </row>
    <row r="510" ht="15.75" customHeight="1" s="673">
      <c r="A510" s="175" t="n"/>
    </row>
    <row r="511" ht="15.75" customHeight="1" s="673">
      <c r="A511" s="175" t="n"/>
    </row>
    <row r="512" ht="15.75" customHeight="1" s="673">
      <c r="A512" s="175" t="n"/>
    </row>
    <row r="513" ht="15.75" customHeight="1" s="673">
      <c r="A513" s="175" t="n"/>
    </row>
    <row r="514" ht="15.75" customHeight="1" s="673">
      <c r="A514" s="175" t="n"/>
    </row>
    <row r="515" ht="15.75" customHeight="1" s="673">
      <c r="A515" s="175" t="n"/>
    </row>
    <row r="516" ht="15.75" customHeight="1" s="673">
      <c r="A516" s="175" t="n"/>
    </row>
    <row r="517" ht="15.75" customHeight="1" s="673">
      <c r="A517" s="175" t="n"/>
    </row>
    <row r="518" ht="15.75" customHeight="1" s="673">
      <c r="A518" s="175" t="n"/>
    </row>
    <row r="519" ht="15.75" customHeight="1" s="673">
      <c r="A519" s="175" t="n"/>
    </row>
    <row r="520" ht="15.75" customHeight="1" s="673">
      <c r="A520" s="175" t="n"/>
    </row>
    <row r="521" ht="15.75" customHeight="1" s="673">
      <c r="A521" s="175" t="n"/>
    </row>
    <row r="522" ht="15.75" customHeight="1" s="673">
      <c r="A522" s="175" t="n"/>
    </row>
    <row r="523" ht="15.75" customHeight="1" s="673">
      <c r="A523" s="175" t="n"/>
    </row>
    <row r="524" ht="15.75" customHeight="1" s="673">
      <c r="A524" s="175" t="n"/>
    </row>
    <row r="525" ht="15.75" customHeight="1" s="673">
      <c r="A525" s="175" t="n"/>
    </row>
    <row r="526" ht="15.75" customHeight="1" s="673">
      <c r="A526" s="175" t="n"/>
    </row>
    <row r="527" ht="15.75" customHeight="1" s="673">
      <c r="A527" s="175" t="n"/>
    </row>
    <row r="528" ht="15.75" customHeight="1" s="673">
      <c r="A528" s="175" t="n"/>
    </row>
    <row r="529" ht="15.75" customHeight="1" s="673">
      <c r="A529" s="175" t="n"/>
    </row>
    <row r="530" ht="15.75" customHeight="1" s="673">
      <c r="A530" s="175" t="n"/>
    </row>
    <row r="531" ht="15.75" customHeight="1" s="673">
      <c r="A531" s="175" t="n"/>
    </row>
    <row r="532" ht="15.75" customHeight="1" s="673">
      <c r="A532" s="175" t="n"/>
    </row>
    <row r="533" ht="15.75" customHeight="1" s="673">
      <c r="A533" s="175" t="n"/>
    </row>
    <row r="534" ht="15.75" customHeight="1" s="673">
      <c r="A534" s="175" t="n"/>
    </row>
    <row r="535" ht="15.75" customHeight="1" s="673">
      <c r="A535" s="175" t="n"/>
    </row>
    <row r="536" ht="15.75" customHeight="1" s="673">
      <c r="A536" s="175" t="n"/>
    </row>
    <row r="537" ht="15.75" customHeight="1" s="673">
      <c r="A537" s="175" t="n"/>
    </row>
    <row r="538" ht="15.75" customHeight="1" s="673">
      <c r="A538" s="175" t="n"/>
    </row>
    <row r="539" ht="15.75" customHeight="1" s="673">
      <c r="A539" s="175" t="n"/>
    </row>
    <row r="540" ht="15.75" customHeight="1" s="673">
      <c r="A540" s="175" t="n"/>
    </row>
    <row r="541" ht="15.75" customHeight="1" s="673">
      <c r="A541" s="175" t="n"/>
    </row>
    <row r="542" ht="15.75" customHeight="1" s="673">
      <c r="A542" s="175" t="n"/>
    </row>
    <row r="543" ht="15.75" customHeight="1" s="673">
      <c r="A543" s="175" t="n"/>
    </row>
    <row r="544" ht="15.75" customHeight="1" s="673">
      <c r="A544" s="175" t="n"/>
    </row>
    <row r="545" ht="15.75" customHeight="1" s="673">
      <c r="A545" s="175" t="n"/>
    </row>
    <row r="546" ht="15.75" customHeight="1" s="673">
      <c r="A546" s="175" t="n"/>
    </row>
    <row r="547" ht="15.75" customHeight="1" s="673">
      <c r="A547" s="175" t="n"/>
    </row>
    <row r="548" ht="15.75" customHeight="1" s="673">
      <c r="A548" s="175" t="n"/>
    </row>
    <row r="549" ht="15.75" customHeight="1" s="673">
      <c r="A549" s="175" t="n"/>
    </row>
    <row r="550" ht="15.75" customHeight="1" s="673">
      <c r="A550" s="175" t="n"/>
    </row>
    <row r="551" ht="15.75" customHeight="1" s="673">
      <c r="A551" s="175" t="n"/>
    </row>
    <row r="552" ht="15.75" customHeight="1" s="673">
      <c r="A552" s="175" t="n"/>
    </row>
    <row r="553" ht="15.75" customHeight="1" s="673">
      <c r="A553" s="175" t="n"/>
    </row>
    <row r="554" ht="15.75" customHeight="1" s="673">
      <c r="A554" s="175" t="n"/>
    </row>
    <row r="555" ht="15.75" customHeight="1" s="673">
      <c r="A555" s="175" t="n"/>
    </row>
    <row r="556" ht="15.75" customHeight="1" s="673">
      <c r="A556" s="175" t="n"/>
    </row>
    <row r="557" ht="15.75" customHeight="1" s="673">
      <c r="A557" s="175" t="n"/>
    </row>
    <row r="558" ht="15.75" customHeight="1" s="673">
      <c r="A558" s="175" t="n"/>
    </row>
    <row r="559" ht="15.75" customHeight="1" s="673">
      <c r="A559" s="175" t="n"/>
    </row>
    <row r="560" ht="15.75" customHeight="1" s="673">
      <c r="A560" s="175" t="n"/>
    </row>
    <row r="561" ht="15.75" customHeight="1" s="673">
      <c r="A561" s="175" t="n"/>
    </row>
    <row r="562" ht="15.75" customHeight="1" s="673">
      <c r="A562" s="175" t="n"/>
    </row>
    <row r="563" ht="15.75" customHeight="1" s="673">
      <c r="A563" s="175" t="n"/>
    </row>
    <row r="564" ht="15.75" customHeight="1" s="673">
      <c r="A564" s="175" t="n"/>
    </row>
    <row r="565" ht="15.75" customHeight="1" s="673">
      <c r="A565" s="175" t="n"/>
    </row>
    <row r="566" ht="15.75" customHeight="1" s="673">
      <c r="A566" s="175" t="n"/>
    </row>
    <row r="567" ht="15.75" customHeight="1" s="673">
      <c r="A567" s="175" t="n"/>
    </row>
    <row r="568" ht="15.75" customHeight="1" s="673">
      <c r="A568" s="175" t="n"/>
    </row>
    <row r="569" ht="15.75" customHeight="1" s="673">
      <c r="A569" s="175" t="n"/>
    </row>
    <row r="570" ht="15.75" customHeight="1" s="673">
      <c r="A570" s="175" t="n"/>
    </row>
    <row r="571" ht="15.75" customHeight="1" s="673">
      <c r="A571" s="175" t="n"/>
    </row>
    <row r="572" ht="15.75" customHeight="1" s="673">
      <c r="A572" s="175" t="n"/>
    </row>
    <row r="573" ht="15.75" customHeight="1" s="673">
      <c r="A573" s="175" t="n"/>
    </row>
    <row r="574" ht="15.75" customHeight="1" s="673">
      <c r="A574" s="175" t="n"/>
    </row>
    <row r="575" ht="15.75" customHeight="1" s="673">
      <c r="A575" s="175" t="n"/>
    </row>
    <row r="576" ht="15.75" customHeight="1" s="673">
      <c r="A576" s="175" t="n"/>
    </row>
    <row r="577" ht="15.75" customHeight="1" s="673">
      <c r="A577" s="175" t="n"/>
    </row>
    <row r="578" ht="15.75" customHeight="1" s="673">
      <c r="A578" s="175" t="n"/>
    </row>
    <row r="579" ht="15.75" customHeight="1" s="673">
      <c r="A579" s="175" t="n"/>
    </row>
    <row r="580" ht="15.75" customHeight="1" s="673">
      <c r="A580" s="175" t="n"/>
    </row>
    <row r="581" ht="15.75" customHeight="1" s="673">
      <c r="A581" s="175" t="n"/>
    </row>
    <row r="582" ht="15.75" customHeight="1" s="673">
      <c r="A582" s="175" t="n"/>
    </row>
    <row r="583" ht="15.75" customHeight="1" s="673">
      <c r="A583" s="175" t="n"/>
    </row>
    <row r="584" ht="15.75" customHeight="1" s="673">
      <c r="A584" s="175" t="n"/>
    </row>
    <row r="585" ht="15.75" customHeight="1" s="673">
      <c r="A585" s="175" t="n"/>
    </row>
    <row r="586" ht="15.75" customHeight="1" s="673">
      <c r="A586" s="175" t="n"/>
    </row>
    <row r="587" ht="15.75" customHeight="1" s="673">
      <c r="A587" s="175" t="n"/>
    </row>
    <row r="588" ht="15.75" customHeight="1" s="673">
      <c r="A588" s="175" t="n"/>
    </row>
    <row r="589" ht="15.75" customHeight="1" s="673">
      <c r="A589" s="175" t="n"/>
    </row>
    <row r="590" ht="15.75" customHeight="1" s="673">
      <c r="A590" s="175" t="n"/>
    </row>
    <row r="591" ht="15.75" customHeight="1" s="673">
      <c r="A591" s="175" t="n"/>
    </row>
    <row r="592" ht="15.75" customHeight="1" s="673">
      <c r="A592" s="175" t="n"/>
    </row>
    <row r="593" ht="15.75" customHeight="1" s="673">
      <c r="A593" s="175" t="n"/>
    </row>
    <row r="594" ht="15.75" customHeight="1" s="673">
      <c r="A594" s="175" t="n"/>
    </row>
    <row r="595" ht="15.75" customHeight="1" s="673">
      <c r="A595" s="175" t="n"/>
    </row>
    <row r="596" ht="15.75" customHeight="1" s="673">
      <c r="A596" s="175" t="n"/>
    </row>
    <row r="597" ht="15.75" customHeight="1" s="673">
      <c r="A597" s="175" t="n"/>
    </row>
    <row r="598" ht="15.75" customHeight="1" s="673">
      <c r="A598" s="175" t="n"/>
    </row>
    <row r="599" ht="15.75" customHeight="1" s="673">
      <c r="A599" s="175" t="n"/>
    </row>
    <row r="600" ht="15.75" customHeight="1" s="673">
      <c r="A600" s="175" t="n"/>
    </row>
    <row r="601" ht="15.75" customHeight="1" s="673">
      <c r="A601" s="175" t="n"/>
    </row>
    <row r="602" ht="15.75" customHeight="1" s="673">
      <c r="A602" s="175" t="n"/>
    </row>
    <row r="603" ht="15.75" customHeight="1" s="673">
      <c r="A603" s="175" t="n"/>
    </row>
    <row r="604" ht="15.75" customHeight="1" s="673">
      <c r="A604" s="175" t="n"/>
    </row>
    <row r="605" ht="15.75" customHeight="1" s="673">
      <c r="A605" s="175" t="n"/>
    </row>
    <row r="606" ht="15.75" customHeight="1" s="673">
      <c r="A606" s="175" t="n"/>
    </row>
    <row r="607" ht="15.75" customHeight="1" s="673">
      <c r="A607" s="175" t="n"/>
    </row>
    <row r="608" ht="15.75" customHeight="1" s="673">
      <c r="A608" s="175" t="n"/>
    </row>
    <row r="609" ht="15.75" customHeight="1" s="673">
      <c r="A609" s="175" t="n"/>
    </row>
    <row r="610" ht="15.75" customHeight="1" s="673">
      <c r="A610" s="175" t="n"/>
    </row>
    <row r="611" ht="15.75" customHeight="1" s="673">
      <c r="A611" s="175" t="n"/>
    </row>
    <row r="612" ht="15.75" customHeight="1" s="673">
      <c r="A612" s="175" t="n"/>
    </row>
    <row r="613" ht="15.75" customHeight="1" s="673">
      <c r="A613" s="175" t="n"/>
    </row>
    <row r="614" ht="15.75" customHeight="1" s="673">
      <c r="A614" s="175" t="n"/>
    </row>
    <row r="615" ht="15.75" customHeight="1" s="673">
      <c r="A615" s="175" t="n"/>
    </row>
    <row r="616" ht="15.75" customHeight="1" s="673">
      <c r="A616" s="175" t="n"/>
    </row>
    <row r="617" ht="15.75" customHeight="1" s="673">
      <c r="A617" s="175" t="n"/>
    </row>
    <row r="618" ht="15.75" customHeight="1" s="673">
      <c r="A618" s="175" t="n"/>
    </row>
    <row r="619" ht="15.75" customHeight="1" s="673">
      <c r="A619" s="175" t="n"/>
    </row>
    <row r="620" ht="15.75" customHeight="1" s="673">
      <c r="A620" s="175" t="n"/>
    </row>
    <row r="621" ht="15.75" customHeight="1" s="673">
      <c r="A621" s="175" t="n"/>
    </row>
    <row r="622" ht="15.75" customHeight="1" s="673">
      <c r="A622" s="175" t="n"/>
    </row>
    <row r="623" ht="15.75" customHeight="1" s="673">
      <c r="A623" s="175" t="n"/>
    </row>
    <row r="624" ht="15.75" customHeight="1" s="673">
      <c r="A624" s="175" t="n"/>
    </row>
    <row r="625" ht="15.75" customHeight="1" s="673">
      <c r="A625" s="175" t="n"/>
    </row>
    <row r="626" ht="15.75" customHeight="1" s="673">
      <c r="A626" s="175" t="n"/>
    </row>
    <row r="627" ht="15.75" customHeight="1" s="673">
      <c r="A627" s="175" t="n"/>
    </row>
    <row r="628" ht="15.75" customHeight="1" s="673">
      <c r="A628" s="175" t="n"/>
    </row>
    <row r="629" ht="15.75" customHeight="1" s="673">
      <c r="A629" s="175" t="n"/>
    </row>
    <row r="630" ht="15.75" customHeight="1" s="673">
      <c r="A630" s="175" t="n"/>
    </row>
    <row r="631" ht="15.75" customHeight="1" s="673">
      <c r="A631" s="175" t="n"/>
    </row>
    <row r="632" ht="15.75" customHeight="1" s="673">
      <c r="A632" s="175" t="n"/>
    </row>
    <row r="633" ht="15.75" customHeight="1" s="673">
      <c r="A633" s="175" t="n"/>
    </row>
    <row r="634" ht="15.75" customHeight="1" s="673">
      <c r="A634" s="175" t="n"/>
    </row>
    <row r="635" ht="15.75" customHeight="1" s="673">
      <c r="A635" s="175" t="n"/>
    </row>
    <row r="636" ht="15.75" customHeight="1" s="673">
      <c r="A636" s="175" t="n"/>
    </row>
    <row r="637" ht="15.75" customHeight="1" s="673">
      <c r="A637" s="175" t="n"/>
    </row>
    <row r="638" ht="15.75" customHeight="1" s="673">
      <c r="A638" s="175" t="n"/>
    </row>
    <row r="639" ht="15.75" customHeight="1" s="673">
      <c r="A639" s="175" t="n"/>
    </row>
    <row r="640" ht="15.75" customHeight="1" s="673">
      <c r="A640" s="175" t="n"/>
    </row>
    <row r="641" ht="15.75" customHeight="1" s="673">
      <c r="A641" s="175" t="n"/>
    </row>
    <row r="642" ht="15.75" customHeight="1" s="673">
      <c r="A642" s="175" t="n"/>
    </row>
    <row r="643" ht="15.75" customHeight="1" s="673">
      <c r="A643" s="175" t="n"/>
    </row>
    <row r="644" ht="15.75" customHeight="1" s="673">
      <c r="A644" s="175" t="n"/>
    </row>
    <row r="645" ht="15.75" customHeight="1" s="673">
      <c r="A645" s="175" t="n"/>
    </row>
    <row r="646" ht="15.75" customHeight="1" s="673">
      <c r="A646" s="175" t="n"/>
    </row>
    <row r="647" ht="15.75" customHeight="1" s="673">
      <c r="A647" s="175" t="n"/>
    </row>
    <row r="648" ht="15.75" customHeight="1" s="673">
      <c r="A648" s="175" t="n"/>
    </row>
    <row r="649" ht="15.75" customHeight="1" s="673">
      <c r="A649" s="175" t="n"/>
    </row>
    <row r="650" ht="15.75" customHeight="1" s="673">
      <c r="A650" s="175" t="n"/>
    </row>
    <row r="651" ht="15.75" customHeight="1" s="673">
      <c r="A651" s="175" t="n"/>
    </row>
    <row r="652" ht="15.75" customHeight="1" s="673">
      <c r="A652" s="175" t="n"/>
    </row>
    <row r="653" ht="15.75" customHeight="1" s="673">
      <c r="A653" s="175" t="n"/>
    </row>
    <row r="654" ht="15.75" customHeight="1" s="673">
      <c r="A654" s="175" t="n"/>
    </row>
    <row r="655" ht="15.75" customHeight="1" s="673">
      <c r="A655" s="175" t="n"/>
    </row>
    <row r="656" ht="15.75" customHeight="1" s="673">
      <c r="A656" s="175" t="n"/>
    </row>
    <row r="657" ht="15.75" customHeight="1" s="673">
      <c r="A657" s="175" t="n"/>
    </row>
    <row r="658" ht="15.75" customHeight="1" s="673">
      <c r="A658" s="175" t="n"/>
    </row>
    <row r="659" ht="15.75" customHeight="1" s="673">
      <c r="A659" s="175" t="n"/>
    </row>
    <row r="660" ht="15.75" customHeight="1" s="673">
      <c r="A660" s="175" t="n"/>
    </row>
    <row r="661" ht="15.75" customHeight="1" s="673">
      <c r="A661" s="175" t="n"/>
    </row>
    <row r="662" ht="15.75" customHeight="1" s="673">
      <c r="A662" s="175" t="n"/>
    </row>
    <row r="663" ht="15.75" customHeight="1" s="673">
      <c r="A663" s="175" t="n"/>
    </row>
    <row r="664" ht="15.75" customHeight="1" s="673">
      <c r="A664" s="175" t="n"/>
    </row>
    <row r="665" ht="15.75" customHeight="1" s="673">
      <c r="A665" s="175" t="n"/>
    </row>
    <row r="666" ht="15.75" customHeight="1" s="673">
      <c r="A666" s="175" t="n"/>
    </row>
    <row r="667" ht="15.75" customHeight="1" s="673">
      <c r="A667" s="175" t="n"/>
    </row>
    <row r="668" ht="15.75" customHeight="1" s="673">
      <c r="A668" s="175" t="n"/>
    </row>
    <row r="669" ht="15.75" customHeight="1" s="673">
      <c r="A669" s="175" t="n"/>
    </row>
    <row r="670" ht="15.75" customHeight="1" s="673">
      <c r="A670" s="175" t="n"/>
    </row>
    <row r="671" ht="15.75" customHeight="1" s="673">
      <c r="A671" s="175" t="n"/>
    </row>
    <row r="672" ht="15.75" customHeight="1" s="673">
      <c r="A672" s="175" t="n"/>
    </row>
    <row r="673" ht="15.75" customHeight="1" s="673">
      <c r="A673" s="175" t="n"/>
    </row>
    <row r="674" ht="15.75" customHeight="1" s="673">
      <c r="A674" s="175" t="n"/>
    </row>
    <row r="675" ht="15.75" customHeight="1" s="673">
      <c r="A675" s="175" t="n"/>
    </row>
    <row r="676" ht="15.75" customHeight="1" s="673">
      <c r="A676" s="175" t="n"/>
    </row>
    <row r="677" ht="15.75" customHeight="1" s="673">
      <c r="A677" s="175" t="n"/>
    </row>
    <row r="678" ht="15.75" customHeight="1" s="673">
      <c r="A678" s="175" t="n"/>
    </row>
    <row r="679" ht="15.75" customHeight="1" s="673">
      <c r="A679" s="175" t="n"/>
    </row>
    <row r="680" ht="15.75" customHeight="1" s="673">
      <c r="A680" s="175" t="n"/>
    </row>
    <row r="681" ht="15.75" customHeight="1" s="673">
      <c r="A681" s="175" t="n"/>
    </row>
    <row r="682" ht="15.75" customHeight="1" s="673">
      <c r="A682" s="175" t="n"/>
    </row>
    <row r="683" ht="15.75" customHeight="1" s="673">
      <c r="A683" s="175" t="n"/>
    </row>
    <row r="684" ht="15.75" customHeight="1" s="673">
      <c r="A684" s="175" t="n"/>
    </row>
    <row r="685" ht="15.75" customHeight="1" s="673">
      <c r="A685" s="175" t="n"/>
    </row>
    <row r="686" ht="15.75" customHeight="1" s="673">
      <c r="A686" s="175" t="n"/>
    </row>
    <row r="687" ht="15.75" customHeight="1" s="673">
      <c r="A687" s="175" t="n"/>
    </row>
    <row r="688" ht="15.75" customHeight="1" s="673">
      <c r="A688" s="175" t="n"/>
    </row>
    <row r="689" ht="15.75" customHeight="1" s="673">
      <c r="A689" s="175" t="n"/>
    </row>
    <row r="690" ht="15.75" customHeight="1" s="673">
      <c r="A690" s="175" t="n"/>
    </row>
    <row r="691" ht="15.75" customHeight="1" s="673">
      <c r="A691" s="175" t="n"/>
    </row>
    <row r="692" ht="15.75" customHeight="1" s="673">
      <c r="A692" s="175" t="n"/>
    </row>
    <row r="693" ht="15.75" customHeight="1" s="673">
      <c r="A693" s="175" t="n"/>
    </row>
    <row r="694" ht="15.75" customHeight="1" s="673">
      <c r="A694" s="175" t="n"/>
    </row>
    <row r="695" ht="15.75" customHeight="1" s="673">
      <c r="A695" s="175" t="n"/>
    </row>
    <row r="696" ht="15.75" customHeight="1" s="673">
      <c r="A696" s="175" t="n"/>
    </row>
    <row r="697" ht="15.75" customHeight="1" s="673">
      <c r="A697" s="175" t="n"/>
    </row>
    <row r="698" ht="15.75" customHeight="1" s="673">
      <c r="A698" s="175" t="n"/>
    </row>
    <row r="699" ht="15.75" customHeight="1" s="673">
      <c r="A699" s="175" t="n"/>
    </row>
    <row r="700" ht="15.75" customHeight="1" s="673">
      <c r="A700" s="175" t="n"/>
    </row>
    <row r="701" ht="15.75" customHeight="1" s="673">
      <c r="A701" s="175" t="n"/>
    </row>
    <row r="702" ht="15.75" customHeight="1" s="673">
      <c r="A702" s="175" t="n"/>
    </row>
    <row r="703" ht="15.75" customHeight="1" s="673">
      <c r="A703" s="175" t="n"/>
    </row>
    <row r="704" ht="15.75" customHeight="1" s="673">
      <c r="A704" s="175" t="n"/>
    </row>
    <row r="705" ht="15.75" customHeight="1" s="673">
      <c r="A705" s="175" t="n"/>
    </row>
    <row r="706" ht="15.75" customHeight="1" s="673">
      <c r="A706" s="175" t="n"/>
    </row>
    <row r="707" ht="15.75" customHeight="1" s="673">
      <c r="A707" s="175" t="n"/>
    </row>
    <row r="708" ht="15.75" customHeight="1" s="673">
      <c r="A708" s="175" t="n"/>
    </row>
    <row r="709" ht="15.75" customHeight="1" s="673">
      <c r="A709" s="175" t="n"/>
    </row>
    <row r="710" ht="15.75" customHeight="1" s="673">
      <c r="A710" s="175" t="n"/>
    </row>
    <row r="711" ht="15.75" customHeight="1" s="673">
      <c r="A711" s="175" t="n"/>
    </row>
    <row r="712" ht="15.75" customHeight="1" s="673">
      <c r="A712" s="175" t="n"/>
    </row>
    <row r="713" ht="15.75" customHeight="1" s="673">
      <c r="A713" s="175" t="n"/>
    </row>
    <row r="714" ht="15.75" customHeight="1" s="673">
      <c r="A714" s="175" t="n"/>
    </row>
    <row r="715" ht="15.75" customHeight="1" s="673">
      <c r="A715" s="175" t="n"/>
    </row>
    <row r="716" ht="15.75" customHeight="1" s="673">
      <c r="A716" s="175" t="n"/>
    </row>
    <row r="717" ht="15.75" customHeight="1" s="673">
      <c r="A717" s="175" t="n"/>
    </row>
    <row r="718" ht="15.75" customHeight="1" s="673">
      <c r="A718" s="175" t="n"/>
    </row>
    <row r="719" ht="15.75" customHeight="1" s="673">
      <c r="A719" s="175" t="n"/>
    </row>
    <row r="720" ht="15.75" customHeight="1" s="673">
      <c r="A720" s="175" t="n"/>
    </row>
    <row r="721" ht="15.75" customHeight="1" s="673">
      <c r="A721" s="175" t="n"/>
    </row>
    <row r="722" ht="15.75" customHeight="1" s="673">
      <c r="A722" s="175" t="n"/>
    </row>
    <row r="723" ht="15.75" customHeight="1" s="673">
      <c r="A723" s="175" t="n"/>
    </row>
    <row r="724" ht="15.75" customHeight="1" s="673">
      <c r="A724" s="175" t="n"/>
    </row>
    <row r="725" ht="15.75" customHeight="1" s="673">
      <c r="A725" s="175" t="n"/>
    </row>
    <row r="726" ht="15.75" customHeight="1" s="673">
      <c r="A726" s="175" t="n"/>
    </row>
    <row r="727" ht="15.75" customHeight="1" s="673">
      <c r="A727" s="175" t="n"/>
    </row>
    <row r="728" ht="15.75" customHeight="1" s="673">
      <c r="A728" s="175" t="n"/>
    </row>
    <row r="729" ht="15.75" customHeight="1" s="673">
      <c r="A729" s="175" t="n"/>
    </row>
    <row r="730" ht="15.75" customHeight="1" s="673">
      <c r="A730" s="175" t="n"/>
    </row>
    <row r="731" ht="15.75" customHeight="1" s="673">
      <c r="A731" s="175" t="n"/>
    </row>
    <row r="732" ht="15.75" customHeight="1" s="673">
      <c r="A732" s="175" t="n"/>
    </row>
    <row r="733" ht="15.75" customHeight="1" s="673">
      <c r="A733" s="175" t="n"/>
    </row>
    <row r="734" ht="15.75" customHeight="1" s="673">
      <c r="A734" s="175" t="n"/>
    </row>
    <row r="735" ht="15.75" customHeight="1" s="673">
      <c r="A735" s="175" t="n"/>
    </row>
    <row r="736" ht="15.75" customHeight="1" s="673">
      <c r="A736" s="175" t="n"/>
    </row>
    <row r="737" ht="15.75" customHeight="1" s="673">
      <c r="A737" s="175" t="n"/>
    </row>
    <row r="738" ht="15.75" customHeight="1" s="673">
      <c r="A738" s="175" t="n"/>
    </row>
    <row r="739" ht="15.75" customHeight="1" s="673">
      <c r="A739" s="175" t="n"/>
    </row>
    <row r="740" ht="15.75" customHeight="1" s="673">
      <c r="A740" s="175" t="n"/>
    </row>
    <row r="741" ht="15.75" customHeight="1" s="673">
      <c r="A741" s="175" t="n"/>
    </row>
    <row r="742" ht="15.75" customHeight="1" s="673">
      <c r="A742" s="175" t="n"/>
    </row>
    <row r="743" ht="15.75" customHeight="1" s="673">
      <c r="A743" s="175" t="n"/>
    </row>
    <row r="744" ht="15.75" customHeight="1" s="673">
      <c r="A744" s="175" t="n"/>
    </row>
    <row r="745" ht="15.75" customHeight="1" s="673">
      <c r="A745" s="175" t="n"/>
    </row>
    <row r="746" ht="15.75" customHeight="1" s="673">
      <c r="A746" s="175" t="n"/>
    </row>
    <row r="747" ht="15.75" customHeight="1" s="673">
      <c r="A747" s="175" t="n"/>
    </row>
    <row r="748" ht="15.75" customHeight="1" s="673">
      <c r="A748" s="175" t="n"/>
    </row>
    <row r="749" ht="15.75" customHeight="1" s="673">
      <c r="A749" s="175" t="n"/>
    </row>
    <row r="750" ht="15.75" customHeight="1" s="673">
      <c r="A750" s="175" t="n"/>
    </row>
    <row r="751" ht="15.75" customHeight="1" s="673">
      <c r="A751" s="175" t="n"/>
    </row>
    <row r="752" ht="15.75" customHeight="1" s="673">
      <c r="A752" s="175" t="n"/>
    </row>
    <row r="753" ht="15.75" customHeight="1" s="673">
      <c r="A753" s="175" t="n"/>
    </row>
    <row r="754" ht="15.75" customHeight="1" s="673">
      <c r="A754" s="175" t="n"/>
    </row>
    <row r="755" ht="15.75" customHeight="1" s="673">
      <c r="A755" s="175" t="n"/>
    </row>
    <row r="756" ht="15.75" customHeight="1" s="673">
      <c r="A756" s="175" t="n"/>
    </row>
    <row r="757" ht="15.75" customHeight="1" s="673">
      <c r="A757" s="175" t="n"/>
    </row>
    <row r="758" ht="15.75" customHeight="1" s="673">
      <c r="A758" s="175" t="n"/>
    </row>
    <row r="759" ht="15.75" customHeight="1" s="673">
      <c r="A759" s="175" t="n"/>
    </row>
    <row r="760" ht="15.75" customHeight="1" s="673">
      <c r="A760" s="175" t="n"/>
    </row>
    <row r="761" ht="15.75" customHeight="1" s="673">
      <c r="A761" s="175" t="n"/>
    </row>
    <row r="762" ht="15.75" customHeight="1" s="673">
      <c r="A762" s="175" t="n"/>
    </row>
    <row r="763" ht="15.75" customHeight="1" s="673">
      <c r="A763" s="175" t="n"/>
    </row>
    <row r="764" ht="15.75" customHeight="1" s="673">
      <c r="A764" s="175" t="n"/>
    </row>
    <row r="765" ht="15.75" customHeight="1" s="673">
      <c r="A765" s="175" t="n"/>
    </row>
    <row r="766" ht="15.75" customHeight="1" s="673">
      <c r="A766" s="175" t="n"/>
    </row>
    <row r="767" ht="15.75" customHeight="1" s="673">
      <c r="A767" s="175" t="n"/>
    </row>
    <row r="768" ht="15.75" customHeight="1" s="673">
      <c r="A768" s="175" t="n"/>
    </row>
    <row r="769" ht="15.75" customHeight="1" s="673">
      <c r="A769" s="175" t="n"/>
    </row>
    <row r="770" ht="15.75" customHeight="1" s="673">
      <c r="A770" s="175" t="n"/>
    </row>
    <row r="771" ht="15.75" customHeight="1" s="673">
      <c r="A771" s="175" t="n"/>
    </row>
    <row r="772" ht="15.75" customHeight="1" s="673">
      <c r="A772" s="175" t="n"/>
    </row>
    <row r="773" ht="15.75" customHeight="1" s="673">
      <c r="A773" s="175" t="n"/>
    </row>
    <row r="774" ht="15.75" customHeight="1" s="673">
      <c r="A774" s="175" t="n"/>
    </row>
    <row r="775" ht="15.75" customHeight="1" s="673">
      <c r="A775" s="175" t="n"/>
    </row>
    <row r="776" ht="15.75" customHeight="1" s="673">
      <c r="A776" s="175" t="n"/>
    </row>
    <row r="777" ht="15.75" customHeight="1" s="673">
      <c r="A777" s="175" t="n"/>
    </row>
    <row r="778" ht="15.75" customHeight="1" s="673">
      <c r="A778" s="175" t="n"/>
    </row>
    <row r="779" ht="15.75" customHeight="1" s="673">
      <c r="A779" s="175" t="n"/>
    </row>
    <row r="780" ht="15.75" customHeight="1" s="673">
      <c r="A780" s="175" t="n"/>
    </row>
    <row r="781" ht="15.75" customHeight="1" s="673">
      <c r="A781" s="175" t="n"/>
    </row>
    <row r="782" ht="15.75" customHeight="1" s="673">
      <c r="A782" s="175" t="n"/>
    </row>
    <row r="783" ht="15.75" customHeight="1" s="673">
      <c r="A783" s="175" t="n"/>
    </row>
    <row r="784" ht="15.75" customHeight="1" s="673">
      <c r="A784" s="175" t="n"/>
    </row>
    <row r="785" ht="15.75" customHeight="1" s="673">
      <c r="A785" s="175" t="n"/>
    </row>
    <row r="786" ht="15.75" customHeight="1" s="673">
      <c r="A786" s="175" t="n"/>
    </row>
    <row r="787" ht="15.75" customHeight="1" s="673">
      <c r="A787" s="175" t="n"/>
    </row>
    <row r="788" ht="15.75" customHeight="1" s="673">
      <c r="A788" s="175" t="n"/>
    </row>
    <row r="789" ht="15.75" customHeight="1" s="673">
      <c r="A789" s="175" t="n"/>
    </row>
    <row r="790" ht="15.75" customHeight="1" s="673">
      <c r="A790" s="175" t="n"/>
    </row>
    <row r="791" ht="15.75" customHeight="1" s="673">
      <c r="A791" s="175" t="n"/>
    </row>
    <row r="792" ht="15.75" customHeight="1" s="673">
      <c r="A792" s="175" t="n"/>
    </row>
    <row r="793" ht="15.75" customHeight="1" s="673">
      <c r="A793" s="175" t="n"/>
    </row>
    <row r="794" ht="15.75" customHeight="1" s="673">
      <c r="A794" s="175" t="n"/>
    </row>
    <row r="795" ht="15.75" customHeight="1" s="673">
      <c r="A795" s="175" t="n"/>
    </row>
    <row r="796" ht="15.75" customHeight="1" s="673">
      <c r="A796" s="175" t="n"/>
    </row>
    <row r="797" ht="15.75" customHeight="1" s="673">
      <c r="A797" s="175" t="n"/>
    </row>
    <row r="798" ht="15.75" customHeight="1" s="673">
      <c r="A798" s="175" t="n"/>
    </row>
    <row r="799" ht="15.75" customHeight="1" s="673">
      <c r="A799" s="175" t="n"/>
    </row>
    <row r="800" ht="15.75" customHeight="1" s="673">
      <c r="A800" s="175" t="n"/>
    </row>
    <row r="801" ht="15.75" customHeight="1" s="673">
      <c r="A801" s="175" t="n"/>
    </row>
    <row r="802" ht="15.75" customHeight="1" s="673">
      <c r="A802" s="175" t="n"/>
    </row>
    <row r="803" ht="15.75" customHeight="1" s="673">
      <c r="A803" s="175" t="n"/>
    </row>
    <row r="804" ht="15.75" customHeight="1" s="673">
      <c r="A804" s="175" t="n"/>
    </row>
    <row r="805" ht="15.75" customHeight="1" s="673">
      <c r="A805" s="175" t="n"/>
    </row>
    <row r="806" ht="15.75" customHeight="1" s="673">
      <c r="A806" s="175" t="n"/>
    </row>
    <row r="807" ht="15.75" customHeight="1" s="673">
      <c r="A807" s="175" t="n"/>
    </row>
    <row r="808" ht="15.75" customHeight="1" s="673">
      <c r="A808" s="175" t="n"/>
    </row>
    <row r="809" ht="15.75" customHeight="1" s="673">
      <c r="A809" s="175" t="n"/>
    </row>
    <row r="810" ht="15.75" customHeight="1" s="673">
      <c r="A810" s="175" t="n"/>
    </row>
    <row r="811" ht="15.75" customHeight="1" s="673">
      <c r="A811" s="175" t="n"/>
    </row>
    <row r="812" ht="15.75" customHeight="1" s="673">
      <c r="A812" s="175" t="n"/>
    </row>
    <row r="813" ht="15.75" customHeight="1" s="673">
      <c r="A813" s="175" t="n"/>
    </row>
    <row r="814" ht="15.75" customHeight="1" s="673">
      <c r="A814" s="175" t="n"/>
    </row>
    <row r="815" ht="15.75" customHeight="1" s="673">
      <c r="A815" s="175" t="n"/>
    </row>
    <row r="816" ht="15.75" customHeight="1" s="673">
      <c r="A816" s="175" t="n"/>
    </row>
    <row r="817" ht="15.75" customHeight="1" s="673">
      <c r="A817" s="175" t="n"/>
    </row>
    <row r="818" ht="15.75" customHeight="1" s="673">
      <c r="A818" s="175" t="n"/>
    </row>
    <row r="819" ht="15.75" customHeight="1" s="673">
      <c r="A819" s="175" t="n"/>
    </row>
    <row r="820" ht="15.75" customHeight="1" s="673">
      <c r="A820" s="175" t="n"/>
    </row>
    <row r="821" ht="15.75" customHeight="1" s="673">
      <c r="A821" s="175" t="n"/>
    </row>
    <row r="822" ht="15.75" customHeight="1" s="673">
      <c r="A822" s="175" t="n"/>
    </row>
    <row r="823" ht="15.75" customHeight="1" s="673">
      <c r="A823" s="175" t="n"/>
    </row>
    <row r="824" ht="15.75" customHeight="1" s="673">
      <c r="A824" s="175" t="n"/>
    </row>
    <row r="825" ht="15.75" customHeight="1" s="673">
      <c r="A825" s="175" t="n"/>
    </row>
    <row r="826" ht="15.75" customHeight="1" s="673">
      <c r="A826" s="175" t="n"/>
    </row>
    <row r="827" ht="15.75" customHeight="1" s="673">
      <c r="A827" s="175" t="n"/>
    </row>
    <row r="828" ht="15.75" customHeight="1" s="673">
      <c r="A828" s="175" t="n"/>
    </row>
    <row r="829" ht="15.75" customHeight="1" s="673">
      <c r="A829" s="175" t="n"/>
    </row>
    <row r="830" ht="15.75" customHeight="1" s="673">
      <c r="A830" s="175" t="n"/>
    </row>
    <row r="831" ht="15.75" customHeight="1" s="673">
      <c r="A831" s="175" t="n"/>
    </row>
    <row r="832" ht="15.75" customHeight="1" s="673">
      <c r="A832" s="175" t="n"/>
    </row>
    <row r="833" ht="15.75" customHeight="1" s="673">
      <c r="A833" s="175" t="n"/>
    </row>
    <row r="834" ht="15.75" customHeight="1" s="673">
      <c r="A834" s="175" t="n"/>
    </row>
    <row r="835" ht="15.75" customHeight="1" s="673">
      <c r="A835" s="175" t="n"/>
    </row>
    <row r="836" ht="15.75" customHeight="1" s="673">
      <c r="A836" s="175" t="n"/>
    </row>
    <row r="837" ht="15.75" customHeight="1" s="673">
      <c r="A837" s="175" t="n"/>
    </row>
    <row r="838" ht="15.75" customHeight="1" s="673">
      <c r="A838" s="175" t="n"/>
    </row>
    <row r="839" ht="15.75" customHeight="1" s="673">
      <c r="A839" s="175" t="n"/>
    </row>
    <row r="840" ht="15.75" customHeight="1" s="673">
      <c r="A840" s="175" t="n"/>
    </row>
    <row r="841" ht="15.75" customHeight="1" s="673">
      <c r="A841" s="175" t="n"/>
    </row>
    <row r="842" ht="15.75" customHeight="1" s="673">
      <c r="A842" s="175" t="n"/>
    </row>
    <row r="843" ht="15.75" customHeight="1" s="673">
      <c r="A843" s="175" t="n"/>
    </row>
    <row r="844" ht="15.75" customHeight="1" s="673">
      <c r="A844" s="175" t="n"/>
    </row>
    <row r="845" ht="15.75" customHeight="1" s="673">
      <c r="A845" s="175" t="n"/>
    </row>
    <row r="846" ht="15.75" customHeight="1" s="673">
      <c r="A846" s="175" t="n"/>
    </row>
    <row r="847" ht="15.75" customHeight="1" s="673">
      <c r="A847" s="175" t="n"/>
    </row>
    <row r="848" ht="15.75" customHeight="1" s="673">
      <c r="A848" s="175" t="n"/>
    </row>
    <row r="849" ht="15.75" customHeight="1" s="673">
      <c r="A849" s="175" t="n"/>
    </row>
    <row r="850" ht="15.75" customHeight="1" s="673">
      <c r="A850" s="175" t="n"/>
    </row>
    <row r="851" ht="15.75" customHeight="1" s="673">
      <c r="A851" s="175" t="n"/>
    </row>
    <row r="852" ht="15.75" customHeight="1" s="673">
      <c r="A852" s="175" t="n"/>
    </row>
    <row r="853" ht="15.75" customHeight="1" s="673">
      <c r="A853" s="175" t="n"/>
    </row>
    <row r="854" ht="15.75" customHeight="1" s="673">
      <c r="A854" s="175" t="n"/>
    </row>
    <row r="855" ht="15.75" customHeight="1" s="673">
      <c r="A855" s="175" t="n"/>
    </row>
    <row r="856" ht="15.75" customHeight="1" s="673">
      <c r="A856" s="175" t="n"/>
    </row>
    <row r="857" ht="15.75" customHeight="1" s="673">
      <c r="A857" s="175" t="n"/>
    </row>
    <row r="858" ht="15.75" customHeight="1" s="673">
      <c r="A858" s="175" t="n"/>
    </row>
    <row r="859" ht="15.75" customHeight="1" s="673">
      <c r="A859" s="175" t="n"/>
    </row>
    <row r="860" ht="15.75" customHeight="1" s="673">
      <c r="A860" s="175" t="n"/>
    </row>
    <row r="861" ht="15.75" customHeight="1" s="673">
      <c r="A861" s="175" t="n"/>
    </row>
    <row r="862" ht="15.75" customHeight="1" s="673">
      <c r="A862" s="175" t="n"/>
    </row>
    <row r="863" ht="15.75" customHeight="1" s="673">
      <c r="A863" s="175" t="n"/>
    </row>
    <row r="864" ht="15.75" customHeight="1" s="673">
      <c r="A864" s="175" t="n"/>
    </row>
    <row r="865" ht="15.75" customHeight="1" s="673">
      <c r="A865" s="175" t="n"/>
    </row>
    <row r="866" ht="15.75" customHeight="1" s="673">
      <c r="A866" s="175" t="n"/>
    </row>
    <row r="867" ht="15.75" customHeight="1" s="673">
      <c r="A867" s="175" t="n"/>
    </row>
    <row r="868" ht="15.75" customHeight="1" s="673">
      <c r="A868" s="175" t="n"/>
    </row>
    <row r="869" ht="15.75" customHeight="1" s="673">
      <c r="A869" s="175" t="n"/>
    </row>
    <row r="870" ht="15.75" customHeight="1" s="673">
      <c r="A870" s="175" t="n"/>
    </row>
    <row r="871" ht="15.75" customHeight="1" s="673">
      <c r="A871" s="175" t="n"/>
    </row>
    <row r="872" ht="15.75" customHeight="1" s="673">
      <c r="A872" s="175" t="n"/>
    </row>
    <row r="873" ht="15.75" customHeight="1" s="673">
      <c r="A873" s="175" t="n"/>
    </row>
    <row r="874" ht="15.75" customHeight="1" s="673">
      <c r="A874" s="175" t="n"/>
    </row>
    <row r="875" ht="15.75" customHeight="1" s="673">
      <c r="A875" s="175" t="n"/>
    </row>
    <row r="876" ht="15.75" customHeight="1" s="673">
      <c r="A876" s="175" t="n"/>
    </row>
    <row r="877" ht="15.75" customHeight="1" s="673">
      <c r="A877" s="175" t="n"/>
    </row>
    <row r="878" ht="15.75" customHeight="1" s="673">
      <c r="A878" s="175" t="n"/>
    </row>
    <row r="879" ht="15.75" customHeight="1" s="673">
      <c r="A879" s="175" t="n"/>
    </row>
    <row r="880" ht="15.75" customHeight="1" s="673">
      <c r="A880" s="175" t="n"/>
    </row>
    <row r="881" ht="15.75" customHeight="1" s="673">
      <c r="A881" s="175" t="n"/>
    </row>
    <row r="882" ht="15.75" customHeight="1" s="673">
      <c r="A882" s="175" t="n"/>
    </row>
    <row r="883" ht="15.75" customHeight="1" s="673">
      <c r="A883" s="175" t="n"/>
    </row>
    <row r="884" ht="15.75" customHeight="1" s="673">
      <c r="A884" s="175" t="n"/>
    </row>
    <row r="885" ht="15.75" customHeight="1" s="673">
      <c r="A885" s="175" t="n"/>
    </row>
    <row r="886" ht="15.75" customHeight="1" s="673">
      <c r="A886" s="175" t="n"/>
    </row>
    <row r="887" ht="15.75" customHeight="1" s="673">
      <c r="A887" s="175" t="n"/>
    </row>
    <row r="888" ht="15.75" customHeight="1" s="673">
      <c r="A888" s="175" t="n"/>
    </row>
    <row r="889" ht="15.75" customHeight="1" s="673">
      <c r="A889" s="175" t="n"/>
    </row>
    <row r="890" ht="15.75" customHeight="1" s="673">
      <c r="A890" s="175" t="n"/>
    </row>
    <row r="891" ht="15.75" customHeight="1" s="673">
      <c r="A891" s="175" t="n"/>
    </row>
    <row r="892" ht="15.75" customHeight="1" s="673">
      <c r="A892" s="175" t="n"/>
    </row>
    <row r="893" ht="15.75" customHeight="1" s="673">
      <c r="A893" s="175" t="n"/>
    </row>
    <row r="894" ht="15.75" customHeight="1" s="673">
      <c r="A894" s="175" t="n"/>
    </row>
    <row r="895" ht="15.75" customHeight="1" s="673">
      <c r="A895" s="175" t="n"/>
    </row>
    <row r="896" ht="15.75" customHeight="1" s="673">
      <c r="A896" s="175" t="n"/>
    </row>
    <row r="897" ht="15.75" customHeight="1" s="673">
      <c r="A897" s="175" t="n"/>
    </row>
    <row r="898" ht="15.75" customHeight="1" s="673">
      <c r="A898" s="175" t="n"/>
    </row>
    <row r="899" ht="15.75" customHeight="1" s="673">
      <c r="A899" s="175" t="n"/>
    </row>
    <row r="900" ht="15.75" customHeight="1" s="673">
      <c r="A900" s="175" t="n"/>
    </row>
    <row r="901" ht="15.75" customHeight="1" s="673">
      <c r="A901" s="175" t="n"/>
    </row>
    <row r="902" ht="15.75" customHeight="1" s="673">
      <c r="A902" s="175" t="n"/>
    </row>
    <row r="903" ht="15.75" customHeight="1" s="673">
      <c r="A903" s="175" t="n"/>
    </row>
    <row r="904" ht="15.75" customHeight="1" s="673">
      <c r="A904" s="175" t="n"/>
    </row>
    <row r="905" ht="15.75" customHeight="1" s="673">
      <c r="A905" s="175" t="n"/>
    </row>
    <row r="906" ht="15.75" customHeight="1" s="673">
      <c r="A906" s="175" t="n"/>
    </row>
    <row r="907" ht="15.75" customHeight="1" s="673">
      <c r="A907" s="175" t="n"/>
    </row>
    <row r="908" ht="15.75" customHeight="1" s="673">
      <c r="A908" s="175" t="n"/>
    </row>
    <row r="909" ht="15.75" customHeight="1" s="673">
      <c r="A909" s="175" t="n"/>
    </row>
    <row r="910" ht="15.75" customHeight="1" s="673">
      <c r="A910" s="175" t="n"/>
    </row>
    <row r="911" ht="15.75" customHeight="1" s="673">
      <c r="A911" s="175" t="n"/>
    </row>
    <row r="912" ht="15.75" customHeight="1" s="673">
      <c r="A912" s="175" t="n"/>
    </row>
    <row r="913" ht="15.75" customHeight="1" s="673">
      <c r="A913" s="175" t="n"/>
    </row>
    <row r="914" ht="15.75" customHeight="1" s="673">
      <c r="A914" s="175" t="n"/>
    </row>
    <row r="915" ht="15.75" customHeight="1" s="673">
      <c r="A915" s="175" t="n"/>
    </row>
    <row r="916" ht="15.75" customHeight="1" s="673">
      <c r="A916" s="175" t="n"/>
    </row>
    <row r="917" ht="15.75" customHeight="1" s="673">
      <c r="A917" s="175" t="n"/>
    </row>
    <row r="918" ht="15.75" customHeight="1" s="673">
      <c r="A918" s="175" t="n"/>
    </row>
    <row r="919" ht="15.75" customHeight="1" s="673">
      <c r="A919" s="175" t="n"/>
    </row>
    <row r="920" ht="15.75" customHeight="1" s="673">
      <c r="A920" s="175" t="n"/>
    </row>
    <row r="921" ht="15.75" customHeight="1" s="673">
      <c r="A921" s="175" t="n"/>
    </row>
    <row r="922" ht="15.75" customHeight="1" s="673">
      <c r="A922" s="175" t="n"/>
    </row>
    <row r="923" ht="15.75" customHeight="1" s="673">
      <c r="A923" s="175" t="n"/>
    </row>
    <row r="924" ht="15.75" customHeight="1" s="673">
      <c r="A924" s="175" t="n"/>
    </row>
    <row r="925" ht="15.75" customHeight="1" s="673">
      <c r="A925" s="175" t="n"/>
    </row>
    <row r="926" ht="15.75" customHeight="1" s="673">
      <c r="A926" s="175" t="n"/>
    </row>
    <row r="927" ht="15.75" customHeight="1" s="673">
      <c r="A927" s="175" t="n"/>
    </row>
    <row r="928" ht="15.75" customHeight="1" s="673">
      <c r="A928" s="175" t="n"/>
    </row>
    <row r="929" ht="15.75" customHeight="1" s="673">
      <c r="A929" s="175" t="n"/>
    </row>
    <row r="930" ht="15.75" customHeight="1" s="673">
      <c r="A930" s="175" t="n"/>
    </row>
    <row r="931" ht="15.75" customHeight="1" s="673">
      <c r="A931" s="175" t="n"/>
    </row>
    <row r="932" ht="15.75" customHeight="1" s="673">
      <c r="A932" s="175" t="n"/>
    </row>
    <row r="933" ht="15.75" customHeight="1" s="673">
      <c r="A933" s="175" t="n"/>
    </row>
    <row r="934" ht="15.75" customHeight="1" s="673">
      <c r="A934" s="175" t="n"/>
    </row>
    <row r="935" ht="15.75" customHeight="1" s="673">
      <c r="A935" s="175" t="n"/>
    </row>
    <row r="936" ht="15.75" customHeight="1" s="673">
      <c r="A936" s="175" t="n"/>
    </row>
    <row r="937" ht="15.75" customHeight="1" s="673">
      <c r="A937" s="175" t="n"/>
    </row>
    <row r="938" ht="15.75" customHeight="1" s="673">
      <c r="A938" s="175" t="n"/>
    </row>
    <row r="939" ht="15.75" customHeight="1" s="673">
      <c r="A939" s="175" t="n"/>
    </row>
    <row r="940" ht="15.75" customHeight="1" s="673">
      <c r="A940" s="175" t="n"/>
    </row>
    <row r="941" ht="15.75" customHeight="1" s="673">
      <c r="A941" s="175" t="n"/>
    </row>
    <row r="942" ht="15.75" customHeight="1" s="673">
      <c r="A942" s="175" t="n"/>
    </row>
    <row r="943" ht="15.75" customHeight="1" s="673">
      <c r="A943" s="175" t="n"/>
    </row>
    <row r="944" ht="15.75" customHeight="1" s="673">
      <c r="A944" s="175" t="n"/>
    </row>
    <row r="945" ht="15.75" customHeight="1" s="673">
      <c r="A945" s="175" t="n"/>
    </row>
    <row r="946" ht="15.75" customHeight="1" s="673">
      <c r="A946" s="175" t="n"/>
    </row>
    <row r="947" ht="15.75" customHeight="1" s="673">
      <c r="A947" s="175" t="n"/>
    </row>
    <row r="948" ht="15.75" customHeight="1" s="673">
      <c r="A948" s="175" t="n"/>
    </row>
    <row r="949" ht="15.75" customHeight="1" s="673">
      <c r="A949" s="175" t="n"/>
    </row>
    <row r="950" ht="15.75" customHeight="1" s="673">
      <c r="A950" s="175" t="n"/>
    </row>
    <row r="951" ht="15.75" customHeight="1" s="673">
      <c r="A951" s="175" t="n"/>
    </row>
    <row r="952" ht="15.75" customHeight="1" s="673">
      <c r="A952" s="175" t="n"/>
    </row>
    <row r="953" ht="15.75" customHeight="1" s="673">
      <c r="A953" s="175" t="n"/>
    </row>
    <row r="954" ht="15.75" customHeight="1" s="673">
      <c r="A954" s="175" t="n"/>
    </row>
    <row r="955" ht="15.75" customHeight="1" s="673">
      <c r="A955" s="175" t="n"/>
    </row>
    <row r="956" ht="15.75" customHeight="1" s="673">
      <c r="A956" s="175" t="n"/>
    </row>
    <row r="957" ht="15.75" customHeight="1" s="673">
      <c r="A957" s="175" t="n"/>
    </row>
    <row r="958" ht="15.75" customHeight="1" s="673">
      <c r="A958" s="175" t="n"/>
    </row>
    <row r="959" ht="15.75" customHeight="1" s="673">
      <c r="A959" s="175" t="n"/>
    </row>
    <row r="960" ht="15.75" customHeight="1" s="673">
      <c r="A960" s="175" t="n"/>
    </row>
    <row r="961" ht="15.75" customHeight="1" s="673">
      <c r="A961" s="175" t="n"/>
    </row>
    <row r="962" ht="15.75" customHeight="1" s="673">
      <c r="A962" s="175" t="n"/>
    </row>
    <row r="963" ht="15.75" customHeight="1" s="673">
      <c r="A963" s="175" t="n"/>
    </row>
    <row r="964" ht="15.75" customHeight="1" s="673">
      <c r="A964" s="175" t="n"/>
    </row>
    <row r="965" ht="15.75" customHeight="1" s="673">
      <c r="A965" s="175" t="n"/>
    </row>
    <row r="966" ht="15.75" customHeight="1" s="673">
      <c r="A966" s="175" t="n"/>
    </row>
    <row r="967" ht="15.75" customHeight="1" s="673">
      <c r="A967" s="175" t="n"/>
    </row>
    <row r="968" ht="15.75" customHeight="1" s="673">
      <c r="A968" s="175" t="n"/>
    </row>
    <row r="969" ht="15.75" customHeight="1" s="673">
      <c r="A969" s="175" t="n"/>
    </row>
    <row r="970" ht="15.75" customHeight="1" s="673">
      <c r="A970" s="175" t="n"/>
    </row>
    <row r="971" ht="15.75" customHeight="1" s="673">
      <c r="A971" s="175" t="n"/>
    </row>
    <row r="972" ht="15.75" customHeight="1" s="673">
      <c r="A972" s="175" t="n"/>
    </row>
    <row r="973" ht="15.75" customHeight="1" s="673">
      <c r="A973" s="175" t="n"/>
    </row>
    <row r="974" ht="15.75" customHeight="1" s="673">
      <c r="A974" s="175" t="n"/>
    </row>
    <row r="975" ht="15.75" customHeight="1" s="673">
      <c r="A975" s="175" t="n"/>
    </row>
    <row r="976" ht="15.75" customHeight="1" s="673">
      <c r="A976" s="175" t="n"/>
    </row>
    <row r="977" ht="15.75" customHeight="1" s="673">
      <c r="A977" s="175" t="n"/>
    </row>
    <row r="978" ht="15.75" customHeight="1" s="673">
      <c r="A978" s="175" t="n"/>
    </row>
    <row r="979" ht="15.75" customHeight="1" s="673">
      <c r="A979" s="175" t="n"/>
    </row>
    <row r="980" ht="15.75" customHeight="1" s="673">
      <c r="A980" s="175" t="n"/>
    </row>
    <row r="981" ht="15.75" customHeight="1" s="673">
      <c r="A981" s="175" t="n"/>
    </row>
    <row r="982" ht="15.75" customHeight="1" s="673">
      <c r="A982" s="175" t="n"/>
    </row>
    <row r="983" ht="15.75" customHeight="1" s="673">
      <c r="A983" s="175" t="n"/>
    </row>
    <row r="984" ht="15.75" customHeight="1" s="673">
      <c r="A984" s="175" t="n"/>
    </row>
    <row r="985" ht="15.75" customHeight="1" s="673">
      <c r="A985" s="175" t="n"/>
    </row>
    <row r="986" ht="15.75" customHeight="1" s="673">
      <c r="A986" s="175" t="n"/>
    </row>
    <row r="987" ht="15.75" customHeight="1" s="673">
      <c r="A987" s="175" t="n"/>
    </row>
    <row r="988" ht="15.75" customHeight="1" s="673">
      <c r="A988" s="175" t="n"/>
    </row>
    <row r="989" ht="15.75" customHeight="1" s="673">
      <c r="A989" s="175" t="n"/>
    </row>
    <row r="990" ht="15.75" customHeight="1" s="673">
      <c r="A990" s="175" t="n"/>
    </row>
    <row r="991" ht="15.75" customHeight="1" s="673">
      <c r="A991" s="175" t="n"/>
    </row>
    <row r="992" ht="15.75" customHeight="1" s="673">
      <c r="A992" s="175" t="n"/>
    </row>
    <row r="993" ht="15.75" customHeight="1" s="673">
      <c r="A993" s="175" t="n"/>
    </row>
    <row r="994" ht="15.75" customHeight="1" s="673">
      <c r="A994" s="175" t="n"/>
    </row>
    <row r="995" ht="15.75" customHeight="1" s="673">
      <c r="A995" s="175" t="n"/>
    </row>
    <row r="996" ht="15.75" customHeight="1" s="673">
      <c r="A996" s="175" t="n"/>
    </row>
    <row r="997" ht="15.75" customHeight="1" s="673">
      <c r="A997" s="175" t="n"/>
    </row>
    <row r="998" ht="15.75" customHeight="1" s="673">
      <c r="A998" s="175" t="n"/>
    </row>
    <row r="999" ht="15.75" customHeight="1" s="673">
      <c r="A999" s="175" t="n"/>
    </row>
    <row r="1000" ht="15.75" customHeight="1" s="673">
      <c r="A1000" s="175" t="n"/>
    </row>
  </sheetData>
  <mergeCells count="2">
    <mergeCell ref="B6:O6"/>
    <mergeCell ref="B1:O3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FF9999"/>
    <outlinePr summaryBelow="1" summaryRight="1"/>
    <pageSetUpPr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.88" customWidth="1" style="673" min="1" max="1"/>
    <col width="59.38" customWidth="1" style="673" min="2" max="2"/>
    <col width="13.88" customWidth="1" style="673" min="3" max="3"/>
    <col width="11.63" customWidth="1" style="673" min="4" max="4"/>
    <col width="7.88" customWidth="1" style="673" min="5" max="5"/>
    <col width="6.75" customWidth="1" style="673" min="6" max="6"/>
    <col width="6.13" customWidth="1" style="673" min="7" max="7"/>
    <col width="7.5" customWidth="1" style="673" min="8" max="8"/>
    <col width="7.13" customWidth="1" style="673" min="9" max="9"/>
    <col width="9" customWidth="1" style="673" min="10" max="10"/>
    <col width="11.38" customWidth="1" style="673" min="11" max="11"/>
    <col width="10.38" customWidth="1" style="673" min="12" max="12"/>
    <col width="11.88" customWidth="1" style="673" min="13" max="13"/>
    <col width="11.63" customWidth="1" style="673" min="14" max="14"/>
    <col width="13" customWidth="1" style="673" min="15" max="15"/>
    <col width="8.630000000000001" customWidth="1" style="673" min="16" max="26"/>
  </cols>
  <sheetData>
    <row r="1" hidden="1" s="673">
      <c r="A1" s="187" t="n"/>
      <c r="B1" s="188" t="n"/>
      <c r="C1" s="188" t="n"/>
      <c r="D1" s="188" t="n"/>
      <c r="E1" s="188" t="n"/>
      <c r="F1" s="188" t="n"/>
      <c r="G1" s="188" t="n"/>
      <c r="H1" s="188" t="n"/>
      <c r="I1" s="188" t="n"/>
      <c r="J1" s="188" t="n"/>
      <c r="K1" s="188" t="n"/>
      <c r="L1" s="188" t="n"/>
      <c r="M1" s="188" t="n"/>
      <c r="N1" s="188" t="n"/>
      <c r="O1" s="188" t="n"/>
      <c r="P1" s="188" t="n"/>
      <c r="Q1" s="188" t="n"/>
      <c r="R1" s="188" t="n"/>
      <c r="S1" s="188" t="n"/>
      <c r="T1" s="188" t="n"/>
      <c r="U1" s="188" t="n"/>
      <c r="V1" s="188" t="n"/>
      <c r="W1" s="188" t="n"/>
      <c r="X1" s="188" t="n"/>
      <c r="Y1" s="188" t="n"/>
      <c r="Z1" s="188" t="n"/>
    </row>
    <row r="2" hidden="1" s="673">
      <c r="A2" s="187" t="n"/>
      <c r="B2" s="188" t="n"/>
      <c r="C2" s="188" t="n"/>
      <c r="D2" s="188" t="n"/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8" t="n"/>
      <c r="P2" s="188" t="n"/>
      <c r="Q2" s="188" t="n"/>
      <c r="R2" s="188" t="n"/>
      <c r="S2" s="188" t="n"/>
      <c r="T2" s="188" t="n"/>
      <c r="U2" s="188" t="n"/>
      <c r="V2" s="188" t="n"/>
      <c r="W2" s="188" t="n"/>
      <c r="X2" s="188" t="n"/>
      <c r="Y2" s="188" t="n"/>
      <c r="Z2" s="188" t="n"/>
    </row>
    <row r="3" hidden="1" s="673">
      <c r="A3" s="187" t="n"/>
      <c r="B3" s="188" t="n"/>
      <c r="C3" s="188" t="n"/>
      <c r="D3" s="188" t="n"/>
      <c r="E3" s="188" t="n"/>
      <c r="F3" s="188" t="n"/>
      <c r="G3" s="188" t="n"/>
      <c r="H3" s="188" t="n"/>
      <c r="I3" s="188" t="n"/>
      <c r="J3" s="188" t="n"/>
      <c r="K3" s="188" t="n"/>
      <c r="L3" s="188" t="n"/>
      <c r="M3" s="188" t="n"/>
      <c r="N3" s="188" t="n"/>
      <c r="O3" s="188" t="n"/>
      <c r="P3" s="188" t="n"/>
      <c r="Q3" s="188" t="n"/>
      <c r="R3" s="188" t="n"/>
      <c r="S3" s="188" t="n"/>
      <c r="T3" s="188" t="n"/>
      <c r="U3" s="188" t="n"/>
      <c r="V3" s="188" t="n"/>
      <c r="W3" s="188" t="n"/>
      <c r="X3" s="188" t="n"/>
      <c r="Y3" s="188" t="n"/>
      <c r="Z3" s="188" t="n"/>
    </row>
    <row r="4" hidden="1" s="673">
      <c r="A4" s="187" t="n"/>
      <c r="B4" s="188" t="n"/>
      <c r="C4" s="188" t="n"/>
      <c r="D4" s="188" t="n"/>
      <c r="E4" s="188" t="n"/>
      <c r="F4" s="188" t="n"/>
      <c r="G4" s="188" t="n"/>
      <c r="H4" s="188" t="n"/>
      <c r="I4" s="188" t="n"/>
      <c r="J4" s="188" t="n"/>
      <c r="K4" s="188" t="n"/>
      <c r="L4" s="188" t="n"/>
      <c r="M4" s="188" t="n"/>
      <c r="N4" s="188" t="n"/>
      <c r="O4" s="188" t="n"/>
      <c r="P4" s="188" t="n"/>
      <c r="Q4" s="188" t="n"/>
      <c r="R4" s="188" t="n"/>
      <c r="S4" s="188" t="n"/>
      <c r="T4" s="188" t="n"/>
      <c r="U4" s="188" t="n"/>
      <c r="V4" s="188" t="n"/>
      <c r="W4" s="188" t="n"/>
      <c r="X4" s="188" t="n"/>
      <c r="Y4" s="188" t="n"/>
      <c r="Z4" s="188" t="n"/>
    </row>
    <row r="5">
      <c r="A5" s="187" t="n"/>
      <c r="B5" s="188" t="n"/>
      <c r="C5" s="188" t="n"/>
      <c r="D5" s="188" t="n"/>
      <c r="E5" s="188" t="n"/>
      <c r="F5" s="188" t="n"/>
      <c r="G5" s="188" t="n"/>
      <c r="H5" s="188" t="n"/>
      <c r="I5" s="188" t="n"/>
      <c r="J5" s="188" t="n"/>
      <c r="K5" s="188" t="n"/>
      <c r="L5" s="188" t="n"/>
      <c r="M5" s="188" t="n"/>
      <c r="N5" s="188" t="n"/>
      <c r="O5" s="188" t="n"/>
      <c r="P5" s="188" t="n"/>
      <c r="Q5" s="188" t="n"/>
      <c r="R5" s="188" t="n"/>
      <c r="S5" s="188" t="n"/>
      <c r="T5" s="188" t="n"/>
      <c r="U5" s="188" t="n"/>
      <c r="V5" s="188" t="n"/>
      <c r="W5" s="188" t="n"/>
      <c r="X5" s="188" t="n"/>
      <c r="Y5" s="188" t="n"/>
      <c r="Z5" s="188" t="n"/>
    </row>
    <row r="6">
      <c r="A6" s="187" t="n"/>
      <c r="B6" s="189" t="inlineStr">
        <is>
          <t>RENDIMENTOS E RETENÇÕES PARTICULARES</t>
        </is>
      </c>
      <c r="C6" s="190" t="n"/>
      <c r="D6" s="190" t="n"/>
      <c r="E6" s="190" t="n"/>
      <c r="F6" s="190" t="n"/>
      <c r="G6" s="190" t="n"/>
      <c r="H6" s="190" t="n"/>
      <c r="I6" s="191" t="n"/>
      <c r="J6" s="191" t="n"/>
      <c r="K6" s="191" t="n"/>
      <c r="L6" s="191" t="n"/>
      <c r="M6" s="191" t="n"/>
      <c r="N6" s="191" t="n"/>
      <c r="O6" s="192">
        <f>RECEITAS!I12</f>
        <v/>
      </c>
      <c r="P6" s="188" t="n"/>
      <c r="Q6" s="188" t="n"/>
      <c r="R6" s="188" t="n"/>
      <c r="S6" s="188" t="n"/>
      <c r="T6" s="188" t="n"/>
      <c r="U6" s="188" t="n"/>
      <c r="V6" s="188" t="n"/>
      <c r="W6" s="188" t="n"/>
      <c r="X6" s="188" t="n"/>
      <c r="Y6" s="188" t="n"/>
      <c r="Z6" s="188" t="n"/>
    </row>
    <row r="7">
      <c r="A7" s="187" t="n"/>
      <c r="B7" s="153">
        <f>RECEITAS!B13</f>
        <v/>
      </c>
      <c r="G7" s="153" t="n"/>
      <c r="H7" s="153" t="n"/>
      <c r="I7" s="153" t="n"/>
      <c r="J7" s="153" t="n"/>
      <c r="K7" s="153" t="n"/>
      <c r="L7" s="153" t="n"/>
      <c r="M7" s="153" t="n"/>
      <c r="N7" s="153" t="n"/>
      <c r="O7" s="153" t="n"/>
      <c r="P7" s="188" t="n"/>
      <c r="Q7" s="188" t="n"/>
      <c r="R7" s="188" t="n"/>
      <c r="S7" s="188" t="n"/>
      <c r="T7" s="188" t="n"/>
      <c r="U7" s="188" t="n"/>
      <c r="V7" s="188" t="n"/>
      <c r="W7" s="188" t="n"/>
      <c r="X7" s="188" t="n"/>
      <c r="Y7" s="188" t="n"/>
      <c r="Z7" s="188" t="n"/>
    </row>
    <row r="8">
      <c r="A8" s="187" t="n"/>
      <c r="B8" s="194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  <c r="L8" s="188" t="n"/>
      <c r="M8" s="188" t="n"/>
      <c r="N8" s="188" t="n"/>
      <c r="O8" s="188" t="n"/>
      <c r="P8" s="188" t="n"/>
      <c r="Q8" s="188" t="n"/>
      <c r="R8" s="188" t="n"/>
      <c r="S8" s="188" t="n"/>
      <c r="T8" s="188" t="n"/>
      <c r="U8" s="188" t="n"/>
      <c r="V8" s="188" t="n"/>
      <c r="W8" s="188" t="n"/>
      <c r="X8" s="188" t="n"/>
      <c r="Y8" s="188" t="n"/>
      <c r="Z8" s="188" t="n"/>
    </row>
    <row r="9">
      <c r="A9" s="187" t="n">
        <v>1</v>
      </c>
      <c r="B9" s="685">
        <f>RESULTADO!B28</f>
        <v/>
      </c>
      <c r="C9" s="675" t="n"/>
      <c r="D9" s="675" t="n"/>
      <c r="E9" s="675" t="n"/>
      <c r="F9" s="196" t="n"/>
      <c r="G9" s="196" t="n"/>
      <c r="H9" s="196" t="n"/>
      <c r="I9" s="196" t="n"/>
      <c r="J9" s="196" t="n"/>
      <c r="K9" s="196" t="n"/>
      <c r="L9" s="196" t="n"/>
      <c r="M9" s="196" t="n"/>
      <c r="N9" s="196" t="n"/>
      <c r="O9" s="196" t="n"/>
      <c r="P9" s="188" t="n"/>
      <c r="Q9" s="188" t="n"/>
      <c r="R9" s="188" t="n"/>
      <c r="S9" s="188" t="n"/>
      <c r="T9" s="188" t="n"/>
      <c r="U9" s="188" t="n"/>
      <c r="V9" s="188" t="n"/>
      <c r="W9" s="188" t="n"/>
      <c r="X9" s="188" t="n"/>
      <c r="Y9" s="188" t="n"/>
      <c r="Z9" s="188" t="n"/>
    </row>
    <row r="10">
      <c r="A10" s="187" t="n"/>
      <c r="B10" s="197" t="n"/>
      <c r="C10" s="198" t="n"/>
      <c r="D10" s="199" t="n"/>
      <c r="E10" s="196" t="n"/>
      <c r="F10" s="196" t="n"/>
      <c r="G10" s="196" t="n"/>
      <c r="H10" s="196" t="n"/>
      <c r="I10" s="196" t="n"/>
      <c r="J10" s="196" t="n"/>
      <c r="K10" s="196" t="n"/>
      <c r="L10" s="196" t="n"/>
      <c r="M10" s="196" t="n"/>
      <c r="N10" s="196" t="n"/>
      <c r="O10" s="196" t="n"/>
      <c r="P10" s="188" t="n"/>
      <c r="Q10" s="188" t="n"/>
      <c r="R10" s="188" t="n"/>
      <c r="S10" s="188" t="n"/>
      <c r="T10" s="188" t="n"/>
      <c r="U10" s="188" t="n"/>
      <c r="V10" s="188" t="n"/>
      <c r="W10" s="188" t="n"/>
      <c r="X10" s="188" t="n"/>
      <c r="Y10" s="188" t="n"/>
      <c r="Z10" s="188" t="n"/>
    </row>
    <row r="11">
      <c r="A11" s="187" t="n"/>
      <c r="B11" s="200" t="n">
        <v>2026</v>
      </c>
      <c r="C11" s="201" t="inlineStr">
        <is>
          <t>JANEIRO</t>
        </is>
      </c>
      <c r="D11" s="201" t="inlineStr">
        <is>
          <t>FEVEREIRO</t>
        </is>
      </c>
      <c r="E11" s="201" t="inlineStr">
        <is>
          <t>MARÇO</t>
        </is>
      </c>
      <c r="F11" s="201" t="inlineStr">
        <is>
          <t>ABRIL</t>
        </is>
      </c>
      <c r="G11" s="201" t="inlineStr">
        <is>
          <t>MAIO</t>
        </is>
      </c>
      <c r="H11" s="201" t="inlineStr">
        <is>
          <t>JUNHO</t>
        </is>
      </c>
      <c r="I11" s="201" t="inlineStr">
        <is>
          <t>JULHO</t>
        </is>
      </c>
      <c r="J11" s="201" t="inlineStr">
        <is>
          <t>AGOSTO</t>
        </is>
      </c>
      <c r="K11" s="201" t="inlineStr">
        <is>
          <t>SETEMBRO</t>
        </is>
      </c>
      <c r="L11" s="201" t="inlineStr">
        <is>
          <t>OUTUBRO</t>
        </is>
      </c>
      <c r="M11" s="201" t="inlineStr">
        <is>
          <t>NOVEMBRO</t>
        </is>
      </c>
      <c r="N11" s="201" t="inlineStr">
        <is>
          <t>DEZEMBRO</t>
        </is>
      </c>
      <c r="O11" s="200" t="inlineStr">
        <is>
          <t>TOTAL</t>
        </is>
      </c>
      <c r="P11" s="188" t="n"/>
      <c r="Q11" s="188" t="n"/>
      <c r="R11" s="188" t="n"/>
      <c r="S11" s="188" t="n"/>
      <c r="T11" s="188" t="n"/>
      <c r="U11" s="188" t="n"/>
      <c r="V11" s="188" t="n"/>
      <c r="W11" s="188" t="n"/>
      <c r="X11" s="188" t="n"/>
      <c r="Y11" s="188" t="n"/>
      <c r="Z11" s="188" t="n"/>
    </row>
    <row r="12">
      <c r="A12" s="10" t="n"/>
      <c r="B12" s="202" t="inlineStr">
        <is>
          <t xml:space="preserve">RENDIMENTOS </t>
        </is>
      </c>
      <c r="C12" s="181">
        <f>SUM(C13:C19)</f>
        <v/>
      </c>
      <c r="D12" s="181">
        <f>SUM(D13:D19)</f>
        <v/>
      </c>
      <c r="E12" s="181">
        <f>SUM(E13:E19)</f>
        <v/>
      </c>
      <c r="F12" s="181">
        <f>SUM(F13:F19)</f>
        <v/>
      </c>
      <c r="G12" s="181">
        <f>SUM(G13:G19)</f>
        <v/>
      </c>
      <c r="H12" s="181">
        <f>SUM(H13:H19)</f>
        <v/>
      </c>
      <c r="I12" s="181">
        <f>SUM(I13:I19)</f>
        <v/>
      </c>
      <c r="J12" s="181">
        <f>SUM(J13:J19)</f>
        <v/>
      </c>
      <c r="K12" s="181">
        <f>SUM(K13:K19)</f>
        <v/>
      </c>
      <c r="L12" s="181">
        <f>SUM(L13:L19)</f>
        <v/>
      </c>
      <c r="M12" s="181">
        <f>SUM(M13:M19)</f>
        <v/>
      </c>
      <c r="N12" s="181">
        <f>SUM(N13:N19)</f>
        <v/>
      </c>
      <c r="O12" s="182">
        <f>SUM(C12:N12)</f>
        <v/>
      </c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10" t="n"/>
      <c r="B13" s="203" t="inlineStr">
        <is>
          <t>DIVIDENDOS</t>
        </is>
      </c>
      <c r="C13" s="185" t="n">
        <v>1000000</v>
      </c>
      <c r="D13" s="185" t="n"/>
      <c r="E13" s="185" t="n"/>
      <c r="F13" s="185" t="n"/>
      <c r="G13" s="185" t="n"/>
      <c r="H13" s="185" t="n"/>
      <c r="I13" s="185" t="n"/>
      <c r="J13" s="185" t="n"/>
      <c r="K13" s="185" t="n"/>
      <c r="L13" s="185" t="n"/>
      <c r="M13" s="185" t="n"/>
      <c r="N13" s="185" t="n"/>
      <c r="O13" s="186">
        <f>SUM(C13:N13)</f>
        <v/>
      </c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10" t="n"/>
      <c r="B14" s="203" t="inlineStr">
        <is>
          <t>ALUGUÉIS</t>
        </is>
      </c>
      <c r="C14" s="185" t="n">
        <v>48000</v>
      </c>
      <c r="D14" s="185" t="n"/>
      <c r="E14" s="185" t="n"/>
      <c r="F14" s="185" t="n"/>
      <c r="G14" s="185" t="n"/>
      <c r="H14" s="185" t="n"/>
      <c r="I14" s="185" t="n"/>
      <c r="J14" s="185" t="n"/>
      <c r="K14" s="185" t="n"/>
      <c r="L14" s="185" t="n"/>
      <c r="M14" s="185" t="n"/>
      <c r="N14" s="185" t="n"/>
      <c r="O14" s="186">
        <f>SUM(C14:N14)</f>
        <v/>
      </c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10" t="n"/>
      <c r="B15" s="203" t="inlineStr">
        <is>
          <t>PRÓ-LABORE/RENDIMENTOS ASSALARIADOS</t>
        </is>
      </c>
      <c r="C15" s="185" t="n">
        <v>24000</v>
      </c>
      <c r="D15" s="185" t="n"/>
      <c r="E15" s="185" t="n"/>
      <c r="F15" s="185" t="n"/>
      <c r="G15" s="185" t="n"/>
      <c r="H15" s="185" t="n"/>
      <c r="I15" s="185" t="n"/>
      <c r="J15" s="185" t="n"/>
      <c r="K15" s="185" t="n"/>
      <c r="L15" s="185" t="n"/>
      <c r="M15" s="185" t="n"/>
      <c r="N15" s="185" t="n"/>
      <c r="O15" s="186">
        <f>SUM(C15:N15)</f>
        <v/>
      </c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n"/>
      <c r="B16" s="203" t="inlineStr">
        <is>
          <t>RENDIMENTOS DE APLICAÇÕES FINANCEIRAS (TRIBUTÁVEIS/CDB/AÇÕES)</t>
        </is>
      </c>
      <c r="C16" s="185" t="n"/>
      <c r="D16" s="185" t="n"/>
      <c r="E16" s="185" t="n"/>
      <c r="F16" s="185" t="n"/>
      <c r="G16" s="185" t="n"/>
      <c r="H16" s="185" t="n"/>
      <c r="I16" s="185" t="n"/>
      <c r="J16" s="185" t="n"/>
      <c r="K16" s="185" t="n"/>
      <c r="L16" s="185" t="n"/>
      <c r="M16" s="185" t="n"/>
      <c r="N16" s="185" t="n"/>
      <c r="O16" s="186">
        <f>SUM(C16:N16)</f>
        <v/>
      </c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10" t="n"/>
      <c r="B17" s="203" t="inlineStr">
        <is>
          <t>RENDIMENTOS PROTEGIDOS (LCI/LCA/POUPANÇA)</t>
        </is>
      </c>
      <c r="C17" s="185" t="n"/>
      <c r="D17" s="185" t="n"/>
      <c r="E17" s="185" t="n"/>
      <c r="F17" s="185" t="n"/>
      <c r="G17" s="185" t="n"/>
      <c r="H17" s="185" t="n"/>
      <c r="I17" s="185" t="n"/>
      <c r="J17" s="185" t="n"/>
      <c r="K17" s="185" t="n"/>
      <c r="L17" s="185" t="n"/>
      <c r="M17" s="185" t="n"/>
      <c r="N17" s="185" t="n"/>
      <c r="O17" s="186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10" t="n"/>
      <c r="B18" s="203" t="inlineStr">
        <is>
          <t>DOAÇÕES RECEBIDAS</t>
        </is>
      </c>
      <c r="C18" s="185" t="n"/>
      <c r="D18" s="185" t="n"/>
      <c r="E18" s="185" t="n"/>
      <c r="F18" s="185" t="n"/>
      <c r="G18" s="185" t="n"/>
      <c r="H18" s="185" t="n"/>
      <c r="I18" s="185" t="n"/>
      <c r="J18" s="185" t="n"/>
      <c r="K18" s="185" t="n"/>
      <c r="L18" s="185" t="n"/>
      <c r="M18" s="185" t="n"/>
      <c r="N18" s="185" t="n"/>
      <c r="O18" s="186">
        <f>SUM(C18:N18)</f>
        <v/>
      </c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10" t="n"/>
      <c r="B19" s="203" t="inlineStr">
        <is>
          <t>GANHO DE CAPITAL (OPERAÇÕES BOLSA)</t>
        </is>
      </c>
      <c r="C19" s="185" t="n"/>
      <c r="D19" s="185" t="n"/>
      <c r="E19" s="185" t="n"/>
      <c r="F19" s="185" t="n"/>
      <c r="G19" s="185" t="n"/>
      <c r="H19" s="185" t="n"/>
      <c r="I19" s="185" t="n"/>
      <c r="J19" s="185" t="n"/>
      <c r="K19" s="185" t="n"/>
      <c r="L19" s="185" t="n"/>
      <c r="M19" s="185" t="n"/>
      <c r="N19" s="185" t="n"/>
      <c r="O19" s="186">
        <f>SUM(C19:N19)</f>
        <v/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n"/>
      <c r="B20" s="204" t="inlineStr">
        <is>
          <t>RETENÇÕES</t>
        </is>
      </c>
      <c r="C20" s="205">
        <f>SUM(C21:C25)</f>
        <v/>
      </c>
      <c r="D20" s="205">
        <f>SUM(D21:D25)</f>
        <v/>
      </c>
      <c r="E20" s="205">
        <f>SUM(E21:E25)</f>
        <v/>
      </c>
      <c r="F20" s="205">
        <f>SUM(F21:F25)</f>
        <v/>
      </c>
      <c r="G20" s="205">
        <f>SUM(G21:G25)</f>
        <v/>
      </c>
      <c r="H20" s="205">
        <f>SUM(H21:H25)</f>
        <v/>
      </c>
      <c r="I20" s="205">
        <f>SUM(I21:I25)</f>
        <v/>
      </c>
      <c r="J20" s="205">
        <f>SUM(J21:J25)</f>
        <v/>
      </c>
      <c r="K20" s="205">
        <f>SUM(K21:K25)</f>
        <v/>
      </c>
      <c r="L20" s="205">
        <f>SUM(L21:L25)</f>
        <v/>
      </c>
      <c r="M20" s="205">
        <f>SUM(M21:M25)</f>
        <v/>
      </c>
      <c r="N20" s="205">
        <f>SUM(N21:N25)</f>
        <v/>
      </c>
      <c r="O20" s="206">
        <f>SUM(C20:N20)</f>
        <v/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.75" customHeight="1" s="673">
      <c r="A21" s="10" t="n"/>
      <c r="B21" s="207" t="inlineStr">
        <is>
          <t>IRRF DIVIDENDOS</t>
        </is>
      </c>
      <c r="C21" s="185">
        <f>C13*0.1</f>
        <v/>
      </c>
      <c r="D21" s="185" t="n"/>
      <c r="E21" s="185" t="n"/>
      <c r="F21" s="185" t="n"/>
      <c r="G21" s="185" t="n"/>
      <c r="H21" s="185" t="n"/>
      <c r="I21" s="185" t="n"/>
      <c r="J21" s="185" t="n"/>
      <c r="K21" s="185" t="n"/>
      <c r="L21" s="185" t="n"/>
      <c r="M21" s="185" t="n"/>
      <c r="N21" s="185" t="n"/>
      <c r="O21" s="205">
        <f>SUM(C21:N21)</f>
        <v/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.75" customHeight="1" s="673">
      <c r="A22" s="10" t="n"/>
      <c r="B22" s="207" t="inlineStr">
        <is>
          <t>IRRF ALUGUÉIS</t>
        </is>
      </c>
      <c r="C22" s="185" t="n">
        <v>3600</v>
      </c>
      <c r="D22" s="185" t="n"/>
      <c r="E22" s="185" t="n"/>
      <c r="F22" s="185" t="n"/>
      <c r="G22" s="185" t="n"/>
      <c r="H22" s="185" t="n"/>
      <c r="I22" s="185" t="n"/>
      <c r="J22" s="185" t="n"/>
      <c r="K22" s="185" t="n"/>
      <c r="L22" s="185" t="n"/>
      <c r="M22" s="185" t="n"/>
      <c r="N22" s="185" t="n"/>
      <c r="O22" s="205">
        <f>SUM(C22:N22)</f>
        <v/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.75" customHeight="1" s="673">
      <c r="A23" s="10" t="n"/>
      <c r="B23" s="207" t="inlineStr">
        <is>
          <t xml:space="preserve">IRRF PRÓ-LABORE/RENDIMENTOS ASSALARIADOS </t>
        </is>
      </c>
      <c r="C23" s="185" t="n"/>
      <c r="D23" s="185" t="n"/>
      <c r="E23" s="185" t="n"/>
      <c r="F23" s="185" t="n"/>
      <c r="G23" s="185" t="n"/>
      <c r="H23" s="185" t="n"/>
      <c r="I23" s="185" t="n"/>
      <c r="J23" s="185" t="n"/>
      <c r="K23" s="185" t="n"/>
      <c r="L23" s="185" t="n"/>
      <c r="M23" s="185" t="n"/>
      <c r="N23" s="185" t="n"/>
      <c r="O23" s="205">
        <f>SUM(C23:N23)</f>
        <v/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.75" customHeight="1" s="673">
      <c r="A24" s="10" t="n"/>
      <c r="B24" s="207" t="inlineStr">
        <is>
          <t xml:space="preserve">IRRF RENDIMENTOS DE APLICAÇÕES FINANCEIRAS </t>
        </is>
      </c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5" t="n"/>
      <c r="M24" s="185" t="n"/>
      <c r="N24" s="185" t="n"/>
      <c r="O24" s="205">
        <f>SUM(C24:N24)</f>
        <v/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.75" customHeight="1" s="673">
      <c r="A25" s="10" t="n"/>
      <c r="B25" s="207" t="inlineStr">
        <is>
          <t>IRRF OPERAÇÕES BOLSA</t>
        </is>
      </c>
      <c r="C25" s="185" t="n"/>
      <c r="D25" s="185" t="n"/>
      <c r="E25" s="185" t="n"/>
      <c r="F25" s="185" t="n"/>
      <c r="G25" s="185" t="n"/>
      <c r="H25" s="185" t="n"/>
      <c r="I25" s="185" t="n"/>
      <c r="J25" s="185" t="n"/>
      <c r="K25" s="185" t="n"/>
      <c r="L25" s="185" t="n"/>
      <c r="M25" s="185" t="n"/>
      <c r="N25" s="185" t="n"/>
      <c r="O25" s="205">
        <f>SUM(C25:N25)</f>
        <v/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.75" customHeight="1" s="673">
      <c r="A26" s="10" t="n"/>
      <c r="B26" s="208" t="inlineStr">
        <is>
          <t>RESULTADO</t>
        </is>
      </c>
      <c r="C26" s="209">
        <f>C12-C20</f>
        <v/>
      </c>
      <c r="D26" s="209">
        <f>D12-D20</f>
        <v/>
      </c>
      <c r="E26" s="209">
        <f>E12-E20</f>
        <v/>
      </c>
      <c r="F26" s="209">
        <f>F12-F20</f>
        <v/>
      </c>
      <c r="G26" s="209">
        <f>G12-G20</f>
        <v/>
      </c>
      <c r="H26" s="209">
        <f>H12-H20</f>
        <v/>
      </c>
      <c r="I26" s="209">
        <f>I12-I20</f>
        <v/>
      </c>
      <c r="J26" s="209">
        <f>J12-J20</f>
        <v/>
      </c>
      <c r="K26" s="209">
        <f>K12-K20</f>
        <v/>
      </c>
      <c r="L26" s="209">
        <f>L12-L20</f>
        <v/>
      </c>
      <c r="M26" s="209">
        <f>M12-M20</f>
        <v/>
      </c>
      <c r="N26" s="209">
        <f>N12-N20</f>
        <v/>
      </c>
      <c r="O26" s="210">
        <f>SUM(C26:N26)</f>
        <v/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.75" customHeight="1" s="673">
      <c r="A27" s="187" t="n"/>
      <c r="B27" s="188" t="n"/>
      <c r="C27" s="188" t="n"/>
      <c r="D27" s="188" t="n"/>
      <c r="E27" s="188" t="n"/>
      <c r="F27" s="188" t="n"/>
      <c r="G27" s="188" t="n"/>
      <c r="H27" s="188" t="n"/>
      <c r="I27" s="188" t="n"/>
      <c r="J27" s="188" t="n"/>
      <c r="K27" s="188" t="n"/>
      <c r="L27" s="188" t="n"/>
      <c r="M27" s="188" t="n"/>
      <c r="N27" s="188" t="n"/>
      <c r="O27" s="188" t="n"/>
      <c r="P27" s="188" t="n"/>
      <c r="Q27" s="188" t="n"/>
      <c r="R27" s="188" t="n"/>
      <c r="S27" s="188" t="n"/>
      <c r="T27" s="188" t="n"/>
      <c r="U27" s="188" t="n"/>
      <c r="V27" s="188" t="n"/>
      <c r="W27" s="188" t="n"/>
      <c r="X27" s="188" t="n"/>
      <c r="Y27" s="188" t="n"/>
      <c r="Z27" s="188" t="n"/>
    </row>
    <row r="28" ht="15.75" customHeight="1" s="673">
      <c r="A28" s="187" t="n"/>
      <c r="B28" s="188" t="n"/>
      <c r="C28" s="188" t="n"/>
      <c r="D28" s="188" t="n"/>
      <c r="E28" s="188" t="n"/>
      <c r="F28" s="188" t="n"/>
      <c r="G28" s="188" t="n"/>
      <c r="H28" s="188" t="n"/>
      <c r="I28" s="188" t="n"/>
      <c r="J28" s="188" t="n"/>
      <c r="K28" s="188" t="n"/>
      <c r="L28" s="188" t="n"/>
      <c r="M28" s="188" t="n"/>
      <c r="N28" s="188" t="n"/>
      <c r="O28" s="188" t="n"/>
      <c r="P28" s="188" t="n"/>
      <c r="Q28" s="188" t="n"/>
      <c r="R28" s="188" t="n"/>
      <c r="S28" s="188" t="n"/>
      <c r="T28" s="188" t="n"/>
      <c r="U28" s="188" t="n"/>
      <c r="V28" s="188" t="n"/>
      <c r="W28" s="188" t="n"/>
      <c r="X28" s="188" t="n"/>
      <c r="Y28" s="188" t="n"/>
      <c r="Z28" s="188" t="n"/>
    </row>
    <row r="29" ht="15.75" customHeight="1" s="673">
      <c r="A29" s="187" t="n">
        <v>2</v>
      </c>
      <c r="B29" s="685">
        <f>RESULTADO!B29</f>
        <v/>
      </c>
      <c r="C29" s="675" t="n"/>
      <c r="D29" s="675" t="n"/>
      <c r="E29" s="675" t="n"/>
      <c r="F29" s="196" t="n"/>
      <c r="G29" s="196" t="n"/>
      <c r="H29" s="196" t="n"/>
      <c r="I29" s="196" t="n"/>
      <c r="J29" s="196" t="n"/>
      <c r="K29" s="196" t="n"/>
      <c r="L29" s="196" t="n"/>
      <c r="M29" s="196" t="n"/>
      <c r="N29" s="196" t="n"/>
      <c r="O29" s="196" t="n"/>
      <c r="P29" s="188" t="n"/>
      <c r="Q29" s="188" t="n"/>
      <c r="R29" s="188" t="n"/>
      <c r="S29" s="188" t="n"/>
      <c r="T29" s="188" t="n"/>
      <c r="U29" s="188" t="n"/>
      <c r="V29" s="188" t="n"/>
      <c r="W29" s="188" t="n"/>
      <c r="X29" s="188" t="n"/>
      <c r="Y29" s="188" t="n"/>
      <c r="Z29" s="188" t="n"/>
    </row>
    <row r="30" ht="15.75" customHeight="1" s="673">
      <c r="A30" s="187" t="n"/>
      <c r="B30" s="197" t="n"/>
      <c r="C30" s="198" t="n"/>
      <c r="D30" s="199" t="n"/>
      <c r="E30" s="196" t="n"/>
      <c r="F30" s="196" t="n"/>
      <c r="G30" s="196" t="n"/>
      <c r="H30" s="196" t="n"/>
      <c r="I30" s="196" t="n"/>
      <c r="J30" s="196" t="n"/>
      <c r="K30" s="196" t="n"/>
      <c r="L30" s="196" t="n"/>
      <c r="M30" s="196" t="n"/>
      <c r="N30" s="196" t="n"/>
      <c r="O30" s="196" t="n"/>
      <c r="P30" s="188" t="n"/>
      <c r="Q30" s="188" t="n"/>
      <c r="R30" s="188" t="n"/>
      <c r="S30" s="188" t="n"/>
      <c r="T30" s="188" t="n"/>
      <c r="U30" s="188" t="n"/>
      <c r="V30" s="188" t="n"/>
      <c r="W30" s="188" t="n"/>
      <c r="X30" s="188" t="n"/>
      <c r="Y30" s="188" t="n"/>
      <c r="Z30" s="188" t="n"/>
    </row>
    <row r="31" ht="15.75" customHeight="1" s="673">
      <c r="A31" s="187" t="n"/>
      <c r="B31" s="200" t="n">
        <v>2026</v>
      </c>
      <c r="C31" s="201" t="inlineStr">
        <is>
          <t>JANEIRO</t>
        </is>
      </c>
      <c r="D31" s="201" t="inlineStr">
        <is>
          <t>FEVEREIRO</t>
        </is>
      </c>
      <c r="E31" s="201" t="inlineStr">
        <is>
          <t>MARÇO</t>
        </is>
      </c>
      <c r="F31" s="201" t="inlineStr">
        <is>
          <t>ABRIL</t>
        </is>
      </c>
      <c r="G31" s="201" t="inlineStr">
        <is>
          <t>MAIO</t>
        </is>
      </c>
      <c r="H31" s="201" t="inlineStr">
        <is>
          <t>JUNHO</t>
        </is>
      </c>
      <c r="I31" s="201" t="inlineStr">
        <is>
          <t>JULHO</t>
        </is>
      </c>
      <c r="J31" s="201" t="inlineStr">
        <is>
          <t>AGOSTO</t>
        </is>
      </c>
      <c r="K31" s="201" t="inlineStr">
        <is>
          <t>SETEMBRO</t>
        </is>
      </c>
      <c r="L31" s="201" t="inlineStr">
        <is>
          <t>OUTUBRO</t>
        </is>
      </c>
      <c r="M31" s="201" t="inlineStr">
        <is>
          <t>NOVEMBRO</t>
        </is>
      </c>
      <c r="N31" s="201" t="inlineStr">
        <is>
          <t>DEZEMBRO</t>
        </is>
      </c>
      <c r="O31" s="200" t="inlineStr">
        <is>
          <t>TOTAL</t>
        </is>
      </c>
      <c r="P31" s="188" t="n"/>
      <c r="Q31" s="188" t="n"/>
      <c r="R31" s="188" t="n"/>
      <c r="S31" s="188" t="n"/>
      <c r="T31" s="188" t="n"/>
      <c r="U31" s="188" t="n"/>
      <c r="V31" s="188" t="n"/>
      <c r="W31" s="188" t="n"/>
      <c r="X31" s="188" t="n"/>
      <c r="Y31" s="188" t="n"/>
      <c r="Z31" s="188" t="n"/>
    </row>
    <row r="32" ht="15.75" customHeight="1" s="673">
      <c r="A32" s="10" t="n"/>
      <c r="B32" s="202" t="inlineStr">
        <is>
          <t xml:space="preserve">RENDIMENTOS </t>
        </is>
      </c>
      <c r="C32" s="181">
        <f>SUM(C33:C39)</f>
        <v/>
      </c>
      <c r="D32" s="181">
        <f>SUM(D33:D39)</f>
        <v/>
      </c>
      <c r="E32" s="181">
        <f>SUM(E33:E39)</f>
        <v/>
      </c>
      <c r="F32" s="181">
        <f>SUM(F33:F39)</f>
        <v/>
      </c>
      <c r="G32" s="181">
        <f>SUM(G33:G39)</f>
        <v/>
      </c>
      <c r="H32" s="181">
        <f>SUM(H33:H39)</f>
        <v/>
      </c>
      <c r="I32" s="181">
        <f>SUM(I33:I39)</f>
        <v/>
      </c>
      <c r="J32" s="181">
        <f>SUM(J33:J39)</f>
        <v/>
      </c>
      <c r="K32" s="181">
        <f>SUM(K33:K39)</f>
        <v/>
      </c>
      <c r="L32" s="181">
        <f>SUM(L33:L39)</f>
        <v/>
      </c>
      <c r="M32" s="181">
        <f>SUM(M33:M39)</f>
        <v/>
      </c>
      <c r="N32" s="181">
        <f>SUM(N33:N39)</f>
        <v/>
      </c>
      <c r="O32" s="182">
        <f>SUM(C32:N32)</f>
        <v/>
      </c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.75" customHeight="1" s="673">
      <c r="A33" s="10" t="n"/>
      <c r="B33" s="203" t="inlineStr">
        <is>
          <t>DIVIDENDOS</t>
        </is>
      </c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  <c r="N33" s="185" t="n"/>
      <c r="O33" s="186">
        <f>SUM(C33:N33)</f>
        <v/>
      </c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.75" customHeight="1" s="673">
      <c r="A34" s="10" t="n"/>
      <c r="B34" s="203" t="inlineStr">
        <is>
          <t>ALUGUÉIS</t>
        </is>
      </c>
      <c r="C34" s="185" t="n"/>
      <c r="D34" s="185" t="n"/>
      <c r="E34" s="185" t="n"/>
      <c r="F34" s="185" t="n"/>
      <c r="G34" s="185" t="n"/>
      <c r="H34" s="185" t="n"/>
      <c r="I34" s="185" t="n"/>
      <c r="J34" s="185" t="n"/>
      <c r="K34" s="185" t="n"/>
      <c r="L34" s="185" t="n"/>
      <c r="M34" s="185" t="n"/>
      <c r="N34" s="185" t="n"/>
      <c r="O34" s="186">
        <f>SUM(C34:N34)</f>
        <v/>
      </c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.75" customHeight="1" s="673">
      <c r="A35" s="10" t="n"/>
      <c r="B35" s="203" t="inlineStr">
        <is>
          <t>PRÓ-LABORE/RENDIMENTOS ASSALARIADOS</t>
        </is>
      </c>
      <c r="C35" s="185" t="n"/>
      <c r="D35" s="185" t="n"/>
      <c r="E35" s="185" t="n"/>
      <c r="F35" s="185" t="n"/>
      <c r="G35" s="185" t="n"/>
      <c r="H35" s="185" t="n"/>
      <c r="I35" s="185" t="n"/>
      <c r="J35" s="185" t="n"/>
      <c r="K35" s="185" t="n"/>
      <c r="L35" s="185" t="n"/>
      <c r="M35" s="185" t="n"/>
      <c r="N35" s="185" t="n"/>
      <c r="O35" s="186">
        <f>SUM(C35:N35)</f>
        <v/>
      </c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.75" customHeight="1" s="673">
      <c r="A36" s="10" t="n"/>
      <c r="B36" s="203" t="inlineStr">
        <is>
          <t>RENDIMENTOS DE APLICAÇÕES FINANCEIRAS (TRIBUTÁVEIS/CDB/AÇÕES)</t>
        </is>
      </c>
      <c r="C36" s="185" t="n"/>
      <c r="D36" s="185" t="n"/>
      <c r="E36" s="185" t="n"/>
      <c r="F36" s="185" t="n"/>
      <c r="G36" s="185" t="n"/>
      <c r="H36" s="185" t="n"/>
      <c r="I36" s="185" t="n"/>
      <c r="J36" s="185" t="n"/>
      <c r="K36" s="185" t="n"/>
      <c r="L36" s="185" t="n"/>
      <c r="M36" s="185" t="n"/>
      <c r="N36" s="185" t="n"/>
      <c r="O36" s="186">
        <f>SUM(C36:N36)</f>
        <v/>
      </c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.75" customHeight="1" s="673">
      <c r="A37" s="10" t="n"/>
      <c r="B37" s="203" t="inlineStr">
        <is>
          <t>RENDIMENTOS PROTEGIDOS (LCI/LCA/POUPANÇA)</t>
        </is>
      </c>
      <c r="C37" s="185" t="n"/>
      <c r="D37" s="185" t="n"/>
      <c r="E37" s="185" t="n"/>
      <c r="F37" s="185" t="n"/>
      <c r="G37" s="185" t="n"/>
      <c r="H37" s="185" t="n"/>
      <c r="I37" s="185" t="n"/>
      <c r="J37" s="185" t="n"/>
      <c r="K37" s="185" t="n"/>
      <c r="L37" s="185" t="n"/>
      <c r="M37" s="185" t="n"/>
      <c r="N37" s="185" t="n"/>
      <c r="O37" s="186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.75" customHeight="1" s="673">
      <c r="A38" s="10" t="n"/>
      <c r="B38" s="203" t="inlineStr">
        <is>
          <t>DOAÇÕES RECEBIDAS</t>
        </is>
      </c>
      <c r="C38" s="185" t="n"/>
      <c r="D38" s="185" t="n"/>
      <c r="E38" s="185" t="n"/>
      <c r="F38" s="185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6">
        <f>SUM(C38:N38)</f>
        <v/>
      </c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.75" customHeight="1" s="673">
      <c r="A39" s="10" t="n"/>
      <c r="B39" s="203" t="inlineStr">
        <is>
          <t>GANHO DE CAPITAL (OPERAÇÕES BOLSA)</t>
        </is>
      </c>
      <c r="C39" s="185" t="n"/>
      <c r="D39" s="185" t="n"/>
      <c r="E39" s="185" t="n"/>
      <c r="F39" s="185" t="n"/>
      <c r="G39" s="185" t="n"/>
      <c r="H39" s="185" t="n"/>
      <c r="I39" s="185" t="n"/>
      <c r="J39" s="185" t="n"/>
      <c r="K39" s="185" t="n"/>
      <c r="L39" s="185" t="n"/>
      <c r="M39" s="185" t="n"/>
      <c r="N39" s="185" t="n"/>
      <c r="O39" s="186">
        <f>SUM(C39:N39)</f>
        <v/>
      </c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.75" customHeight="1" s="673">
      <c r="A40" s="10" t="n"/>
      <c r="B40" s="204" t="inlineStr">
        <is>
          <t>RETENÇÕES</t>
        </is>
      </c>
      <c r="C40" s="205">
        <f>SUM(C41:C45)</f>
        <v/>
      </c>
      <c r="D40" s="205">
        <f>SUM(D41:D45)</f>
        <v/>
      </c>
      <c r="E40" s="205">
        <f>SUM(E41:E45)</f>
        <v/>
      </c>
      <c r="F40" s="205">
        <f>SUM(F41:F45)</f>
        <v/>
      </c>
      <c r="G40" s="205">
        <f>SUM(G41:G45)</f>
        <v/>
      </c>
      <c r="H40" s="205">
        <f>SUM(H41:H45)</f>
        <v/>
      </c>
      <c r="I40" s="205">
        <f>SUM(I41:I45)</f>
        <v/>
      </c>
      <c r="J40" s="205">
        <f>SUM(J41:J45)</f>
        <v/>
      </c>
      <c r="K40" s="205">
        <f>SUM(K41:K45)</f>
        <v/>
      </c>
      <c r="L40" s="205">
        <f>SUM(L41:L45)</f>
        <v/>
      </c>
      <c r="M40" s="205">
        <f>SUM(M41:M45)</f>
        <v/>
      </c>
      <c r="N40" s="205">
        <f>SUM(N41:N45)</f>
        <v/>
      </c>
      <c r="O40" s="206">
        <f>SUM(C40:N40)</f>
        <v/>
      </c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.75" customHeight="1" s="673">
      <c r="A41" s="10" t="n"/>
      <c r="B41" s="207" t="inlineStr">
        <is>
          <t>IRRF DIVIDENDOS</t>
        </is>
      </c>
      <c r="C41" s="185">
        <f>SUMPRODUCT((C33:N33 &gt; 50000) * (C33:N33 * 0.1))</f>
        <v/>
      </c>
      <c r="D41" s="185">
        <f>SUMPRODUCT((D33:O33 &gt; 50000) * (D33:O33 * 0.1))</f>
        <v/>
      </c>
      <c r="E41" s="185">
        <f>SUMPRODUCT((E33:P33 &gt; 50000) * (E33:P33 * 0.1))</f>
        <v/>
      </c>
      <c r="F41" s="185">
        <f>SUMPRODUCT((F33:Q33 &gt; 50000) * (F33:Q33 * 0.1))</f>
        <v/>
      </c>
      <c r="G41" s="185">
        <f>SUMPRODUCT((G33:R33 &gt; 50000) * (G33:R33 * 0.1))</f>
        <v/>
      </c>
      <c r="H41" s="185">
        <f>SUMPRODUCT((H33:S33 &gt; 50000) * (H33:S33 * 0.1))</f>
        <v/>
      </c>
      <c r="I41" s="185">
        <f>SUMPRODUCT((I33:T33 &gt; 50000) * (I33:T33 * 0.1))</f>
        <v/>
      </c>
      <c r="J41" s="185">
        <f>SUMPRODUCT((J33:U33 &gt; 50000) * (J33:U33 * 0.1))</f>
        <v/>
      </c>
      <c r="K41" s="185">
        <f>SUMPRODUCT((K33:V33 &gt; 50000) * (K33:V33 * 0.1))</f>
        <v/>
      </c>
      <c r="L41" s="185">
        <f>SUMPRODUCT((L33:W33 &gt; 50000) * (L33:W33 * 0.1))</f>
        <v/>
      </c>
      <c r="M41" s="185">
        <f>SUMPRODUCT((M33:X33 &gt; 50000) * (M33:X33 * 0.1))</f>
        <v/>
      </c>
      <c r="N41" s="185">
        <f>SUMPRODUCT((N33:Y33 &gt; 50000) * (N33:Y33 * 0.1))</f>
        <v/>
      </c>
      <c r="O41" s="205">
        <f>SUM(C41:N41)</f>
        <v/>
      </c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.75" customHeight="1" s="673">
      <c r="A42" s="10" t="n"/>
      <c r="B42" s="207" t="inlineStr">
        <is>
          <t>IRRF ALUGUÉIS</t>
        </is>
      </c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5" t="n"/>
      <c r="L42" s="185" t="n"/>
      <c r="M42" s="185" t="n"/>
      <c r="N42" s="185" t="n"/>
      <c r="O42" s="205">
        <f>SUM(C42:N42)</f>
        <v/>
      </c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.75" customHeight="1" s="673">
      <c r="A43" s="10" t="n"/>
      <c r="B43" s="207" t="inlineStr">
        <is>
          <t xml:space="preserve">IRRF PRÓ-LABORE/RENDIMENTOS ASSALARIADOS </t>
        </is>
      </c>
      <c r="C43" s="185" t="n"/>
      <c r="D43" s="185" t="n"/>
      <c r="E43" s="185" t="n"/>
      <c r="F43" s="185" t="n"/>
      <c r="G43" s="185" t="n"/>
      <c r="H43" s="185" t="n"/>
      <c r="I43" s="185" t="n"/>
      <c r="J43" s="185" t="n"/>
      <c r="K43" s="185" t="n"/>
      <c r="L43" s="185" t="n"/>
      <c r="M43" s="185" t="n"/>
      <c r="N43" s="185" t="n"/>
      <c r="O43" s="205">
        <f>SUM(C43:N43)</f>
        <v/>
      </c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.75" customHeight="1" s="673">
      <c r="A44" s="10" t="n"/>
      <c r="B44" s="207" t="inlineStr">
        <is>
          <t xml:space="preserve">IRRF RENDIMENTOS DE APLICAÇÕES FINANCEIRAS </t>
        </is>
      </c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5" t="n"/>
      <c r="M44" s="185" t="n"/>
      <c r="N44" s="185" t="n"/>
      <c r="O44" s="205">
        <f>SUM(C44:N44)</f>
        <v/>
      </c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.75" customHeight="1" s="673">
      <c r="A45" s="187" t="n"/>
      <c r="B45" s="207" t="inlineStr">
        <is>
          <t>IRRF OPERAÇÕES BOLSA</t>
        </is>
      </c>
      <c r="C45" s="185" t="n"/>
      <c r="D45" s="185" t="n"/>
      <c r="E45" s="185" t="n"/>
      <c r="F45" s="185" t="n"/>
      <c r="G45" s="185" t="n"/>
      <c r="H45" s="185" t="n"/>
      <c r="I45" s="185" t="n"/>
      <c r="J45" s="185" t="n"/>
      <c r="K45" s="185" t="n"/>
      <c r="L45" s="185" t="n"/>
      <c r="M45" s="185" t="n"/>
      <c r="N45" s="185" t="n"/>
      <c r="O45" s="205">
        <f>SUM(C45:N45)</f>
        <v/>
      </c>
      <c r="P45" s="188" t="n"/>
      <c r="Q45" s="188" t="n"/>
      <c r="R45" s="188" t="n"/>
      <c r="S45" s="188" t="n"/>
      <c r="T45" s="188" t="n"/>
      <c r="U45" s="188" t="n"/>
      <c r="V45" s="188" t="n"/>
      <c r="W45" s="188" t="n"/>
      <c r="X45" s="188" t="n"/>
      <c r="Y45" s="188" t="n"/>
      <c r="Z45" s="188" t="n"/>
    </row>
    <row r="46" ht="15.75" customHeight="1" s="673">
      <c r="A46" s="187" t="n"/>
      <c r="B46" s="208" t="inlineStr">
        <is>
          <t>RESULTADO</t>
        </is>
      </c>
      <c r="C46" s="209">
        <f>C32-C40</f>
        <v/>
      </c>
      <c r="D46" s="209">
        <f>D32-D40</f>
        <v/>
      </c>
      <c r="E46" s="209">
        <f>E32-E40</f>
        <v/>
      </c>
      <c r="F46" s="209">
        <f>F32-F40</f>
        <v/>
      </c>
      <c r="G46" s="209">
        <f>G32-G40</f>
        <v/>
      </c>
      <c r="H46" s="209">
        <f>H32-H40</f>
        <v/>
      </c>
      <c r="I46" s="209">
        <f>I32-I40</f>
        <v/>
      </c>
      <c r="J46" s="209">
        <f>J32-J40</f>
        <v/>
      </c>
      <c r="K46" s="209">
        <f>K32-K40</f>
        <v/>
      </c>
      <c r="L46" s="209">
        <f>L32-L40</f>
        <v/>
      </c>
      <c r="M46" s="209">
        <f>M32-M40</f>
        <v/>
      </c>
      <c r="N46" s="209">
        <f>N32-N40</f>
        <v/>
      </c>
      <c r="O46" s="210">
        <f>SUM(C46:N46)</f>
        <v/>
      </c>
      <c r="P46" s="188" t="n"/>
      <c r="Q46" s="188" t="n"/>
      <c r="R46" s="188" t="n"/>
      <c r="S46" s="188" t="n"/>
      <c r="T46" s="188" t="n"/>
      <c r="U46" s="188" t="n"/>
      <c r="V46" s="188" t="n"/>
      <c r="W46" s="188" t="n"/>
      <c r="X46" s="188" t="n"/>
      <c r="Y46" s="188" t="n"/>
      <c r="Z46" s="188" t="n"/>
    </row>
    <row r="47" ht="15.75" customHeight="1" s="673">
      <c r="A47" s="187" t="n">
        <v>3</v>
      </c>
      <c r="B47" s="685">
        <f>RESULTADO!B30</f>
        <v/>
      </c>
      <c r="C47" s="675" t="n"/>
      <c r="D47" s="675" t="n"/>
      <c r="E47" s="675" t="n"/>
      <c r="F47" s="196" t="n"/>
      <c r="G47" s="196" t="n"/>
      <c r="H47" s="196" t="n"/>
      <c r="I47" s="196" t="n"/>
      <c r="J47" s="196" t="n"/>
      <c r="K47" s="196" t="n"/>
      <c r="L47" s="196" t="n"/>
      <c r="M47" s="196" t="n"/>
      <c r="N47" s="196" t="n"/>
      <c r="O47" s="196" t="n"/>
      <c r="P47" s="188" t="n"/>
      <c r="Q47" s="188" t="n"/>
      <c r="R47" s="188" t="n"/>
      <c r="S47" s="188" t="n"/>
      <c r="T47" s="188" t="n"/>
      <c r="U47" s="188" t="n"/>
      <c r="V47" s="188" t="n"/>
      <c r="W47" s="188" t="n"/>
      <c r="X47" s="188" t="n"/>
      <c r="Y47" s="188" t="n"/>
      <c r="Z47" s="188" t="n"/>
    </row>
    <row r="48" ht="15.75" customHeight="1" s="673">
      <c r="A48" s="187" t="n"/>
      <c r="B48" s="197" t="n"/>
      <c r="C48" s="198" t="n"/>
      <c r="D48" s="199" t="n"/>
      <c r="E48" s="196" t="n"/>
      <c r="F48" s="196" t="n"/>
      <c r="G48" s="196" t="n"/>
      <c r="H48" s="196" t="n"/>
      <c r="I48" s="196" t="n"/>
      <c r="J48" s="196" t="n"/>
      <c r="K48" s="196" t="n"/>
      <c r="L48" s="196" t="n"/>
      <c r="M48" s="196" t="n"/>
      <c r="N48" s="196" t="n"/>
      <c r="O48" s="196" t="n"/>
      <c r="P48" s="188" t="n"/>
      <c r="Q48" s="188" t="n"/>
      <c r="R48" s="188" t="n"/>
      <c r="S48" s="188" t="n"/>
      <c r="T48" s="188" t="n"/>
      <c r="U48" s="188" t="n"/>
      <c r="V48" s="188" t="n"/>
      <c r="W48" s="188" t="n"/>
      <c r="X48" s="188" t="n"/>
      <c r="Y48" s="188" t="n"/>
      <c r="Z48" s="188" t="n"/>
    </row>
    <row r="49" ht="15.75" customHeight="1" s="673">
      <c r="A49" s="187" t="n"/>
      <c r="B49" s="200" t="n">
        <v>2026</v>
      </c>
      <c r="C49" s="201" t="inlineStr">
        <is>
          <t>JANEIRO</t>
        </is>
      </c>
      <c r="D49" s="201" t="inlineStr">
        <is>
          <t>FEVEREIRO</t>
        </is>
      </c>
      <c r="E49" s="201" t="inlineStr">
        <is>
          <t>MARÇO</t>
        </is>
      </c>
      <c r="F49" s="201" t="inlineStr">
        <is>
          <t>ABRIL</t>
        </is>
      </c>
      <c r="G49" s="201" t="inlineStr">
        <is>
          <t>MAIO</t>
        </is>
      </c>
      <c r="H49" s="201" t="inlineStr">
        <is>
          <t>JUNHO</t>
        </is>
      </c>
      <c r="I49" s="201" t="inlineStr">
        <is>
          <t>JULHO</t>
        </is>
      </c>
      <c r="J49" s="201" t="inlineStr">
        <is>
          <t>AGOSTO</t>
        </is>
      </c>
      <c r="K49" s="201" t="inlineStr">
        <is>
          <t>SETEMBRO</t>
        </is>
      </c>
      <c r="L49" s="201" t="inlineStr">
        <is>
          <t>OUTUBRO</t>
        </is>
      </c>
      <c r="M49" s="201" t="inlineStr">
        <is>
          <t>NOVEMBRO</t>
        </is>
      </c>
      <c r="N49" s="201" t="inlineStr">
        <is>
          <t>DEZEMBRO</t>
        </is>
      </c>
      <c r="O49" s="200" t="inlineStr">
        <is>
          <t>TOTAL</t>
        </is>
      </c>
      <c r="P49" s="188" t="n"/>
      <c r="Q49" s="188" t="n"/>
      <c r="R49" s="188" t="n"/>
      <c r="S49" s="188" t="n"/>
      <c r="T49" s="188" t="n"/>
      <c r="U49" s="188" t="n"/>
      <c r="V49" s="188" t="n"/>
      <c r="W49" s="188" t="n"/>
      <c r="X49" s="188" t="n"/>
      <c r="Y49" s="188" t="n"/>
      <c r="Z49" s="188" t="n"/>
    </row>
    <row r="50" ht="15.75" customHeight="1" s="673">
      <c r="A50" s="10" t="n"/>
      <c r="B50" s="202" t="inlineStr">
        <is>
          <t xml:space="preserve">RENDIMENTOS </t>
        </is>
      </c>
      <c r="C50" s="181">
        <f>SUM(C51:C57)</f>
        <v/>
      </c>
      <c r="D50" s="181">
        <f>SUM(D51:D57)</f>
        <v/>
      </c>
      <c r="E50" s="181">
        <f>SUM(E51:E57)</f>
        <v/>
      </c>
      <c r="F50" s="181">
        <f>SUM(F51:F57)</f>
        <v/>
      </c>
      <c r="G50" s="181">
        <f>SUM(G51:G57)</f>
        <v/>
      </c>
      <c r="H50" s="181">
        <f>SUM(H51:H57)</f>
        <v/>
      </c>
      <c r="I50" s="181">
        <f>SUM(I51:I57)</f>
        <v/>
      </c>
      <c r="J50" s="181">
        <f>SUM(J51:J57)</f>
        <v/>
      </c>
      <c r="K50" s="181">
        <f>SUM(K51:K57)</f>
        <v/>
      </c>
      <c r="L50" s="181">
        <f>SUM(L51:L57)</f>
        <v/>
      </c>
      <c r="M50" s="181">
        <f>SUM(M51:M57)</f>
        <v/>
      </c>
      <c r="N50" s="181">
        <f>SUM(N51:N57)</f>
        <v/>
      </c>
      <c r="O50" s="182">
        <f>SUM(C50:N50)</f>
        <v/>
      </c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.75" customHeight="1" s="673">
      <c r="A51" s="10" t="n"/>
      <c r="B51" s="203" t="inlineStr">
        <is>
          <t>DIVIDENDOS</t>
        </is>
      </c>
      <c r="C51" s="185" t="n"/>
      <c r="D51" s="185" t="n"/>
      <c r="E51" s="185" t="n"/>
      <c r="F51" s="185" t="n"/>
      <c r="G51" s="185" t="n"/>
      <c r="H51" s="185" t="n"/>
      <c r="I51" s="185" t="n"/>
      <c r="J51" s="185" t="n"/>
      <c r="K51" s="185" t="n"/>
      <c r="L51" s="185" t="n"/>
      <c r="M51" s="185" t="n"/>
      <c r="N51" s="185" t="n"/>
      <c r="O51" s="186">
        <f>SUM(C51:N51)</f>
        <v/>
      </c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.75" customHeight="1" s="673">
      <c r="A52" s="10" t="n"/>
      <c r="B52" s="203" t="inlineStr">
        <is>
          <t>ALUGUÉIS</t>
        </is>
      </c>
      <c r="C52" s="185" t="n"/>
      <c r="D52" s="185" t="n"/>
      <c r="E52" s="185" t="n"/>
      <c r="F52" s="185" t="n"/>
      <c r="G52" s="185" t="n"/>
      <c r="H52" s="185" t="n"/>
      <c r="I52" s="185" t="n"/>
      <c r="J52" s="185" t="n"/>
      <c r="K52" s="185" t="n"/>
      <c r="L52" s="185" t="n"/>
      <c r="M52" s="185" t="n"/>
      <c r="N52" s="185" t="n"/>
      <c r="O52" s="186">
        <f>SUM(C52:N52)</f>
        <v/>
      </c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.75" customHeight="1" s="673">
      <c r="A53" s="10" t="n"/>
      <c r="B53" s="203" t="inlineStr">
        <is>
          <t>PRÓ-LABORE/RENDIMENTOS ASSALARIADOS</t>
        </is>
      </c>
      <c r="C53" s="185" t="n"/>
      <c r="D53" s="185" t="n"/>
      <c r="E53" s="185" t="n"/>
      <c r="F53" s="185" t="n"/>
      <c r="G53" s="185" t="n"/>
      <c r="H53" s="185" t="n"/>
      <c r="I53" s="185" t="n"/>
      <c r="J53" s="185" t="n"/>
      <c r="K53" s="185" t="n"/>
      <c r="L53" s="185" t="n"/>
      <c r="M53" s="185" t="n"/>
      <c r="N53" s="185" t="n"/>
      <c r="O53" s="186">
        <f>SUM(C53:N53)</f>
        <v/>
      </c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.75" customHeight="1" s="673">
      <c r="A54" s="10" t="n"/>
      <c r="B54" s="203" t="inlineStr">
        <is>
          <t>RENDIMENTOS DE APLICAÇÕES FINANCEIRAS (TRIBUTÁVEIS/CDB/AÇÕES)</t>
        </is>
      </c>
      <c r="C54" s="185" t="n"/>
      <c r="D54" s="185" t="n"/>
      <c r="E54" s="185" t="n"/>
      <c r="F54" s="185" t="n"/>
      <c r="G54" s="185" t="n"/>
      <c r="H54" s="185" t="n"/>
      <c r="I54" s="185" t="n"/>
      <c r="J54" s="185" t="n"/>
      <c r="K54" s="185" t="n"/>
      <c r="L54" s="185" t="n"/>
      <c r="M54" s="185" t="n"/>
      <c r="N54" s="185" t="n"/>
      <c r="O54" s="186">
        <f>SUM(C54:N54)</f>
        <v/>
      </c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.75" customHeight="1" s="673">
      <c r="A55" s="10" t="n"/>
      <c r="B55" s="203" t="inlineStr">
        <is>
          <t>RENDIMENTOS PROTEGIDOS (LCI/LCA/POUPANÇA)</t>
        </is>
      </c>
      <c r="C55" s="185" t="n"/>
      <c r="D55" s="185" t="n"/>
      <c r="E55" s="185" t="n"/>
      <c r="F55" s="185" t="n"/>
      <c r="G55" s="185" t="n"/>
      <c r="H55" s="185" t="n"/>
      <c r="I55" s="185" t="n"/>
      <c r="J55" s="185" t="n"/>
      <c r="K55" s="185" t="n"/>
      <c r="L55" s="185" t="n"/>
      <c r="M55" s="185" t="n"/>
      <c r="N55" s="185" t="n"/>
      <c r="O55" s="186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.75" customHeight="1" s="673">
      <c r="A56" s="10" t="n"/>
      <c r="B56" s="203" t="inlineStr">
        <is>
          <t>DOAÇÕES RECEBIDAS</t>
        </is>
      </c>
      <c r="C56" s="185" t="n"/>
      <c r="D56" s="185" t="n"/>
      <c r="E56" s="185" t="n"/>
      <c r="F56" s="185" t="n"/>
      <c r="G56" s="185" t="n"/>
      <c r="H56" s="185" t="n"/>
      <c r="I56" s="185" t="n"/>
      <c r="J56" s="185" t="n"/>
      <c r="K56" s="185" t="n"/>
      <c r="L56" s="185" t="n"/>
      <c r="M56" s="185" t="n"/>
      <c r="N56" s="185" t="n"/>
      <c r="O56" s="186">
        <f>SUM(C56:N56)</f>
        <v/>
      </c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.75" customHeight="1" s="673">
      <c r="A57" s="10" t="n"/>
      <c r="B57" s="203" t="inlineStr">
        <is>
          <t>GANHO DE CAPITAL (OPERAÇÕES BOLSA)</t>
        </is>
      </c>
      <c r="C57" s="185" t="n"/>
      <c r="D57" s="185" t="n"/>
      <c r="E57" s="185" t="n"/>
      <c r="F57" s="185" t="n"/>
      <c r="G57" s="185" t="n"/>
      <c r="H57" s="185" t="n"/>
      <c r="I57" s="185" t="n"/>
      <c r="J57" s="185" t="n"/>
      <c r="K57" s="185" t="n"/>
      <c r="L57" s="185" t="n"/>
      <c r="M57" s="185" t="n"/>
      <c r="N57" s="185" t="n"/>
      <c r="O57" s="186">
        <f>SUM(C57:N57)</f>
        <v/>
      </c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.75" customHeight="1" s="673">
      <c r="A58" s="10" t="n"/>
      <c r="B58" s="204" t="inlineStr">
        <is>
          <t>RETENÇÕES</t>
        </is>
      </c>
      <c r="C58" s="205">
        <f>SUM(C59:C63)</f>
        <v/>
      </c>
      <c r="D58" s="205">
        <f>SUM(D59:D63)</f>
        <v/>
      </c>
      <c r="E58" s="205">
        <f>SUM(E59:E63)</f>
        <v/>
      </c>
      <c r="F58" s="205">
        <f>SUM(F59:F63)</f>
        <v/>
      </c>
      <c r="G58" s="205">
        <f>SUM(G59:G63)</f>
        <v/>
      </c>
      <c r="H58" s="205">
        <f>SUM(H59:H63)</f>
        <v/>
      </c>
      <c r="I58" s="205">
        <f>SUM(I59:I63)</f>
        <v/>
      </c>
      <c r="J58" s="205">
        <f>SUM(J59:J63)</f>
        <v/>
      </c>
      <c r="K58" s="205">
        <f>SUM(K59:K63)</f>
        <v/>
      </c>
      <c r="L58" s="205">
        <f>SUM(L59:L63)</f>
        <v/>
      </c>
      <c r="M58" s="205">
        <f>SUM(M59:M63)</f>
        <v/>
      </c>
      <c r="N58" s="205">
        <f>SUM(N59:N63)</f>
        <v/>
      </c>
      <c r="O58" s="206">
        <f>SUM(C58:N58)</f>
        <v/>
      </c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.75" customHeight="1" s="673">
      <c r="A59" s="10" t="n"/>
      <c r="B59" s="207" t="inlineStr">
        <is>
          <t>IRRF DIVIDENDOS</t>
        </is>
      </c>
      <c r="C59" s="185">
        <f>SUMPRODUCT((C51:N51 &gt; 50000) * (C51:N51 * 0.1))</f>
        <v/>
      </c>
      <c r="D59" s="185">
        <f>SUMPRODUCT((D51:O51 &gt; 50000) * (D51:O51 * 0.1))</f>
        <v/>
      </c>
      <c r="E59" s="185">
        <f>SUMPRODUCT((E51:P51 &gt; 50000) * (E51:P51 * 0.1))</f>
        <v/>
      </c>
      <c r="F59" s="185">
        <f>SUMPRODUCT((F51:Q51 &gt; 50000) * (F51:Q51 * 0.1))</f>
        <v/>
      </c>
      <c r="G59" s="185">
        <f>SUMPRODUCT((G51:R51 &gt; 50000) * (G51:R51 * 0.1))</f>
        <v/>
      </c>
      <c r="H59" s="185">
        <f>SUMPRODUCT((H51:S51 &gt; 50000) * (H51:S51 * 0.1))</f>
        <v/>
      </c>
      <c r="I59" s="185">
        <f>SUMPRODUCT((I51:T51 &gt; 50000) * (I51:T51 * 0.1))</f>
        <v/>
      </c>
      <c r="J59" s="185">
        <f>SUMPRODUCT((J51:U51 &gt; 50000) * (J51:U51 * 0.1))</f>
        <v/>
      </c>
      <c r="K59" s="185">
        <f>SUMPRODUCT((K51:V51 &gt; 50000) * (K51:V51 * 0.1))</f>
        <v/>
      </c>
      <c r="L59" s="185">
        <f>SUMPRODUCT((L51:W51 &gt; 50000) * (L51:W51 * 0.1))</f>
        <v/>
      </c>
      <c r="M59" s="185">
        <f>SUMPRODUCT((M51:X51 &gt; 50000) * (M51:X51 * 0.1))</f>
        <v/>
      </c>
      <c r="N59" s="185">
        <f>SUMPRODUCT((N51:Y51 &gt; 50000) * (N51:Y51 * 0.1))</f>
        <v/>
      </c>
      <c r="O59" s="205">
        <f>SUM(C59:N59)</f>
        <v/>
      </c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.75" customHeight="1" s="673">
      <c r="A60" s="10" t="n"/>
      <c r="B60" s="207" t="inlineStr">
        <is>
          <t>IRRF ALUGUÉIS</t>
        </is>
      </c>
      <c r="C60" s="185" t="n"/>
      <c r="D60" s="185" t="n"/>
      <c r="E60" s="185" t="n"/>
      <c r="F60" s="185" t="n"/>
      <c r="G60" s="185" t="n"/>
      <c r="H60" s="185" t="n"/>
      <c r="I60" s="185" t="n"/>
      <c r="J60" s="185" t="n"/>
      <c r="K60" s="185" t="n"/>
      <c r="L60" s="185" t="n"/>
      <c r="M60" s="185" t="n"/>
      <c r="N60" s="185" t="n"/>
      <c r="O60" s="205">
        <f>SUM(C60:N60)</f>
        <v/>
      </c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.75" customHeight="1" s="673">
      <c r="A61" s="10" t="n"/>
      <c r="B61" s="207" t="inlineStr">
        <is>
          <t xml:space="preserve">IRRF PRÓ-LABORE/RENDIMENTOS ASSALARIADOS </t>
        </is>
      </c>
      <c r="C61" s="185" t="n"/>
      <c r="D61" s="185" t="n"/>
      <c r="E61" s="185" t="n"/>
      <c r="F61" s="185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205">
        <f>SUM(C61:N61)</f>
        <v/>
      </c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.75" customHeight="1" s="673">
      <c r="A62" s="10" t="n"/>
      <c r="B62" s="207" t="inlineStr">
        <is>
          <t xml:space="preserve">IRRF RENDIMENTOS DE APLICAÇÕES FINANCEIRAS </t>
        </is>
      </c>
      <c r="C62" s="185" t="n"/>
      <c r="D62" s="185" t="n"/>
      <c r="E62" s="185" t="n"/>
      <c r="F62" s="185" t="n"/>
      <c r="G62" s="185" t="n"/>
      <c r="H62" s="185" t="n"/>
      <c r="I62" s="185" t="n"/>
      <c r="J62" s="185" t="n"/>
      <c r="K62" s="185" t="n"/>
      <c r="L62" s="185" t="n"/>
      <c r="M62" s="185" t="n"/>
      <c r="N62" s="185" t="n"/>
      <c r="O62" s="205">
        <f>SUM(C62:N62)</f>
        <v/>
      </c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.75" customHeight="1" s="673">
      <c r="A63" s="187" t="n"/>
      <c r="B63" s="207" t="inlineStr">
        <is>
          <t>IRRF OPERAÇÕES BOLSA</t>
        </is>
      </c>
      <c r="C63" s="185" t="n"/>
      <c r="D63" s="185" t="n"/>
      <c r="E63" s="185" t="n"/>
      <c r="F63" s="185" t="n"/>
      <c r="G63" s="185" t="n"/>
      <c r="H63" s="185" t="n"/>
      <c r="I63" s="185" t="n"/>
      <c r="J63" s="185" t="n"/>
      <c r="K63" s="185" t="n"/>
      <c r="L63" s="185" t="n"/>
      <c r="M63" s="185" t="n"/>
      <c r="N63" s="185" t="n"/>
      <c r="O63" s="205">
        <f>SUM(C63:N63)</f>
        <v/>
      </c>
      <c r="P63" s="188" t="n"/>
      <c r="Q63" s="188" t="n"/>
      <c r="R63" s="188" t="n"/>
      <c r="S63" s="188" t="n"/>
      <c r="T63" s="188" t="n"/>
      <c r="U63" s="188" t="n"/>
      <c r="V63" s="188" t="n"/>
      <c r="W63" s="188" t="n"/>
      <c r="X63" s="188" t="n"/>
      <c r="Y63" s="188" t="n"/>
      <c r="Z63" s="188" t="n"/>
    </row>
    <row r="64" ht="15.75" customHeight="1" s="673">
      <c r="A64" s="187" t="n"/>
      <c r="B64" s="208" t="inlineStr">
        <is>
          <t>RESULTADO</t>
        </is>
      </c>
      <c r="C64" s="209">
        <f>C50-C58</f>
        <v/>
      </c>
      <c r="D64" s="209">
        <f>D50-D58</f>
        <v/>
      </c>
      <c r="E64" s="209">
        <f>E50-E58</f>
        <v/>
      </c>
      <c r="F64" s="209">
        <f>F50-F58</f>
        <v/>
      </c>
      <c r="G64" s="209">
        <f>G50-G58</f>
        <v/>
      </c>
      <c r="H64" s="209">
        <f>H50-H58</f>
        <v/>
      </c>
      <c r="I64" s="209">
        <f>I50-I58</f>
        <v/>
      </c>
      <c r="J64" s="209">
        <f>J50-J58</f>
        <v/>
      </c>
      <c r="K64" s="209">
        <f>K50-K58</f>
        <v/>
      </c>
      <c r="L64" s="209">
        <f>L50-L58</f>
        <v/>
      </c>
      <c r="M64" s="209">
        <f>M50-M58</f>
        <v/>
      </c>
      <c r="N64" s="209">
        <f>N50-N58</f>
        <v/>
      </c>
      <c r="O64" s="210">
        <f>SUM(C64:N64)</f>
        <v/>
      </c>
      <c r="P64" s="188" t="n"/>
      <c r="Q64" s="188" t="n"/>
      <c r="R64" s="188" t="n"/>
      <c r="S64" s="188" t="n"/>
      <c r="T64" s="188" t="n"/>
      <c r="U64" s="188" t="n"/>
      <c r="V64" s="188" t="n"/>
      <c r="W64" s="188" t="n"/>
      <c r="X64" s="188" t="n"/>
      <c r="Y64" s="188" t="n"/>
      <c r="Z64" s="188" t="n"/>
    </row>
    <row r="65" ht="15.75" customHeight="1" s="673">
      <c r="A65" s="187" t="n">
        <v>4</v>
      </c>
      <c r="B65" s="685">
        <f>RESULTADO!B31</f>
        <v/>
      </c>
      <c r="C65" s="675" t="n"/>
      <c r="D65" s="675" t="n"/>
      <c r="E65" s="675" t="n"/>
      <c r="F65" s="196" t="n"/>
      <c r="G65" s="196" t="n"/>
      <c r="H65" s="196" t="n"/>
      <c r="I65" s="196" t="n"/>
      <c r="J65" s="196" t="n"/>
      <c r="K65" s="196" t="n"/>
      <c r="L65" s="196" t="n"/>
      <c r="M65" s="196" t="n"/>
      <c r="N65" s="196" t="n"/>
      <c r="O65" s="196" t="n"/>
      <c r="P65" s="188" t="n"/>
      <c r="Q65" s="188" t="n"/>
      <c r="R65" s="188" t="n"/>
      <c r="S65" s="188" t="n"/>
      <c r="T65" s="188" t="n"/>
      <c r="U65" s="188" t="n"/>
      <c r="V65" s="188" t="n"/>
      <c r="W65" s="188" t="n"/>
      <c r="X65" s="188" t="n"/>
      <c r="Y65" s="188" t="n"/>
      <c r="Z65" s="188" t="n"/>
    </row>
    <row r="66" ht="15.75" customHeight="1" s="673">
      <c r="A66" s="187" t="n"/>
      <c r="B66" s="197" t="n"/>
      <c r="C66" s="198" t="n"/>
      <c r="D66" s="199" t="n"/>
      <c r="E66" s="196" t="n"/>
      <c r="F66" s="196" t="n"/>
      <c r="G66" s="196" t="n"/>
      <c r="H66" s="196" t="n"/>
      <c r="I66" s="196" t="n"/>
      <c r="J66" s="196" t="n"/>
      <c r="K66" s="196" t="n"/>
      <c r="L66" s="196" t="n"/>
      <c r="M66" s="196" t="n"/>
      <c r="N66" s="196" t="n"/>
      <c r="O66" s="196" t="n"/>
      <c r="P66" s="188" t="n"/>
      <c r="Q66" s="188" t="n"/>
      <c r="R66" s="188" t="n"/>
      <c r="S66" s="188" t="n"/>
      <c r="T66" s="188" t="n"/>
      <c r="U66" s="188" t="n"/>
      <c r="V66" s="188" t="n"/>
      <c r="W66" s="188" t="n"/>
      <c r="X66" s="188" t="n"/>
      <c r="Y66" s="188" t="n"/>
      <c r="Z66" s="188" t="n"/>
    </row>
    <row r="67" ht="15.75" customHeight="1" s="673">
      <c r="A67" s="187" t="n"/>
      <c r="B67" s="200" t="n">
        <v>2026</v>
      </c>
      <c r="C67" s="201" t="inlineStr">
        <is>
          <t>JANEIRO</t>
        </is>
      </c>
      <c r="D67" s="201" t="inlineStr">
        <is>
          <t>FEVEREIRO</t>
        </is>
      </c>
      <c r="E67" s="201" t="inlineStr">
        <is>
          <t>MARÇO</t>
        </is>
      </c>
      <c r="F67" s="201" t="inlineStr">
        <is>
          <t>ABRIL</t>
        </is>
      </c>
      <c r="G67" s="201" t="inlineStr">
        <is>
          <t>MAIO</t>
        </is>
      </c>
      <c r="H67" s="201" t="inlineStr">
        <is>
          <t>JUNHO</t>
        </is>
      </c>
      <c r="I67" s="201" t="inlineStr">
        <is>
          <t>JULHO</t>
        </is>
      </c>
      <c r="J67" s="201" t="inlineStr">
        <is>
          <t>AGOSTO</t>
        </is>
      </c>
      <c r="K67" s="201" t="inlineStr">
        <is>
          <t>SETEMBRO</t>
        </is>
      </c>
      <c r="L67" s="201" t="inlineStr">
        <is>
          <t>OUTUBRO</t>
        </is>
      </c>
      <c r="M67" s="201" t="inlineStr">
        <is>
          <t>NOVEMBRO</t>
        </is>
      </c>
      <c r="N67" s="201" t="inlineStr">
        <is>
          <t>DEZEMBRO</t>
        </is>
      </c>
      <c r="O67" s="200" t="inlineStr">
        <is>
          <t>TOTAL</t>
        </is>
      </c>
      <c r="P67" s="188" t="n"/>
      <c r="Q67" s="188" t="n"/>
      <c r="R67" s="188" t="n"/>
      <c r="S67" s="188" t="n"/>
      <c r="T67" s="188" t="n"/>
      <c r="U67" s="188" t="n"/>
      <c r="V67" s="188" t="n"/>
      <c r="W67" s="188" t="n"/>
      <c r="X67" s="188" t="n"/>
      <c r="Y67" s="188" t="n"/>
      <c r="Z67" s="188" t="n"/>
    </row>
    <row r="68" ht="15.75" customHeight="1" s="673">
      <c r="A68" s="10" t="n"/>
      <c r="B68" s="202" t="inlineStr">
        <is>
          <t xml:space="preserve">RENDIMENTOS </t>
        </is>
      </c>
      <c r="C68" s="181">
        <f>SUM(C69:C75)</f>
        <v/>
      </c>
      <c r="D68" s="181">
        <f>SUM(D69:D75)</f>
        <v/>
      </c>
      <c r="E68" s="181">
        <f>SUM(E69:E75)</f>
        <v/>
      </c>
      <c r="F68" s="181">
        <f>SUM(F69:F75)</f>
        <v/>
      </c>
      <c r="G68" s="181">
        <f>SUM(G69:G75)</f>
        <v/>
      </c>
      <c r="H68" s="181">
        <f>SUM(H69:H75)</f>
        <v/>
      </c>
      <c r="I68" s="181">
        <f>SUM(I69:I75)</f>
        <v/>
      </c>
      <c r="J68" s="181">
        <f>SUM(J69:J75)</f>
        <v/>
      </c>
      <c r="K68" s="181">
        <f>SUM(K69:K75)</f>
        <v/>
      </c>
      <c r="L68" s="181">
        <f>SUM(L69:L75)</f>
        <v/>
      </c>
      <c r="M68" s="181">
        <f>SUM(M69:M75)</f>
        <v/>
      </c>
      <c r="N68" s="181">
        <f>SUM(N69:N75)</f>
        <v/>
      </c>
      <c r="O68" s="182">
        <f>SUM(C68:N68)</f>
        <v/>
      </c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.75" customHeight="1" s="673">
      <c r="A69" s="10" t="n"/>
      <c r="B69" s="203" t="inlineStr">
        <is>
          <t>DIVIDENDOS</t>
        </is>
      </c>
      <c r="C69" s="185" t="n"/>
      <c r="D69" s="185" t="n"/>
      <c r="E69" s="185" t="n"/>
      <c r="F69" s="185" t="n"/>
      <c r="G69" s="185" t="n"/>
      <c r="H69" s="185" t="n"/>
      <c r="I69" s="185" t="n"/>
      <c r="J69" s="185" t="n"/>
      <c r="K69" s="185" t="n"/>
      <c r="L69" s="185" t="n"/>
      <c r="M69" s="185" t="n"/>
      <c r="N69" s="185" t="n"/>
      <c r="O69" s="186">
        <f>SUM(C69:N69)</f>
        <v/>
      </c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.75" customHeight="1" s="673">
      <c r="A70" s="10" t="n"/>
      <c r="B70" s="203" t="inlineStr">
        <is>
          <t>ALUGUÉIS</t>
        </is>
      </c>
      <c r="C70" s="185" t="n"/>
      <c r="D70" s="185" t="n"/>
      <c r="E70" s="185" t="n"/>
      <c r="F70" s="185" t="n"/>
      <c r="G70" s="185" t="n"/>
      <c r="H70" s="185" t="n"/>
      <c r="I70" s="185" t="n"/>
      <c r="J70" s="185" t="n"/>
      <c r="K70" s="185" t="n"/>
      <c r="L70" s="185" t="n"/>
      <c r="M70" s="185" t="n"/>
      <c r="N70" s="185" t="n"/>
      <c r="O70" s="186">
        <f>SUM(C70:N70)</f>
        <v/>
      </c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.75" customHeight="1" s="673">
      <c r="A71" s="10" t="n"/>
      <c r="B71" s="203" t="inlineStr">
        <is>
          <t>PRÓ-LABORE/RENDIMENTOS ASSALARIADOS</t>
        </is>
      </c>
      <c r="C71" s="185" t="n"/>
      <c r="D71" s="185" t="n"/>
      <c r="E71" s="185" t="n"/>
      <c r="F71" s="185" t="n"/>
      <c r="G71" s="185" t="n"/>
      <c r="H71" s="185" t="n"/>
      <c r="I71" s="185" t="n"/>
      <c r="J71" s="185" t="n"/>
      <c r="K71" s="185" t="n"/>
      <c r="L71" s="185" t="n"/>
      <c r="M71" s="185" t="n"/>
      <c r="N71" s="185" t="n"/>
      <c r="O71" s="186">
        <f>SUM(C71:N71)</f>
        <v/>
      </c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.75" customHeight="1" s="673">
      <c r="A72" s="10" t="n"/>
      <c r="B72" s="203" t="inlineStr">
        <is>
          <t>RENDIMENTOS DE APLICAÇÕES FINANCEIRAS (TRIBUTÁVEIS/CDB/AÇÕES)</t>
        </is>
      </c>
      <c r="C72" s="185" t="n"/>
      <c r="D72" s="185" t="n"/>
      <c r="E72" s="185" t="n"/>
      <c r="F72" s="185" t="n"/>
      <c r="G72" s="185" t="n"/>
      <c r="H72" s="185" t="n"/>
      <c r="I72" s="185" t="n"/>
      <c r="J72" s="185" t="n"/>
      <c r="K72" s="185" t="n"/>
      <c r="L72" s="185" t="n"/>
      <c r="M72" s="185" t="n"/>
      <c r="N72" s="185" t="n"/>
      <c r="O72" s="186">
        <f>SUM(C72:N72)</f>
        <v/>
      </c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.75" customHeight="1" s="673">
      <c r="A73" s="10" t="n"/>
      <c r="B73" s="203" t="inlineStr">
        <is>
          <t>RENDIMENTOS PROTEGIDOS (LCI/LCA/POUPANÇA)</t>
        </is>
      </c>
      <c r="C73" s="185" t="n"/>
      <c r="D73" s="185" t="n"/>
      <c r="E73" s="185" t="n"/>
      <c r="F73" s="185" t="n"/>
      <c r="G73" s="185" t="n"/>
      <c r="H73" s="185" t="n"/>
      <c r="I73" s="185" t="n"/>
      <c r="J73" s="185" t="n"/>
      <c r="K73" s="185" t="n"/>
      <c r="L73" s="185" t="n"/>
      <c r="M73" s="185" t="n"/>
      <c r="N73" s="185" t="n"/>
      <c r="O73" s="186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.75" customHeight="1" s="673">
      <c r="A74" s="10" t="n"/>
      <c r="B74" s="203" t="inlineStr">
        <is>
          <t>DOAÇÕES RECEBIDAS</t>
        </is>
      </c>
      <c r="C74" s="185" t="n"/>
      <c r="D74" s="185" t="n"/>
      <c r="E74" s="185" t="n"/>
      <c r="F74" s="185" t="n"/>
      <c r="G74" s="185" t="n"/>
      <c r="H74" s="185" t="n"/>
      <c r="I74" s="185" t="n"/>
      <c r="J74" s="185" t="n"/>
      <c r="K74" s="185" t="n"/>
      <c r="L74" s="185" t="n"/>
      <c r="M74" s="185" t="n"/>
      <c r="N74" s="185" t="n"/>
      <c r="O74" s="186">
        <f>SUM(C74:N74)</f>
        <v/>
      </c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.75" customHeight="1" s="673">
      <c r="A75" s="10" t="n"/>
      <c r="B75" s="203" t="inlineStr">
        <is>
          <t>GANHO DE CAPITAL (OPERAÇÕES BOLSA)</t>
        </is>
      </c>
      <c r="C75" s="185" t="n"/>
      <c r="D75" s="185" t="n"/>
      <c r="E75" s="185" t="n"/>
      <c r="F75" s="185" t="n"/>
      <c r="G75" s="185" t="n"/>
      <c r="H75" s="185" t="n"/>
      <c r="I75" s="185" t="n"/>
      <c r="J75" s="185" t="n"/>
      <c r="K75" s="185" t="n"/>
      <c r="L75" s="185" t="n"/>
      <c r="M75" s="185" t="n"/>
      <c r="N75" s="185" t="n"/>
      <c r="O75" s="186">
        <f>SUM(C75:N75)</f>
        <v/>
      </c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.75" customHeight="1" s="673">
      <c r="A76" s="10" t="n"/>
      <c r="B76" s="204" t="inlineStr">
        <is>
          <t>RETENÇÕES</t>
        </is>
      </c>
      <c r="C76" s="205">
        <f>SUM(C77:C81)</f>
        <v/>
      </c>
      <c r="D76" s="205">
        <f>SUM(D77:D81)</f>
        <v/>
      </c>
      <c r="E76" s="205">
        <f>SUM(E77:E81)</f>
        <v/>
      </c>
      <c r="F76" s="205">
        <f>SUM(F77:F81)</f>
        <v/>
      </c>
      <c r="G76" s="205">
        <f>SUM(G77:G81)</f>
        <v/>
      </c>
      <c r="H76" s="205">
        <f>SUM(H77:H81)</f>
        <v/>
      </c>
      <c r="I76" s="205">
        <f>SUM(I77:I81)</f>
        <v/>
      </c>
      <c r="J76" s="205">
        <f>SUM(J77:J81)</f>
        <v/>
      </c>
      <c r="K76" s="205">
        <f>SUM(K77:K81)</f>
        <v/>
      </c>
      <c r="L76" s="205">
        <f>SUM(L77:L81)</f>
        <v/>
      </c>
      <c r="M76" s="205">
        <f>SUM(M77:M81)</f>
        <v/>
      </c>
      <c r="N76" s="205">
        <f>SUM(N77:N81)</f>
        <v/>
      </c>
      <c r="O76" s="206">
        <f>SUM(C76:N76)</f>
        <v/>
      </c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.75" customHeight="1" s="673">
      <c r="A77" s="10" t="n"/>
      <c r="B77" s="207" t="inlineStr">
        <is>
          <t>IRRF DIVIDENDOS</t>
        </is>
      </c>
      <c r="C77" s="185">
        <f>SUMPRODUCT((C69:N69 &gt; 50000) * (C69:N69 * 0.1))</f>
        <v/>
      </c>
      <c r="D77" s="185">
        <f>SUMPRODUCT((D69:O69 &gt; 50000) * (D69:O69 * 0.1))</f>
        <v/>
      </c>
      <c r="E77" s="185">
        <f>SUMPRODUCT((E69:P69 &gt; 50000) * (E69:P69 * 0.1))</f>
        <v/>
      </c>
      <c r="F77" s="185">
        <f>SUMPRODUCT((F69:Q69 &gt; 50000) * (F69:Q69 * 0.1))</f>
        <v/>
      </c>
      <c r="G77" s="185">
        <f>SUMPRODUCT((G69:R69 &gt; 50000) * (G69:R69 * 0.1))</f>
        <v/>
      </c>
      <c r="H77" s="185">
        <f>SUMPRODUCT((H69:S69 &gt; 50000) * (H69:S69 * 0.1))</f>
        <v/>
      </c>
      <c r="I77" s="185">
        <f>SUMPRODUCT((I69:T69 &gt; 50000) * (I69:T69 * 0.1))</f>
        <v/>
      </c>
      <c r="J77" s="185">
        <f>SUMPRODUCT((J69:U69 &gt; 50000) * (J69:U69 * 0.1))</f>
        <v/>
      </c>
      <c r="K77" s="185">
        <f>SUMPRODUCT((K69:V69 &gt; 50000) * (K69:V69 * 0.1))</f>
        <v/>
      </c>
      <c r="L77" s="185">
        <f>SUMPRODUCT((L69:W69 &gt; 50000) * (L69:W69 * 0.1))</f>
        <v/>
      </c>
      <c r="M77" s="185">
        <f>SUMPRODUCT((M69:X69 &gt; 50000) * (M69:X69 * 0.1))</f>
        <v/>
      </c>
      <c r="N77" s="185">
        <f>SUMPRODUCT((N69:Y69 &gt; 50000) * (N69:Y69 * 0.1))</f>
        <v/>
      </c>
      <c r="O77" s="205">
        <f>SUM(C77:N77)</f>
        <v/>
      </c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.75" customHeight="1" s="673">
      <c r="A78" s="10" t="n"/>
      <c r="B78" s="207" t="inlineStr">
        <is>
          <t>IRRF ALUGUÉIS</t>
        </is>
      </c>
      <c r="C78" s="185" t="n"/>
      <c r="D78" s="185" t="n"/>
      <c r="E78" s="185" t="n"/>
      <c r="F78" s="185" t="n"/>
      <c r="G78" s="185" t="n"/>
      <c r="H78" s="185" t="n"/>
      <c r="I78" s="185" t="n"/>
      <c r="J78" s="185" t="n"/>
      <c r="K78" s="185" t="n"/>
      <c r="L78" s="185" t="n"/>
      <c r="M78" s="185" t="n"/>
      <c r="N78" s="185" t="n"/>
      <c r="O78" s="205">
        <f>SUM(C78:N78)</f>
        <v/>
      </c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.75" customHeight="1" s="673">
      <c r="A79" s="10" t="n"/>
      <c r="B79" s="207" t="inlineStr">
        <is>
          <t xml:space="preserve">IRRF PRÓ-LABORE/RENDIMENTOS ASSALARIADOS </t>
        </is>
      </c>
      <c r="C79" s="185" t="n"/>
      <c r="D79" s="185" t="n"/>
      <c r="E79" s="185" t="n"/>
      <c r="F79" s="185" t="n"/>
      <c r="G79" s="185" t="n"/>
      <c r="H79" s="185" t="n"/>
      <c r="I79" s="185" t="n"/>
      <c r="J79" s="185" t="n"/>
      <c r="K79" s="185" t="n"/>
      <c r="L79" s="185" t="n"/>
      <c r="M79" s="185" t="n"/>
      <c r="N79" s="185" t="n"/>
      <c r="O79" s="205">
        <f>SUM(C79:N79)</f>
        <v/>
      </c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.75" customHeight="1" s="673">
      <c r="A80" s="10" t="n"/>
      <c r="B80" s="207" t="inlineStr">
        <is>
          <t xml:space="preserve">IRRF RENDIMENTOS DE APLICAÇÕES FINANCEIRAS </t>
        </is>
      </c>
      <c r="C80" s="185" t="n"/>
      <c r="D80" s="185" t="n"/>
      <c r="E80" s="185" t="n"/>
      <c r="F80" s="185" t="n"/>
      <c r="G80" s="185" t="n"/>
      <c r="H80" s="185" t="n"/>
      <c r="I80" s="185" t="n"/>
      <c r="J80" s="185" t="n"/>
      <c r="K80" s="185" t="n"/>
      <c r="L80" s="185" t="n"/>
      <c r="M80" s="185" t="n"/>
      <c r="N80" s="185" t="n"/>
      <c r="O80" s="205">
        <f>SUM(C80:N80)</f>
        <v/>
      </c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.75" customHeight="1" s="673">
      <c r="A81" s="187" t="n"/>
      <c r="B81" s="207" t="inlineStr">
        <is>
          <t>IRRF OPERAÇÕES BOLSA</t>
        </is>
      </c>
      <c r="C81" s="185" t="n"/>
      <c r="D81" s="185" t="n"/>
      <c r="E81" s="185" t="n"/>
      <c r="F81" s="185" t="n"/>
      <c r="G81" s="185" t="n"/>
      <c r="H81" s="185" t="n"/>
      <c r="I81" s="185" t="n"/>
      <c r="J81" s="185" t="n"/>
      <c r="K81" s="185" t="n"/>
      <c r="L81" s="185" t="n"/>
      <c r="M81" s="185" t="n"/>
      <c r="N81" s="185" t="n"/>
      <c r="O81" s="205">
        <f>SUM(C81:N81)</f>
        <v/>
      </c>
      <c r="P81" s="188" t="n"/>
      <c r="Q81" s="188" t="n"/>
      <c r="R81" s="188" t="n"/>
      <c r="S81" s="188" t="n"/>
      <c r="T81" s="188" t="n"/>
      <c r="U81" s="188" t="n"/>
      <c r="V81" s="188" t="n"/>
      <c r="W81" s="188" t="n"/>
      <c r="X81" s="188" t="n"/>
      <c r="Y81" s="188" t="n"/>
      <c r="Z81" s="188" t="n"/>
    </row>
    <row r="82" ht="15.75" customHeight="1" s="673">
      <c r="A82" s="187" t="n"/>
      <c r="B82" s="208" t="inlineStr">
        <is>
          <t>RESULTADO</t>
        </is>
      </c>
      <c r="C82" s="209">
        <f>C68-C76</f>
        <v/>
      </c>
      <c r="D82" s="209">
        <f>D68-D76</f>
        <v/>
      </c>
      <c r="E82" s="209">
        <f>E68-E76</f>
        <v/>
      </c>
      <c r="F82" s="209">
        <f>F68-F76</f>
        <v/>
      </c>
      <c r="G82" s="209">
        <f>G68-G76</f>
        <v/>
      </c>
      <c r="H82" s="209">
        <f>H68-H76</f>
        <v/>
      </c>
      <c r="I82" s="209">
        <f>I68-I76</f>
        <v/>
      </c>
      <c r="J82" s="209">
        <f>J68-J76</f>
        <v/>
      </c>
      <c r="K82" s="209">
        <f>K68-K76</f>
        <v/>
      </c>
      <c r="L82" s="209">
        <f>L68-L76</f>
        <v/>
      </c>
      <c r="M82" s="209">
        <f>M68-M76</f>
        <v/>
      </c>
      <c r="N82" s="209">
        <f>N68-N76</f>
        <v/>
      </c>
      <c r="O82" s="210">
        <f>SUM(C82:N82)</f>
        <v/>
      </c>
      <c r="P82" s="188" t="n"/>
      <c r="Q82" s="188" t="n"/>
      <c r="R82" s="188" t="n"/>
      <c r="S82" s="188" t="n"/>
      <c r="T82" s="188" t="n"/>
      <c r="U82" s="188" t="n"/>
      <c r="V82" s="188" t="n"/>
      <c r="W82" s="188" t="n"/>
      <c r="X82" s="188" t="n"/>
      <c r="Y82" s="188" t="n"/>
      <c r="Z82" s="188" t="n"/>
    </row>
    <row r="83" ht="15.75" customHeight="1" s="673">
      <c r="A83" s="187" t="n">
        <v>5</v>
      </c>
      <c r="B83" s="685">
        <f>RESULTADO!B32</f>
        <v/>
      </c>
      <c r="C83" s="675" t="n"/>
      <c r="D83" s="675" t="n"/>
      <c r="E83" s="675" t="n"/>
      <c r="F83" s="196" t="n"/>
      <c r="G83" s="196" t="n"/>
      <c r="H83" s="196" t="n"/>
      <c r="I83" s="196" t="n"/>
      <c r="J83" s="196" t="n"/>
      <c r="K83" s="196" t="n"/>
      <c r="L83" s="196" t="n"/>
      <c r="M83" s="196" t="n"/>
      <c r="N83" s="196" t="n"/>
      <c r="O83" s="196" t="n"/>
      <c r="P83" s="188" t="n"/>
      <c r="Q83" s="188" t="n"/>
      <c r="R83" s="188" t="n"/>
      <c r="S83" s="188" t="n"/>
      <c r="T83" s="188" t="n"/>
      <c r="U83" s="188" t="n"/>
      <c r="V83" s="188" t="n"/>
      <c r="W83" s="188" t="n"/>
      <c r="X83" s="188" t="n"/>
      <c r="Y83" s="188" t="n"/>
      <c r="Z83" s="188" t="n"/>
    </row>
    <row r="84" ht="15.75" customHeight="1" s="673">
      <c r="A84" s="187" t="n"/>
      <c r="B84" s="197" t="n"/>
      <c r="C84" s="198" t="n"/>
      <c r="D84" s="199" t="n"/>
      <c r="E84" s="196" t="n"/>
      <c r="F84" s="196" t="n"/>
      <c r="G84" s="196" t="n"/>
      <c r="H84" s="196" t="n"/>
      <c r="I84" s="196" t="n"/>
      <c r="J84" s="196" t="n"/>
      <c r="K84" s="196" t="n"/>
      <c r="L84" s="196" t="n"/>
      <c r="M84" s="196" t="n"/>
      <c r="N84" s="196" t="n"/>
      <c r="O84" s="196" t="n"/>
      <c r="P84" s="188" t="n"/>
      <c r="Q84" s="188" t="n"/>
      <c r="R84" s="188" t="n"/>
      <c r="S84" s="188" t="n"/>
      <c r="T84" s="188" t="n"/>
      <c r="U84" s="188" t="n"/>
      <c r="V84" s="188" t="n"/>
      <c r="W84" s="188" t="n"/>
      <c r="X84" s="188" t="n"/>
      <c r="Y84" s="188" t="n"/>
      <c r="Z84" s="188" t="n"/>
    </row>
    <row r="85" ht="15.75" customHeight="1" s="673">
      <c r="A85" s="187" t="n"/>
      <c r="B85" s="200" t="n">
        <v>2026</v>
      </c>
      <c r="C85" s="201" t="inlineStr">
        <is>
          <t>JANEIRO</t>
        </is>
      </c>
      <c r="D85" s="201" t="inlineStr">
        <is>
          <t>FEVEREIRO</t>
        </is>
      </c>
      <c r="E85" s="201" t="inlineStr">
        <is>
          <t>MARÇO</t>
        </is>
      </c>
      <c r="F85" s="201" t="inlineStr">
        <is>
          <t>ABRIL</t>
        </is>
      </c>
      <c r="G85" s="201" t="inlineStr">
        <is>
          <t>MAIO</t>
        </is>
      </c>
      <c r="H85" s="201" t="inlineStr">
        <is>
          <t>JUNHO</t>
        </is>
      </c>
      <c r="I85" s="201" t="inlineStr">
        <is>
          <t>JULHO</t>
        </is>
      </c>
      <c r="J85" s="201" t="inlineStr">
        <is>
          <t>AGOSTO</t>
        </is>
      </c>
      <c r="K85" s="201" t="inlineStr">
        <is>
          <t>SETEMBRO</t>
        </is>
      </c>
      <c r="L85" s="201" t="inlineStr">
        <is>
          <t>OUTUBRO</t>
        </is>
      </c>
      <c r="M85" s="201" t="inlineStr">
        <is>
          <t>NOVEMBRO</t>
        </is>
      </c>
      <c r="N85" s="201" t="inlineStr">
        <is>
          <t>DEZEMBRO</t>
        </is>
      </c>
      <c r="O85" s="200" t="inlineStr">
        <is>
          <t>TOTAL</t>
        </is>
      </c>
      <c r="P85" s="188" t="n"/>
      <c r="Q85" s="188" t="n"/>
      <c r="R85" s="188" t="n"/>
      <c r="S85" s="188" t="n"/>
      <c r="T85" s="188" t="n"/>
      <c r="U85" s="188" t="n"/>
      <c r="V85" s="188" t="n"/>
      <c r="W85" s="188" t="n"/>
      <c r="X85" s="188" t="n"/>
      <c r="Y85" s="188" t="n"/>
      <c r="Z85" s="188" t="n"/>
    </row>
    <row r="86" ht="15.75" customHeight="1" s="673">
      <c r="A86" s="10" t="n"/>
      <c r="B86" s="202" t="inlineStr">
        <is>
          <t xml:space="preserve">RENDIMENTOS </t>
        </is>
      </c>
      <c r="C86" s="181">
        <f>SUM(C87:C93)</f>
        <v/>
      </c>
      <c r="D86" s="181">
        <f>SUM(D87:D93)</f>
        <v/>
      </c>
      <c r="E86" s="181">
        <f>SUM(E87:E93)</f>
        <v/>
      </c>
      <c r="F86" s="181">
        <f>SUM(F87:F93)</f>
        <v/>
      </c>
      <c r="G86" s="181">
        <f>SUM(G87:G93)</f>
        <v/>
      </c>
      <c r="H86" s="181">
        <f>SUM(H87:H93)</f>
        <v/>
      </c>
      <c r="I86" s="181">
        <f>SUM(I87:I93)</f>
        <v/>
      </c>
      <c r="J86" s="181">
        <f>SUM(J87:J93)</f>
        <v/>
      </c>
      <c r="K86" s="181">
        <f>SUM(K87:K93)</f>
        <v/>
      </c>
      <c r="L86" s="181">
        <f>SUM(L87:L93)</f>
        <v/>
      </c>
      <c r="M86" s="181">
        <f>SUM(M87:M93)</f>
        <v/>
      </c>
      <c r="N86" s="181">
        <f>SUM(N87:N93)</f>
        <v/>
      </c>
      <c r="O86" s="182">
        <f>SUM(C86:N86)</f>
        <v/>
      </c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.75" customHeight="1" s="673">
      <c r="A87" s="10" t="n"/>
      <c r="B87" s="203" t="inlineStr">
        <is>
          <t>DIVIDENDOS</t>
        </is>
      </c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6">
        <f>SUM(C87:N87)</f>
        <v/>
      </c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.75" customHeight="1" s="673">
      <c r="A88" s="10" t="n"/>
      <c r="B88" s="203" t="inlineStr">
        <is>
          <t>ALUGUÉIS</t>
        </is>
      </c>
      <c r="C88" s="185" t="n"/>
      <c r="D88" s="185" t="n"/>
      <c r="E88" s="185" t="n"/>
      <c r="F88" s="185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6">
        <f>SUM(C88:N88)</f>
        <v/>
      </c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.75" customHeight="1" s="673">
      <c r="A89" s="10" t="n"/>
      <c r="B89" s="203" t="inlineStr">
        <is>
          <t>PRÓ-LABORE/RENDIMENTOS ASSALARIADOS</t>
        </is>
      </c>
      <c r="C89" s="185" t="n"/>
      <c r="D89" s="185" t="n"/>
      <c r="E89" s="185" t="n"/>
      <c r="F89" s="185" t="n"/>
      <c r="G89" s="185" t="n"/>
      <c r="H89" s="185" t="n"/>
      <c r="I89" s="185" t="n"/>
      <c r="J89" s="185" t="n"/>
      <c r="K89" s="185" t="n"/>
      <c r="L89" s="185" t="n"/>
      <c r="M89" s="185" t="n"/>
      <c r="N89" s="185" t="n"/>
      <c r="O89" s="186">
        <f>SUM(C89:N89)</f>
        <v/>
      </c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.75" customHeight="1" s="673">
      <c r="A90" s="10" t="n"/>
      <c r="B90" s="203" t="inlineStr">
        <is>
          <t>RENDIMENTOS DE APLICAÇÕES FINANCEIRAS (TRIBUTÁVEIS/CDB/AÇÕES)</t>
        </is>
      </c>
      <c r="C90" s="185" t="n"/>
      <c r="D90" s="185" t="n"/>
      <c r="E90" s="185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6">
        <f>SUM(C90:N90)</f>
        <v/>
      </c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.75" customHeight="1" s="673">
      <c r="A91" s="10" t="n"/>
      <c r="B91" s="203" t="inlineStr">
        <is>
          <t>RENDIMENTOS PROTEGIDOS (LCI/LCA/POUPANÇA)</t>
        </is>
      </c>
      <c r="C91" s="185" t="n"/>
      <c r="D91" s="185" t="n"/>
      <c r="E91" s="185" t="n"/>
      <c r="F91" s="185" t="n"/>
      <c r="G91" s="185" t="n"/>
      <c r="H91" s="185" t="n"/>
      <c r="I91" s="185" t="n"/>
      <c r="J91" s="185" t="n"/>
      <c r="K91" s="185" t="n"/>
      <c r="L91" s="185" t="n"/>
      <c r="M91" s="185" t="n"/>
      <c r="N91" s="185" t="n"/>
      <c r="O91" s="186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.75" customHeight="1" s="673">
      <c r="A92" s="10" t="n"/>
      <c r="B92" s="203" t="inlineStr">
        <is>
          <t>DOAÇÕES RECEBIDAS</t>
        </is>
      </c>
      <c r="C92" s="185" t="n"/>
      <c r="D92" s="185" t="n"/>
      <c r="E92" s="185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6">
        <f>SUM(C92:N92)</f>
        <v/>
      </c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.75" customHeight="1" s="673">
      <c r="A93" s="10" t="n"/>
      <c r="B93" s="203" t="inlineStr">
        <is>
          <t>GANHO DE CAPITAL (OPERAÇÕES BOLSA)</t>
        </is>
      </c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6">
        <f>SUM(C93:N93)</f>
        <v/>
      </c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.75" customHeight="1" s="673">
      <c r="A94" s="10" t="n"/>
      <c r="B94" s="204" t="inlineStr">
        <is>
          <t>RETENÇÕES</t>
        </is>
      </c>
      <c r="C94" s="205">
        <f>SUM(C95:C99)</f>
        <v/>
      </c>
      <c r="D94" s="205">
        <f>SUM(D95:D99)</f>
        <v/>
      </c>
      <c r="E94" s="205">
        <f>SUM(E95:E99)</f>
        <v/>
      </c>
      <c r="F94" s="205">
        <f>SUM(F95:F99)</f>
        <v/>
      </c>
      <c r="G94" s="205">
        <f>SUM(G95:G99)</f>
        <v/>
      </c>
      <c r="H94" s="205">
        <f>SUM(H95:H99)</f>
        <v/>
      </c>
      <c r="I94" s="205">
        <f>SUM(I95:I99)</f>
        <v/>
      </c>
      <c r="J94" s="205">
        <f>SUM(J95:J99)</f>
        <v/>
      </c>
      <c r="K94" s="205">
        <f>SUM(K95:K99)</f>
        <v/>
      </c>
      <c r="L94" s="205">
        <f>SUM(L95:L99)</f>
        <v/>
      </c>
      <c r="M94" s="205">
        <f>SUM(M95:M99)</f>
        <v/>
      </c>
      <c r="N94" s="205">
        <f>SUM(N95:N99)</f>
        <v/>
      </c>
      <c r="O94" s="206">
        <f>SUM(C94:N94)</f>
        <v/>
      </c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.75" customHeight="1" s="673">
      <c r="A95" s="10" t="n"/>
      <c r="B95" s="207" t="inlineStr">
        <is>
          <t>IRRF DIVIDENDOS</t>
        </is>
      </c>
      <c r="C95" s="185">
        <f>SUMPRODUCT((C87:N87 &gt; 50000) * (C87:N87 * 0.1))</f>
        <v/>
      </c>
      <c r="D95" s="185">
        <f>SUMPRODUCT((D87:O87 &gt; 50000) * (D87:O87 * 0.1))</f>
        <v/>
      </c>
      <c r="E95" s="185">
        <f>SUMPRODUCT((E87:P87 &gt; 50000) * (E87:P87 * 0.1))</f>
        <v/>
      </c>
      <c r="F95" s="185">
        <f>SUMPRODUCT((F87:Q87 &gt; 50000) * (F87:Q87 * 0.1))</f>
        <v/>
      </c>
      <c r="G95" s="185">
        <f>SUMPRODUCT((G87:R87 &gt; 50000) * (G87:R87 * 0.1))</f>
        <v/>
      </c>
      <c r="H95" s="185">
        <f>SUMPRODUCT((H87:S87 &gt; 50000) * (H87:S87 * 0.1))</f>
        <v/>
      </c>
      <c r="I95" s="185">
        <f>SUMPRODUCT((I87:T87 &gt; 50000) * (I87:T87 * 0.1))</f>
        <v/>
      </c>
      <c r="J95" s="185">
        <f>SUMPRODUCT((J87:U87 &gt; 50000) * (J87:U87 * 0.1))</f>
        <v/>
      </c>
      <c r="K95" s="185">
        <f>SUMPRODUCT((K87:V87 &gt; 50000) * (K87:V87 * 0.1))</f>
        <v/>
      </c>
      <c r="L95" s="185">
        <f>SUMPRODUCT((L87:W87 &gt; 50000) * (L87:W87 * 0.1))</f>
        <v/>
      </c>
      <c r="M95" s="185">
        <f>SUMPRODUCT((M87:X87 &gt; 50000) * (M87:X87 * 0.1))</f>
        <v/>
      </c>
      <c r="N95" s="185">
        <f>SUMPRODUCT((N87:Y87 &gt; 50000) * (N87:Y87 * 0.1))</f>
        <v/>
      </c>
      <c r="O95" s="205">
        <f>SUM(C95:N95)</f>
        <v/>
      </c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.75" customHeight="1" s="673">
      <c r="A96" s="10" t="n"/>
      <c r="B96" s="207" t="inlineStr">
        <is>
          <t>IRRF ALUGUÉIS</t>
        </is>
      </c>
      <c r="C96" s="185" t="n"/>
      <c r="D96" s="185" t="n"/>
      <c r="E96" s="185" t="n"/>
      <c r="F96" s="185" t="n"/>
      <c r="G96" s="185" t="n"/>
      <c r="H96" s="185" t="n"/>
      <c r="I96" s="185" t="n"/>
      <c r="J96" s="185" t="n"/>
      <c r="K96" s="185" t="n"/>
      <c r="L96" s="185" t="n"/>
      <c r="M96" s="185" t="n"/>
      <c r="N96" s="185" t="n"/>
      <c r="O96" s="205">
        <f>SUM(C96:N96)</f>
        <v/>
      </c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.75" customHeight="1" s="673">
      <c r="A97" s="10" t="n"/>
      <c r="B97" s="207" t="inlineStr">
        <is>
          <t xml:space="preserve">IRRF PRÓ-LABORE/RENDIMENTOS ASSALARIADOS </t>
        </is>
      </c>
      <c r="C97" s="185" t="n"/>
      <c r="D97" s="185" t="n"/>
      <c r="E97" s="185" t="n"/>
      <c r="F97" s="185" t="n"/>
      <c r="G97" s="185" t="n"/>
      <c r="H97" s="185" t="n"/>
      <c r="I97" s="185" t="n"/>
      <c r="J97" s="185" t="n"/>
      <c r="K97" s="185" t="n"/>
      <c r="L97" s="185" t="n"/>
      <c r="M97" s="185" t="n"/>
      <c r="N97" s="185" t="n"/>
      <c r="O97" s="205">
        <f>SUM(C97:N97)</f>
        <v/>
      </c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.75" customHeight="1" s="673">
      <c r="A98" s="10" t="n"/>
      <c r="B98" s="207" t="inlineStr">
        <is>
          <t xml:space="preserve">IRRF RENDIMENTOS DE APLICAÇÕES FINANCEIRAS </t>
        </is>
      </c>
      <c r="C98" s="185" t="n"/>
      <c r="D98" s="185" t="n"/>
      <c r="E98" s="185" t="n"/>
      <c r="F98" s="185" t="n"/>
      <c r="G98" s="185" t="n"/>
      <c r="H98" s="185" t="n"/>
      <c r="I98" s="185" t="n"/>
      <c r="J98" s="185" t="n"/>
      <c r="K98" s="185" t="n"/>
      <c r="L98" s="185" t="n"/>
      <c r="M98" s="185" t="n"/>
      <c r="N98" s="185" t="n"/>
      <c r="O98" s="205">
        <f>SUM(C98:N98)</f>
        <v/>
      </c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.75" customHeight="1" s="673">
      <c r="A99" s="187" t="n"/>
      <c r="B99" s="207" t="inlineStr">
        <is>
          <t>IRRF OPERAÇÕES BOLSA</t>
        </is>
      </c>
      <c r="C99" s="185" t="n"/>
      <c r="D99" s="185" t="n"/>
      <c r="E99" s="185" t="n"/>
      <c r="F99" s="185" t="n"/>
      <c r="G99" s="185" t="n"/>
      <c r="H99" s="185" t="n"/>
      <c r="I99" s="185" t="n"/>
      <c r="J99" s="185" t="n"/>
      <c r="K99" s="185" t="n"/>
      <c r="L99" s="185" t="n"/>
      <c r="M99" s="185" t="n"/>
      <c r="N99" s="185" t="n"/>
      <c r="O99" s="205">
        <f>SUM(C99:N99)</f>
        <v/>
      </c>
      <c r="P99" s="188" t="n"/>
      <c r="Q99" s="188" t="n"/>
      <c r="R99" s="188" t="n"/>
      <c r="S99" s="188" t="n"/>
      <c r="T99" s="188" t="n"/>
      <c r="U99" s="188" t="n"/>
      <c r="V99" s="188" t="n"/>
      <c r="W99" s="188" t="n"/>
      <c r="X99" s="188" t="n"/>
      <c r="Y99" s="188" t="n"/>
      <c r="Z99" s="188" t="n"/>
    </row>
    <row r="100" ht="15.75" customHeight="1" s="673">
      <c r="A100" s="187" t="n"/>
      <c r="B100" s="208" t="inlineStr">
        <is>
          <t>RESULTADO</t>
        </is>
      </c>
      <c r="C100" s="209">
        <f>C86-C94</f>
        <v/>
      </c>
      <c r="D100" s="209">
        <f>D86-D94</f>
        <v/>
      </c>
      <c r="E100" s="209">
        <f>E86-E94</f>
        <v/>
      </c>
      <c r="F100" s="209">
        <f>F86-F94</f>
        <v/>
      </c>
      <c r="G100" s="209">
        <f>G86-G94</f>
        <v/>
      </c>
      <c r="H100" s="209">
        <f>H86-H94</f>
        <v/>
      </c>
      <c r="I100" s="209">
        <f>I86-I94</f>
        <v/>
      </c>
      <c r="J100" s="209">
        <f>J86-J94</f>
        <v/>
      </c>
      <c r="K100" s="209">
        <f>K86-K94</f>
        <v/>
      </c>
      <c r="L100" s="209">
        <f>L86-L94</f>
        <v/>
      </c>
      <c r="M100" s="209">
        <f>M86-M94</f>
        <v/>
      </c>
      <c r="N100" s="209">
        <f>N86-N94</f>
        <v/>
      </c>
      <c r="O100" s="210">
        <f>SUM(C100:N100)</f>
        <v/>
      </c>
      <c r="P100" s="188" t="n"/>
      <c r="Q100" s="188" t="n"/>
      <c r="R100" s="188" t="n"/>
      <c r="S100" s="188" t="n"/>
      <c r="T100" s="188" t="n"/>
      <c r="U100" s="188" t="n"/>
      <c r="V100" s="188" t="n"/>
      <c r="W100" s="188" t="n"/>
      <c r="X100" s="188" t="n"/>
      <c r="Y100" s="188" t="n"/>
      <c r="Z100" s="188" t="n"/>
    </row>
    <row r="101" ht="15.75" customHeight="1" s="673">
      <c r="A101" s="187" t="n">
        <v>6</v>
      </c>
      <c r="B101" s="685">
        <f>RESULTADO!B33</f>
        <v/>
      </c>
      <c r="C101" s="675" t="n"/>
      <c r="D101" s="675" t="n"/>
      <c r="E101" s="675" t="n"/>
      <c r="F101" s="196" t="n"/>
      <c r="G101" s="196" t="n"/>
      <c r="H101" s="196" t="n"/>
      <c r="I101" s="196" t="n"/>
      <c r="J101" s="196" t="n"/>
      <c r="K101" s="196" t="n"/>
      <c r="L101" s="196" t="n"/>
      <c r="M101" s="196" t="n"/>
      <c r="N101" s="196" t="n"/>
      <c r="O101" s="196" t="n"/>
      <c r="P101" s="188" t="n"/>
      <c r="Q101" s="188" t="n"/>
      <c r="R101" s="188" t="n"/>
      <c r="S101" s="188" t="n"/>
      <c r="T101" s="188" t="n"/>
      <c r="U101" s="188" t="n"/>
      <c r="V101" s="188" t="n"/>
      <c r="W101" s="188" t="n"/>
      <c r="X101" s="188" t="n"/>
      <c r="Y101" s="188" t="n"/>
      <c r="Z101" s="188" t="n"/>
    </row>
    <row r="102" ht="15.75" customHeight="1" s="673">
      <c r="A102" s="187" t="n"/>
      <c r="B102" s="197" t="n"/>
      <c r="C102" s="198" t="n"/>
      <c r="D102" s="199" t="n"/>
      <c r="E102" s="196" t="n"/>
      <c r="F102" s="196" t="n"/>
      <c r="G102" s="196" t="n"/>
      <c r="H102" s="196" t="n"/>
      <c r="I102" s="196" t="n"/>
      <c r="J102" s="196" t="n"/>
      <c r="K102" s="196" t="n"/>
      <c r="L102" s="196" t="n"/>
      <c r="M102" s="196" t="n"/>
      <c r="N102" s="196" t="n"/>
      <c r="O102" s="196" t="n"/>
      <c r="P102" s="188" t="n"/>
      <c r="Q102" s="188" t="n"/>
      <c r="R102" s="188" t="n"/>
      <c r="S102" s="188" t="n"/>
      <c r="T102" s="188" t="n"/>
      <c r="U102" s="188" t="n"/>
      <c r="V102" s="188" t="n"/>
      <c r="W102" s="188" t="n"/>
      <c r="X102" s="188" t="n"/>
      <c r="Y102" s="188" t="n"/>
      <c r="Z102" s="188" t="n"/>
    </row>
    <row r="103" ht="15.75" customHeight="1" s="673">
      <c r="A103" s="187" t="n"/>
      <c r="B103" s="200" t="n">
        <v>2026</v>
      </c>
      <c r="C103" s="201" t="inlineStr">
        <is>
          <t>JANEIRO</t>
        </is>
      </c>
      <c r="D103" s="201" t="inlineStr">
        <is>
          <t>FEVEREIRO</t>
        </is>
      </c>
      <c r="E103" s="201" t="inlineStr">
        <is>
          <t>MARÇO</t>
        </is>
      </c>
      <c r="F103" s="201" t="inlineStr">
        <is>
          <t>ABRIL</t>
        </is>
      </c>
      <c r="G103" s="201" t="inlineStr">
        <is>
          <t>MAIO</t>
        </is>
      </c>
      <c r="H103" s="201" t="inlineStr">
        <is>
          <t>JUNHO</t>
        </is>
      </c>
      <c r="I103" s="201" t="inlineStr">
        <is>
          <t>JULHO</t>
        </is>
      </c>
      <c r="J103" s="201" t="inlineStr">
        <is>
          <t>AGOSTO</t>
        </is>
      </c>
      <c r="K103" s="201" t="inlineStr">
        <is>
          <t>SETEMBRO</t>
        </is>
      </c>
      <c r="L103" s="201" t="inlineStr">
        <is>
          <t>OUTUBRO</t>
        </is>
      </c>
      <c r="M103" s="201" t="inlineStr">
        <is>
          <t>NOVEMBRO</t>
        </is>
      </c>
      <c r="N103" s="201" t="inlineStr">
        <is>
          <t>DEZEMBRO</t>
        </is>
      </c>
      <c r="O103" s="200" t="inlineStr">
        <is>
          <t>TOTAL</t>
        </is>
      </c>
      <c r="P103" s="188" t="n"/>
      <c r="Q103" s="188" t="n"/>
      <c r="R103" s="188" t="n"/>
      <c r="S103" s="188" t="n"/>
      <c r="T103" s="188" t="n"/>
      <c r="U103" s="188" t="n"/>
      <c r="V103" s="188" t="n"/>
      <c r="W103" s="188" t="n"/>
      <c r="X103" s="188" t="n"/>
      <c r="Y103" s="188" t="n"/>
      <c r="Z103" s="188" t="n"/>
    </row>
    <row r="104" ht="15.75" customHeight="1" s="673">
      <c r="A104" s="10" t="n"/>
      <c r="B104" s="202" t="inlineStr">
        <is>
          <t xml:space="preserve">RENDIMENTOS </t>
        </is>
      </c>
      <c r="C104" s="181">
        <f>SUM(C105:C111)</f>
        <v/>
      </c>
      <c r="D104" s="181">
        <f>SUM(D105:D111)</f>
        <v/>
      </c>
      <c r="E104" s="181">
        <f>SUM(E105:E111)</f>
        <v/>
      </c>
      <c r="F104" s="181">
        <f>SUM(F105:F111)</f>
        <v/>
      </c>
      <c r="G104" s="181">
        <f>SUM(G105:G111)</f>
        <v/>
      </c>
      <c r="H104" s="181">
        <f>SUM(H105:H111)</f>
        <v/>
      </c>
      <c r="I104" s="181">
        <f>SUM(I105:I111)</f>
        <v/>
      </c>
      <c r="J104" s="181">
        <f>SUM(J105:J111)</f>
        <v/>
      </c>
      <c r="K104" s="181">
        <f>SUM(K105:K111)</f>
        <v/>
      </c>
      <c r="L104" s="181">
        <f>SUM(L105:L111)</f>
        <v/>
      </c>
      <c r="M104" s="181">
        <f>SUM(M105:M111)</f>
        <v/>
      </c>
      <c r="N104" s="181">
        <f>SUM(N105:N111)</f>
        <v/>
      </c>
      <c r="O104" s="182">
        <f>SUM(C104:N104)</f>
        <v/>
      </c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.75" customHeight="1" s="673">
      <c r="A105" s="10" t="n"/>
      <c r="B105" s="203" t="inlineStr">
        <is>
          <t>DIVIDENDOS</t>
        </is>
      </c>
      <c r="C105" s="185" t="n"/>
      <c r="D105" s="185" t="n"/>
      <c r="E105" s="185" t="n"/>
      <c r="F105" s="185" t="n"/>
      <c r="G105" s="185" t="n"/>
      <c r="H105" s="185" t="n"/>
      <c r="I105" s="185" t="n"/>
      <c r="J105" s="185" t="n"/>
      <c r="K105" s="185" t="n"/>
      <c r="L105" s="185" t="n"/>
      <c r="M105" s="185" t="n"/>
      <c r="N105" s="185" t="n"/>
      <c r="O105" s="186">
        <f>SUM(C105:N105)</f>
        <v/>
      </c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.75" customHeight="1" s="673">
      <c r="A106" s="10" t="n"/>
      <c r="B106" s="203" t="inlineStr">
        <is>
          <t>ALUGUÉIS</t>
        </is>
      </c>
      <c r="C106" s="185" t="n"/>
      <c r="D106" s="185" t="n"/>
      <c r="E106" s="185" t="n"/>
      <c r="F106" s="185" t="n"/>
      <c r="G106" s="185" t="n"/>
      <c r="H106" s="185" t="n"/>
      <c r="I106" s="185" t="n"/>
      <c r="J106" s="185" t="n"/>
      <c r="K106" s="185" t="n"/>
      <c r="L106" s="185" t="n"/>
      <c r="M106" s="185" t="n"/>
      <c r="N106" s="185" t="n"/>
      <c r="O106" s="186">
        <f>SUM(C106:N106)</f>
        <v/>
      </c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.75" customHeight="1" s="673">
      <c r="A107" s="10" t="n"/>
      <c r="B107" s="203" t="inlineStr">
        <is>
          <t>PRÓ-LABORE/RENDIMENTOS ASSALARIADOS</t>
        </is>
      </c>
      <c r="C107" s="185" t="n"/>
      <c r="D107" s="185" t="n"/>
      <c r="E107" s="185" t="n"/>
      <c r="F107" s="185" t="n"/>
      <c r="G107" s="185" t="n"/>
      <c r="H107" s="185" t="n"/>
      <c r="I107" s="185" t="n"/>
      <c r="J107" s="185" t="n"/>
      <c r="K107" s="185" t="n"/>
      <c r="L107" s="185" t="n"/>
      <c r="M107" s="185" t="n"/>
      <c r="N107" s="185" t="n"/>
      <c r="O107" s="186">
        <f>SUM(C107:N107)</f>
        <v/>
      </c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.75" customHeight="1" s="673">
      <c r="A108" s="10" t="n"/>
      <c r="B108" s="203" t="inlineStr">
        <is>
          <t>RENDIMENTOS DE APLICAÇÕES FINANCEIRAS (TRIBUTÁVEIS/CDB/AÇÕES)</t>
        </is>
      </c>
      <c r="C108" s="185" t="n"/>
      <c r="D108" s="185" t="n"/>
      <c r="E108" s="185" t="n"/>
      <c r="F108" s="185" t="n"/>
      <c r="G108" s="185" t="n"/>
      <c r="H108" s="185" t="n"/>
      <c r="I108" s="185" t="n"/>
      <c r="J108" s="185" t="n"/>
      <c r="K108" s="185" t="n"/>
      <c r="L108" s="185" t="n"/>
      <c r="M108" s="185" t="n"/>
      <c r="N108" s="185" t="n"/>
      <c r="O108" s="186">
        <f>SUM(C108:N108)</f>
        <v/>
      </c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.75" customHeight="1" s="673">
      <c r="A109" s="10" t="n"/>
      <c r="B109" s="203" t="inlineStr">
        <is>
          <t>RENDIMENTOS PROTEGIDOS (LCI/LCA/POUPANÇA)</t>
        </is>
      </c>
      <c r="C109" s="185" t="n"/>
      <c r="D109" s="185" t="n"/>
      <c r="E109" s="185" t="n"/>
      <c r="F109" s="185" t="n"/>
      <c r="G109" s="185" t="n"/>
      <c r="H109" s="185" t="n"/>
      <c r="I109" s="185" t="n"/>
      <c r="J109" s="185" t="n"/>
      <c r="K109" s="185" t="n"/>
      <c r="L109" s="185" t="n"/>
      <c r="M109" s="185" t="n"/>
      <c r="N109" s="185" t="n"/>
      <c r="O109" s="186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.75" customHeight="1" s="673">
      <c r="A110" s="10" t="n"/>
      <c r="B110" s="203" t="inlineStr">
        <is>
          <t>DOAÇÕES RECEBIDAS</t>
        </is>
      </c>
      <c r="C110" s="185" t="n"/>
      <c r="D110" s="185" t="n"/>
      <c r="E110" s="185" t="n"/>
      <c r="F110" s="185" t="n"/>
      <c r="G110" s="185" t="n"/>
      <c r="H110" s="185" t="n"/>
      <c r="I110" s="185" t="n"/>
      <c r="J110" s="185" t="n"/>
      <c r="K110" s="185" t="n"/>
      <c r="L110" s="185" t="n"/>
      <c r="M110" s="185" t="n"/>
      <c r="N110" s="185" t="n"/>
      <c r="O110" s="186">
        <f>SUM(C110:N110)</f>
        <v/>
      </c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.75" customHeight="1" s="673">
      <c r="A111" s="10" t="n"/>
      <c r="B111" s="203" t="inlineStr">
        <is>
          <t>GANHO DE CAPITAL (OPERAÇÕES BOLSA)</t>
        </is>
      </c>
      <c r="C111" s="185" t="n"/>
      <c r="D111" s="185" t="n"/>
      <c r="E111" s="185" t="n"/>
      <c r="F111" s="185" t="n"/>
      <c r="G111" s="185" t="n"/>
      <c r="H111" s="185" t="n"/>
      <c r="I111" s="185" t="n"/>
      <c r="J111" s="185" t="n"/>
      <c r="K111" s="185" t="n"/>
      <c r="L111" s="185" t="n"/>
      <c r="M111" s="185" t="n"/>
      <c r="N111" s="185" t="n"/>
      <c r="O111" s="186">
        <f>SUM(C111:N111)</f>
        <v/>
      </c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.75" customHeight="1" s="673">
      <c r="A112" s="10" t="n"/>
      <c r="B112" s="204" t="inlineStr">
        <is>
          <t>RETENÇÕES</t>
        </is>
      </c>
      <c r="C112" s="205">
        <f>SUM(C113:C117)</f>
        <v/>
      </c>
      <c r="D112" s="205">
        <f>SUM(D113:D117)</f>
        <v/>
      </c>
      <c r="E112" s="205">
        <f>SUM(E113:E117)</f>
        <v/>
      </c>
      <c r="F112" s="205">
        <f>SUM(F113:F117)</f>
        <v/>
      </c>
      <c r="G112" s="205">
        <f>SUM(G113:G117)</f>
        <v/>
      </c>
      <c r="H112" s="205">
        <f>SUM(H113:H117)</f>
        <v/>
      </c>
      <c r="I112" s="205">
        <f>SUM(I113:I117)</f>
        <v/>
      </c>
      <c r="J112" s="205">
        <f>SUM(J113:J117)</f>
        <v/>
      </c>
      <c r="K112" s="205">
        <f>SUM(K113:K117)</f>
        <v/>
      </c>
      <c r="L112" s="205">
        <f>SUM(L113:L117)</f>
        <v/>
      </c>
      <c r="M112" s="205">
        <f>SUM(M113:M117)</f>
        <v/>
      </c>
      <c r="N112" s="205">
        <f>SUM(N113:N117)</f>
        <v/>
      </c>
      <c r="O112" s="206">
        <f>SUM(C112:N112)</f>
        <v/>
      </c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.75" customHeight="1" s="673">
      <c r="A113" s="10" t="n"/>
      <c r="B113" s="207" t="inlineStr">
        <is>
          <t>IRRF DIVIDENDOS</t>
        </is>
      </c>
      <c r="C113" s="185">
        <f>SUMPRODUCT((C105:N105 &gt; 50000) * (C105:N105 * 0.1))</f>
        <v/>
      </c>
      <c r="D113" s="185">
        <f>SUMPRODUCT((D105:O105 &gt; 50000) * (D105:O105 * 0.1))</f>
        <v/>
      </c>
      <c r="E113" s="185">
        <f>SUMPRODUCT((E105:P105 &gt; 50000) * (E105:P105 * 0.1))</f>
        <v/>
      </c>
      <c r="F113" s="185">
        <f>SUMPRODUCT((F105:Q105 &gt; 50000) * (F105:Q105 * 0.1))</f>
        <v/>
      </c>
      <c r="G113" s="185">
        <f>SUMPRODUCT((G105:R105 &gt; 50000) * (G105:R105 * 0.1))</f>
        <v/>
      </c>
      <c r="H113" s="185">
        <f>SUMPRODUCT((H105:S105 &gt; 50000) * (H105:S105 * 0.1))</f>
        <v/>
      </c>
      <c r="I113" s="185">
        <f>SUMPRODUCT((I105:T105 &gt; 50000) * (I105:T105 * 0.1))</f>
        <v/>
      </c>
      <c r="J113" s="185">
        <f>SUMPRODUCT((J105:U105 &gt; 50000) * (J105:U105 * 0.1))</f>
        <v/>
      </c>
      <c r="K113" s="185">
        <f>SUMPRODUCT((K105:V105 &gt; 50000) * (K105:V105 * 0.1))</f>
        <v/>
      </c>
      <c r="L113" s="185">
        <f>SUMPRODUCT((L105:W105 &gt; 50000) * (L105:W105 * 0.1))</f>
        <v/>
      </c>
      <c r="M113" s="185">
        <f>SUMPRODUCT((M105:X105 &gt; 50000) * (M105:X105 * 0.1))</f>
        <v/>
      </c>
      <c r="N113" s="185">
        <f>SUMPRODUCT((N105:Y105 &gt; 50000) * (N105:Y105 * 0.1))</f>
        <v/>
      </c>
      <c r="O113" s="205">
        <f>SUM(C113:N113)</f>
        <v/>
      </c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.75" customHeight="1" s="673">
      <c r="A114" s="10" t="n"/>
      <c r="B114" s="207" t="inlineStr">
        <is>
          <t>IRRF ALUGUÉIS</t>
        </is>
      </c>
      <c r="C114" s="185" t="n"/>
      <c r="D114" s="185" t="n"/>
      <c r="E114" s="185" t="n"/>
      <c r="F114" s="185" t="n"/>
      <c r="G114" s="185" t="n"/>
      <c r="H114" s="185" t="n"/>
      <c r="I114" s="185" t="n"/>
      <c r="J114" s="185" t="n"/>
      <c r="K114" s="185" t="n"/>
      <c r="L114" s="185" t="n"/>
      <c r="M114" s="185" t="n"/>
      <c r="N114" s="185" t="n"/>
      <c r="O114" s="205">
        <f>SUM(C114:N114)</f>
        <v/>
      </c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.75" customHeight="1" s="673">
      <c r="A115" s="10" t="n"/>
      <c r="B115" s="207" t="inlineStr">
        <is>
          <t xml:space="preserve">IRRF PRÓ-LABORE/RENDIMENTOS ASSALARIADOS </t>
        </is>
      </c>
      <c r="C115" s="185" t="n"/>
      <c r="D115" s="185" t="n"/>
      <c r="E115" s="185" t="n"/>
      <c r="F115" s="185" t="n"/>
      <c r="G115" s="185" t="n"/>
      <c r="H115" s="185" t="n"/>
      <c r="I115" s="185" t="n"/>
      <c r="J115" s="185" t="n"/>
      <c r="K115" s="185" t="n"/>
      <c r="L115" s="185" t="n"/>
      <c r="M115" s="185" t="n"/>
      <c r="N115" s="185" t="n"/>
      <c r="O115" s="205">
        <f>SUM(C115:N115)</f>
        <v/>
      </c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.75" customHeight="1" s="673">
      <c r="A116" s="10" t="n"/>
      <c r="B116" s="207" t="inlineStr">
        <is>
          <t xml:space="preserve">IRRF RENDIMENTOS DE APLICAÇÕES FINANCEIRAS </t>
        </is>
      </c>
      <c r="C116" s="185" t="n"/>
      <c r="D116" s="185" t="n"/>
      <c r="E116" s="185" t="n"/>
      <c r="F116" s="185" t="n"/>
      <c r="G116" s="185" t="n"/>
      <c r="H116" s="185" t="n"/>
      <c r="I116" s="185" t="n"/>
      <c r="J116" s="185" t="n"/>
      <c r="K116" s="185" t="n"/>
      <c r="L116" s="185" t="n"/>
      <c r="M116" s="185" t="n"/>
      <c r="N116" s="185" t="n"/>
      <c r="O116" s="205">
        <f>SUM(C116:N116)</f>
        <v/>
      </c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.75" customHeight="1" s="673">
      <c r="A117" s="187" t="n"/>
      <c r="B117" s="207" t="inlineStr">
        <is>
          <t>IRRF OPERAÇÕES BOLSA</t>
        </is>
      </c>
      <c r="C117" s="185" t="n"/>
      <c r="D117" s="185" t="n"/>
      <c r="E117" s="185" t="n"/>
      <c r="F117" s="185" t="n"/>
      <c r="G117" s="185" t="n"/>
      <c r="H117" s="185" t="n"/>
      <c r="I117" s="185" t="n"/>
      <c r="J117" s="185" t="n"/>
      <c r="K117" s="185" t="n"/>
      <c r="L117" s="185" t="n"/>
      <c r="M117" s="185" t="n"/>
      <c r="N117" s="185" t="n"/>
      <c r="O117" s="205">
        <f>SUM(C117:N117)</f>
        <v/>
      </c>
      <c r="P117" s="188" t="n"/>
      <c r="Q117" s="188" t="n"/>
      <c r="R117" s="188" t="n"/>
      <c r="S117" s="188" t="n"/>
      <c r="T117" s="188" t="n"/>
      <c r="U117" s="188" t="n"/>
      <c r="V117" s="188" t="n"/>
      <c r="W117" s="188" t="n"/>
      <c r="X117" s="188" t="n"/>
      <c r="Y117" s="188" t="n"/>
      <c r="Z117" s="188" t="n"/>
    </row>
    <row r="118" ht="15.75" customHeight="1" s="673">
      <c r="A118" s="187" t="n"/>
      <c r="B118" s="208" t="inlineStr">
        <is>
          <t>RESULTADO</t>
        </is>
      </c>
      <c r="C118" s="209">
        <f>C104-C112</f>
        <v/>
      </c>
      <c r="D118" s="209">
        <f>D104-D112</f>
        <v/>
      </c>
      <c r="E118" s="209">
        <f>E104-E112</f>
        <v/>
      </c>
      <c r="F118" s="209">
        <f>F104-F112</f>
        <v/>
      </c>
      <c r="G118" s="209">
        <f>G104-G112</f>
        <v/>
      </c>
      <c r="H118" s="209">
        <f>H104-H112</f>
        <v/>
      </c>
      <c r="I118" s="209">
        <f>I104-I112</f>
        <v/>
      </c>
      <c r="J118" s="209">
        <f>J104-J112</f>
        <v/>
      </c>
      <c r="K118" s="209">
        <f>K104-K112</f>
        <v/>
      </c>
      <c r="L118" s="209">
        <f>L104-L112</f>
        <v/>
      </c>
      <c r="M118" s="209">
        <f>M104-M112</f>
        <v/>
      </c>
      <c r="N118" s="209">
        <f>N104-N112</f>
        <v/>
      </c>
      <c r="O118" s="210">
        <f>SUM(C118:N118)</f>
        <v/>
      </c>
      <c r="P118" s="188" t="n"/>
      <c r="Q118" s="188" t="n"/>
      <c r="R118" s="188" t="n"/>
      <c r="S118" s="188" t="n"/>
      <c r="T118" s="188" t="n"/>
      <c r="U118" s="188" t="n"/>
      <c r="V118" s="188" t="n"/>
      <c r="W118" s="188" t="n"/>
      <c r="X118" s="188" t="n"/>
      <c r="Y118" s="188" t="n"/>
      <c r="Z118" s="188" t="n"/>
    </row>
    <row r="119" ht="15.75" customHeight="1" s="673">
      <c r="A119" s="187" t="n">
        <v>7</v>
      </c>
      <c r="B119" s="685">
        <f>RESULTADO!B34</f>
        <v/>
      </c>
      <c r="C119" s="675" t="n"/>
      <c r="D119" s="675" t="n"/>
      <c r="E119" s="675" t="n"/>
      <c r="F119" s="196" t="n"/>
      <c r="G119" s="196" t="n"/>
      <c r="H119" s="196" t="n"/>
      <c r="I119" s="196" t="n"/>
      <c r="J119" s="196" t="n"/>
      <c r="K119" s="196" t="n"/>
      <c r="L119" s="196" t="n"/>
      <c r="M119" s="196" t="n"/>
      <c r="N119" s="196" t="n"/>
      <c r="O119" s="196" t="n"/>
      <c r="P119" s="188" t="n"/>
      <c r="Q119" s="188" t="n"/>
      <c r="R119" s="188" t="n"/>
      <c r="S119" s="188" t="n"/>
      <c r="T119" s="188" t="n"/>
      <c r="U119" s="188" t="n"/>
      <c r="V119" s="188" t="n"/>
      <c r="W119" s="188" t="n"/>
      <c r="X119" s="188" t="n"/>
      <c r="Y119" s="188" t="n"/>
      <c r="Z119" s="188" t="n"/>
    </row>
    <row r="120" ht="15.75" customHeight="1" s="673">
      <c r="A120" s="187" t="n"/>
      <c r="B120" s="197" t="n"/>
      <c r="C120" s="198" t="n"/>
      <c r="D120" s="199" t="n"/>
      <c r="E120" s="196" t="n"/>
      <c r="F120" s="196" t="n"/>
      <c r="G120" s="196" t="n"/>
      <c r="H120" s="196" t="n"/>
      <c r="I120" s="196" t="n"/>
      <c r="J120" s="196" t="n"/>
      <c r="K120" s="196" t="n"/>
      <c r="L120" s="196" t="n"/>
      <c r="M120" s="196" t="n"/>
      <c r="N120" s="196" t="n"/>
      <c r="O120" s="196" t="n"/>
      <c r="P120" s="188" t="n"/>
      <c r="Q120" s="188" t="n"/>
      <c r="R120" s="188" t="n"/>
      <c r="S120" s="188" t="n"/>
      <c r="T120" s="188" t="n"/>
      <c r="U120" s="188" t="n"/>
      <c r="V120" s="188" t="n"/>
      <c r="W120" s="188" t="n"/>
      <c r="X120" s="188" t="n"/>
      <c r="Y120" s="188" t="n"/>
      <c r="Z120" s="188" t="n"/>
    </row>
    <row r="121" ht="15.75" customHeight="1" s="673">
      <c r="A121" s="187" t="n"/>
      <c r="B121" s="200" t="n">
        <v>2026</v>
      </c>
      <c r="C121" s="201" t="inlineStr">
        <is>
          <t>JANEIRO</t>
        </is>
      </c>
      <c r="D121" s="201" t="inlineStr">
        <is>
          <t>FEVEREIRO</t>
        </is>
      </c>
      <c r="E121" s="201" t="inlineStr">
        <is>
          <t>MARÇO</t>
        </is>
      </c>
      <c r="F121" s="201" t="inlineStr">
        <is>
          <t>ABRIL</t>
        </is>
      </c>
      <c r="G121" s="201" t="inlineStr">
        <is>
          <t>MAIO</t>
        </is>
      </c>
      <c r="H121" s="201" t="inlineStr">
        <is>
          <t>JUNHO</t>
        </is>
      </c>
      <c r="I121" s="201" t="inlineStr">
        <is>
          <t>JULHO</t>
        </is>
      </c>
      <c r="J121" s="201" t="inlineStr">
        <is>
          <t>AGOSTO</t>
        </is>
      </c>
      <c r="K121" s="201" t="inlineStr">
        <is>
          <t>SETEMBRO</t>
        </is>
      </c>
      <c r="L121" s="201" t="inlineStr">
        <is>
          <t>OUTUBRO</t>
        </is>
      </c>
      <c r="M121" s="201" t="inlineStr">
        <is>
          <t>NOVEMBRO</t>
        </is>
      </c>
      <c r="N121" s="201" t="inlineStr">
        <is>
          <t>DEZEMBRO</t>
        </is>
      </c>
      <c r="O121" s="200" t="inlineStr">
        <is>
          <t>TOTAL</t>
        </is>
      </c>
      <c r="P121" s="188" t="n"/>
      <c r="Q121" s="188" t="n"/>
      <c r="R121" s="188" t="n"/>
      <c r="S121" s="188" t="n"/>
      <c r="T121" s="188" t="n"/>
      <c r="U121" s="188" t="n"/>
      <c r="V121" s="188" t="n"/>
      <c r="W121" s="188" t="n"/>
      <c r="X121" s="188" t="n"/>
      <c r="Y121" s="188" t="n"/>
      <c r="Z121" s="188" t="n"/>
    </row>
    <row r="122" ht="15.75" customHeight="1" s="673">
      <c r="A122" s="10" t="n"/>
      <c r="B122" s="202" t="inlineStr">
        <is>
          <t xml:space="preserve">RENDIMENTOS </t>
        </is>
      </c>
      <c r="C122" s="181">
        <f>SUM(C123:C129)</f>
        <v/>
      </c>
      <c r="D122" s="181">
        <f>SUM(D123:D129)</f>
        <v/>
      </c>
      <c r="E122" s="181">
        <f>SUM(E123:E129)</f>
        <v/>
      </c>
      <c r="F122" s="181">
        <f>SUM(F123:F129)</f>
        <v/>
      </c>
      <c r="G122" s="181">
        <f>SUM(G123:G129)</f>
        <v/>
      </c>
      <c r="H122" s="181">
        <f>SUM(H123:H129)</f>
        <v/>
      </c>
      <c r="I122" s="181">
        <f>SUM(I123:I129)</f>
        <v/>
      </c>
      <c r="J122" s="181">
        <f>SUM(J123:J129)</f>
        <v/>
      </c>
      <c r="K122" s="181">
        <f>SUM(K123:K129)</f>
        <v/>
      </c>
      <c r="L122" s="181">
        <f>SUM(L123:L129)</f>
        <v/>
      </c>
      <c r="M122" s="181">
        <f>SUM(M123:M129)</f>
        <v/>
      </c>
      <c r="N122" s="181">
        <f>SUM(N123:N129)</f>
        <v/>
      </c>
      <c r="O122" s="182">
        <f>SUM(C122:N122)</f>
        <v/>
      </c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.75" customHeight="1" s="673">
      <c r="A123" s="10" t="n"/>
      <c r="B123" s="203" t="inlineStr">
        <is>
          <t>DIVIDENDOS</t>
        </is>
      </c>
      <c r="C123" s="185" t="n"/>
      <c r="D123" s="185" t="n"/>
      <c r="E123" s="185" t="n"/>
      <c r="F123" s="185" t="n"/>
      <c r="G123" s="185" t="n"/>
      <c r="H123" s="185" t="n"/>
      <c r="I123" s="185" t="n"/>
      <c r="J123" s="185" t="n"/>
      <c r="K123" s="185" t="n"/>
      <c r="L123" s="185" t="n"/>
      <c r="M123" s="185" t="n"/>
      <c r="N123" s="185" t="n"/>
      <c r="O123" s="186">
        <f>SUM(C123:N123)</f>
        <v/>
      </c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.75" customHeight="1" s="673">
      <c r="A124" s="10" t="n"/>
      <c r="B124" s="203" t="inlineStr">
        <is>
          <t>ALUGUÉIS</t>
        </is>
      </c>
      <c r="C124" s="185" t="n"/>
      <c r="D124" s="185" t="n"/>
      <c r="E124" s="185" t="n"/>
      <c r="F124" s="185" t="n"/>
      <c r="G124" s="185" t="n"/>
      <c r="H124" s="185" t="n"/>
      <c r="I124" s="185" t="n"/>
      <c r="J124" s="185" t="n"/>
      <c r="K124" s="185" t="n"/>
      <c r="L124" s="185" t="n"/>
      <c r="M124" s="185" t="n"/>
      <c r="N124" s="185" t="n"/>
      <c r="O124" s="186">
        <f>SUM(C124:N124)</f>
        <v/>
      </c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.75" customHeight="1" s="673">
      <c r="A125" s="10" t="n"/>
      <c r="B125" s="203" t="inlineStr">
        <is>
          <t>PRÓ-LABORE/RENDIMENTOS ASSALARIADOS</t>
        </is>
      </c>
      <c r="C125" s="185" t="n"/>
      <c r="D125" s="185" t="n"/>
      <c r="E125" s="185" t="n"/>
      <c r="F125" s="185" t="n"/>
      <c r="G125" s="185" t="n"/>
      <c r="H125" s="185" t="n"/>
      <c r="I125" s="185" t="n"/>
      <c r="J125" s="185" t="n"/>
      <c r="K125" s="185" t="n"/>
      <c r="L125" s="185" t="n"/>
      <c r="M125" s="185" t="n"/>
      <c r="N125" s="185" t="n"/>
      <c r="O125" s="186">
        <f>SUM(C125:N125)</f>
        <v/>
      </c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.75" customHeight="1" s="673">
      <c r="A126" s="10" t="n"/>
      <c r="B126" s="203" t="inlineStr">
        <is>
          <t>RENDIMENTOS DE APLICAÇÕES FINANCEIRAS (TRIBUTÁVEIS/CDB/AÇÕES)</t>
        </is>
      </c>
      <c r="C126" s="185" t="n"/>
      <c r="D126" s="185" t="n"/>
      <c r="E126" s="185" t="n"/>
      <c r="F126" s="185" t="n"/>
      <c r="G126" s="185" t="n"/>
      <c r="H126" s="185" t="n"/>
      <c r="I126" s="185" t="n"/>
      <c r="J126" s="185" t="n"/>
      <c r="K126" s="185" t="n"/>
      <c r="L126" s="185" t="n"/>
      <c r="M126" s="185" t="n"/>
      <c r="N126" s="185" t="n"/>
      <c r="O126" s="186">
        <f>SUM(C126:N126)</f>
        <v/>
      </c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.75" customHeight="1" s="673">
      <c r="A127" s="10" t="n"/>
      <c r="B127" s="203" t="inlineStr">
        <is>
          <t>RENDIMENTOS PROTEGIDOS (LCI/LCA/POUPANÇA)</t>
        </is>
      </c>
      <c r="C127" s="185" t="n"/>
      <c r="D127" s="185" t="n"/>
      <c r="E127" s="185" t="n"/>
      <c r="F127" s="185" t="n"/>
      <c r="G127" s="185" t="n"/>
      <c r="H127" s="185" t="n"/>
      <c r="I127" s="185" t="n"/>
      <c r="J127" s="185" t="n"/>
      <c r="K127" s="185" t="n"/>
      <c r="L127" s="185" t="n"/>
      <c r="M127" s="185" t="n"/>
      <c r="N127" s="185" t="n"/>
      <c r="O127" s="186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.75" customHeight="1" s="673">
      <c r="A128" s="10" t="n"/>
      <c r="B128" s="203" t="inlineStr">
        <is>
          <t>DOAÇÕES RECEBIDAS</t>
        </is>
      </c>
      <c r="C128" s="185" t="n"/>
      <c r="D128" s="185" t="n"/>
      <c r="E128" s="185" t="n"/>
      <c r="F128" s="185" t="n"/>
      <c r="G128" s="185" t="n"/>
      <c r="H128" s="185" t="n"/>
      <c r="I128" s="185" t="n"/>
      <c r="J128" s="185" t="n"/>
      <c r="K128" s="185" t="n"/>
      <c r="L128" s="185" t="n"/>
      <c r="M128" s="185" t="n"/>
      <c r="N128" s="185" t="n"/>
      <c r="O128" s="186">
        <f>SUM(C128:N128)</f>
        <v/>
      </c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.75" customHeight="1" s="673">
      <c r="A129" s="10" t="n"/>
      <c r="B129" s="203" t="inlineStr">
        <is>
          <t>GANHO DE CAPITAL (OPERAÇÕES BOLSA)</t>
        </is>
      </c>
      <c r="C129" s="185" t="n"/>
      <c r="D129" s="185" t="n"/>
      <c r="E129" s="185" t="n"/>
      <c r="F129" s="185" t="n"/>
      <c r="G129" s="185" t="n"/>
      <c r="H129" s="185" t="n"/>
      <c r="I129" s="185" t="n"/>
      <c r="J129" s="185" t="n"/>
      <c r="K129" s="185" t="n"/>
      <c r="L129" s="185" t="n"/>
      <c r="M129" s="185" t="n"/>
      <c r="N129" s="185" t="n"/>
      <c r="O129" s="186">
        <f>SUM(C129:N129)</f>
        <v/>
      </c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.75" customHeight="1" s="673">
      <c r="A130" s="10" t="n"/>
      <c r="B130" s="204" t="inlineStr">
        <is>
          <t>RETENÇÕES</t>
        </is>
      </c>
      <c r="C130" s="205">
        <f>SUM(C131:C135)</f>
        <v/>
      </c>
      <c r="D130" s="205">
        <f>SUM(D131:D135)</f>
        <v/>
      </c>
      <c r="E130" s="205">
        <f>SUM(E131:E135)</f>
        <v/>
      </c>
      <c r="F130" s="205">
        <f>SUM(F131:F135)</f>
        <v/>
      </c>
      <c r="G130" s="205">
        <f>SUM(G131:G135)</f>
        <v/>
      </c>
      <c r="H130" s="205">
        <f>SUM(H131:H135)</f>
        <v/>
      </c>
      <c r="I130" s="205">
        <f>SUM(I131:I135)</f>
        <v/>
      </c>
      <c r="J130" s="205">
        <f>SUM(J131:J135)</f>
        <v/>
      </c>
      <c r="K130" s="205">
        <f>SUM(K131:K135)</f>
        <v/>
      </c>
      <c r="L130" s="205">
        <f>SUM(L131:L135)</f>
        <v/>
      </c>
      <c r="M130" s="205">
        <f>SUM(M131:M135)</f>
        <v/>
      </c>
      <c r="N130" s="205">
        <f>SUM(N131:N135)</f>
        <v/>
      </c>
      <c r="O130" s="206">
        <f>SUM(C130:N130)</f>
        <v/>
      </c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.75" customHeight="1" s="673">
      <c r="A131" s="10" t="n"/>
      <c r="B131" s="207" t="inlineStr">
        <is>
          <t>IRRF DIVIDENDOS</t>
        </is>
      </c>
      <c r="C131" s="185">
        <f>SUMPRODUCT((C123:N123 &gt; 50000) * (C123:N123 * 0.1))</f>
        <v/>
      </c>
      <c r="D131" s="185">
        <f>SUMPRODUCT((D123:O123 &gt; 50000) * (D123:O123 * 0.1))</f>
        <v/>
      </c>
      <c r="E131" s="185">
        <f>SUMPRODUCT((E123:P123 &gt; 50000) * (E123:P123 * 0.1))</f>
        <v/>
      </c>
      <c r="F131" s="185">
        <f>SUMPRODUCT((F123:Q123 &gt; 50000) * (F123:Q123 * 0.1))</f>
        <v/>
      </c>
      <c r="G131" s="185">
        <f>SUMPRODUCT((G123:R123 &gt; 50000) * (G123:R123 * 0.1))</f>
        <v/>
      </c>
      <c r="H131" s="185">
        <f>SUMPRODUCT((H123:S123 &gt; 50000) * (H123:S123 * 0.1))</f>
        <v/>
      </c>
      <c r="I131" s="185">
        <f>SUMPRODUCT((I123:T123 &gt; 50000) * (I123:T123 * 0.1))</f>
        <v/>
      </c>
      <c r="J131" s="185">
        <f>SUMPRODUCT((J123:U123 &gt; 50000) * (J123:U123 * 0.1))</f>
        <v/>
      </c>
      <c r="K131" s="185">
        <f>SUMPRODUCT((K123:V123 &gt; 50000) * (K123:V123 * 0.1))</f>
        <v/>
      </c>
      <c r="L131" s="185">
        <f>SUMPRODUCT((L123:W123 &gt; 50000) * (L123:W123 * 0.1))</f>
        <v/>
      </c>
      <c r="M131" s="185">
        <f>SUMPRODUCT((M123:X123 &gt; 50000) * (M123:X123 * 0.1))</f>
        <v/>
      </c>
      <c r="N131" s="185">
        <f>SUMPRODUCT((N123:Y123 &gt; 50000) * (N123:Y123 * 0.1))</f>
        <v/>
      </c>
      <c r="O131" s="205">
        <f>SUM(C131:N131)</f>
        <v/>
      </c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.75" customHeight="1" s="673">
      <c r="A132" s="10" t="n"/>
      <c r="B132" s="207" t="inlineStr">
        <is>
          <t>IRRF ALUGUÉIS</t>
        </is>
      </c>
      <c r="C132" s="185" t="n"/>
      <c r="D132" s="185" t="n"/>
      <c r="E132" s="185" t="n"/>
      <c r="F132" s="185" t="n"/>
      <c r="G132" s="185" t="n"/>
      <c r="H132" s="185" t="n"/>
      <c r="I132" s="185" t="n"/>
      <c r="J132" s="185" t="n"/>
      <c r="K132" s="185" t="n"/>
      <c r="L132" s="185" t="n"/>
      <c r="M132" s="185" t="n"/>
      <c r="N132" s="185" t="n"/>
      <c r="O132" s="205">
        <f>SUM(C132:N132)</f>
        <v/>
      </c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.75" customHeight="1" s="673">
      <c r="A133" s="10" t="n"/>
      <c r="B133" s="207" t="inlineStr">
        <is>
          <t xml:space="preserve">IRRF PRÓ-LABORE/RENDIMENTOS ASSALARIADOS </t>
        </is>
      </c>
      <c r="C133" s="185" t="n"/>
      <c r="D133" s="185" t="n"/>
      <c r="E133" s="185" t="n"/>
      <c r="F133" s="185" t="n"/>
      <c r="G133" s="185" t="n"/>
      <c r="H133" s="185" t="n"/>
      <c r="I133" s="185" t="n"/>
      <c r="J133" s="185" t="n"/>
      <c r="K133" s="185" t="n"/>
      <c r="L133" s="185" t="n"/>
      <c r="M133" s="185" t="n"/>
      <c r="N133" s="185" t="n"/>
      <c r="O133" s="205">
        <f>SUM(C133:N133)</f>
        <v/>
      </c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.75" customHeight="1" s="673">
      <c r="A134" s="10" t="n"/>
      <c r="B134" s="207" t="inlineStr">
        <is>
          <t xml:space="preserve">IRRF RENDIMENTOS DE APLICAÇÕES FINANCEIRAS </t>
        </is>
      </c>
      <c r="C134" s="185" t="n"/>
      <c r="D134" s="185" t="n"/>
      <c r="E134" s="185" t="n"/>
      <c r="F134" s="185" t="n"/>
      <c r="G134" s="185" t="n"/>
      <c r="H134" s="185" t="n"/>
      <c r="I134" s="185" t="n"/>
      <c r="J134" s="185" t="n"/>
      <c r="K134" s="185" t="n"/>
      <c r="L134" s="185" t="n"/>
      <c r="M134" s="185" t="n"/>
      <c r="N134" s="185" t="n"/>
      <c r="O134" s="205">
        <f>SUM(C134:N134)</f>
        <v/>
      </c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.75" customHeight="1" s="673">
      <c r="A135" s="187" t="n"/>
      <c r="B135" s="207" t="inlineStr">
        <is>
          <t>IRRF OPERAÇÕES BOLSA</t>
        </is>
      </c>
      <c r="C135" s="185" t="n"/>
      <c r="D135" s="185" t="n"/>
      <c r="E135" s="185" t="n"/>
      <c r="F135" s="185" t="n"/>
      <c r="G135" s="185" t="n"/>
      <c r="H135" s="185" t="n"/>
      <c r="I135" s="185" t="n"/>
      <c r="J135" s="185" t="n"/>
      <c r="K135" s="185" t="n"/>
      <c r="L135" s="185" t="n"/>
      <c r="M135" s="185" t="n"/>
      <c r="N135" s="185" t="n"/>
      <c r="O135" s="205">
        <f>SUM(C135:N135)</f>
        <v/>
      </c>
      <c r="P135" s="188" t="n"/>
      <c r="Q135" s="188" t="n"/>
      <c r="R135" s="188" t="n"/>
      <c r="S135" s="188" t="n"/>
      <c r="T135" s="188" t="n"/>
      <c r="U135" s="188" t="n"/>
      <c r="V135" s="188" t="n"/>
      <c r="W135" s="188" t="n"/>
      <c r="X135" s="188" t="n"/>
      <c r="Y135" s="188" t="n"/>
      <c r="Z135" s="188" t="n"/>
    </row>
    <row r="136" ht="15.75" customHeight="1" s="673">
      <c r="A136" s="187" t="n"/>
      <c r="B136" s="208" t="inlineStr">
        <is>
          <t>RESULTADO</t>
        </is>
      </c>
      <c r="C136" s="209">
        <f>C122-C130</f>
        <v/>
      </c>
      <c r="D136" s="209">
        <f>D122-D130</f>
        <v/>
      </c>
      <c r="E136" s="209">
        <f>E122-E130</f>
        <v/>
      </c>
      <c r="F136" s="209">
        <f>F122-F130</f>
        <v/>
      </c>
      <c r="G136" s="209">
        <f>G122-G130</f>
        <v/>
      </c>
      <c r="H136" s="209">
        <f>H122-H130</f>
        <v/>
      </c>
      <c r="I136" s="209">
        <f>I122-I130</f>
        <v/>
      </c>
      <c r="J136" s="209">
        <f>J122-J130</f>
        <v/>
      </c>
      <c r="K136" s="209">
        <f>K122-K130</f>
        <v/>
      </c>
      <c r="L136" s="209">
        <f>L122-L130</f>
        <v/>
      </c>
      <c r="M136" s="209">
        <f>M122-M130</f>
        <v/>
      </c>
      <c r="N136" s="209">
        <f>N122-N130</f>
        <v/>
      </c>
      <c r="O136" s="210">
        <f>SUM(C136:N136)</f>
        <v/>
      </c>
      <c r="P136" s="188" t="n"/>
      <c r="Q136" s="188" t="n"/>
      <c r="R136" s="188" t="n"/>
      <c r="S136" s="188" t="n"/>
      <c r="T136" s="188" t="n"/>
      <c r="U136" s="188" t="n"/>
      <c r="V136" s="188" t="n"/>
      <c r="W136" s="188" t="n"/>
      <c r="X136" s="188" t="n"/>
      <c r="Y136" s="188" t="n"/>
      <c r="Z136" s="188" t="n"/>
    </row>
    <row r="137" ht="15.75" customHeight="1" s="673">
      <c r="A137" s="187" t="n">
        <v>8</v>
      </c>
      <c r="B137" s="685">
        <f>RESULTADO!B35</f>
        <v/>
      </c>
      <c r="C137" s="675" t="n"/>
      <c r="D137" s="675" t="n"/>
      <c r="E137" s="675" t="n"/>
      <c r="F137" s="196" t="n"/>
      <c r="G137" s="196" t="n"/>
      <c r="H137" s="196" t="n"/>
      <c r="I137" s="196" t="n"/>
      <c r="J137" s="196" t="n"/>
      <c r="K137" s="196" t="n"/>
      <c r="L137" s="196" t="n"/>
      <c r="M137" s="196" t="n"/>
      <c r="N137" s="196" t="n"/>
      <c r="O137" s="196" t="n"/>
      <c r="P137" s="188" t="n"/>
      <c r="Q137" s="188" t="n"/>
      <c r="R137" s="188" t="n"/>
      <c r="S137" s="188" t="n"/>
      <c r="T137" s="188" t="n"/>
      <c r="U137" s="188" t="n"/>
      <c r="V137" s="188" t="n"/>
      <c r="W137" s="188" t="n"/>
      <c r="X137" s="188" t="n"/>
      <c r="Y137" s="188" t="n"/>
      <c r="Z137" s="188" t="n"/>
    </row>
    <row r="138" ht="15.75" customHeight="1" s="673">
      <c r="A138" s="187" t="n"/>
      <c r="B138" s="197" t="n"/>
      <c r="C138" s="198" t="n"/>
      <c r="D138" s="199" t="n"/>
      <c r="E138" s="196" t="n"/>
      <c r="F138" s="196" t="n"/>
      <c r="G138" s="196" t="n"/>
      <c r="H138" s="196" t="n"/>
      <c r="I138" s="196" t="n"/>
      <c r="J138" s="196" t="n"/>
      <c r="K138" s="196" t="n"/>
      <c r="L138" s="196" t="n"/>
      <c r="M138" s="196" t="n"/>
      <c r="N138" s="196" t="n"/>
      <c r="O138" s="196" t="n"/>
      <c r="P138" s="188" t="n"/>
      <c r="Q138" s="188" t="n"/>
      <c r="R138" s="188" t="n"/>
      <c r="S138" s="188" t="n"/>
      <c r="T138" s="188" t="n"/>
      <c r="U138" s="188" t="n"/>
      <c r="V138" s="188" t="n"/>
      <c r="W138" s="188" t="n"/>
      <c r="X138" s="188" t="n"/>
      <c r="Y138" s="188" t="n"/>
      <c r="Z138" s="188" t="n"/>
    </row>
    <row r="139" ht="15.75" customHeight="1" s="673">
      <c r="A139" s="187" t="n"/>
      <c r="B139" s="200" t="n">
        <v>2026</v>
      </c>
      <c r="C139" s="201" t="inlineStr">
        <is>
          <t>JANEIRO</t>
        </is>
      </c>
      <c r="D139" s="201" t="inlineStr">
        <is>
          <t>FEVEREIRO</t>
        </is>
      </c>
      <c r="E139" s="201" t="inlineStr">
        <is>
          <t>MARÇO</t>
        </is>
      </c>
      <c r="F139" s="201" t="inlineStr">
        <is>
          <t>ABRIL</t>
        </is>
      </c>
      <c r="G139" s="201" t="inlineStr">
        <is>
          <t>MAIO</t>
        </is>
      </c>
      <c r="H139" s="201" t="inlineStr">
        <is>
          <t>JUNHO</t>
        </is>
      </c>
      <c r="I139" s="201" t="inlineStr">
        <is>
          <t>JULHO</t>
        </is>
      </c>
      <c r="J139" s="201" t="inlineStr">
        <is>
          <t>AGOSTO</t>
        </is>
      </c>
      <c r="K139" s="201" t="inlineStr">
        <is>
          <t>SETEMBRO</t>
        </is>
      </c>
      <c r="L139" s="201" t="inlineStr">
        <is>
          <t>OUTUBRO</t>
        </is>
      </c>
      <c r="M139" s="201" t="inlineStr">
        <is>
          <t>NOVEMBRO</t>
        </is>
      </c>
      <c r="N139" s="201" t="inlineStr">
        <is>
          <t>DEZEMBRO</t>
        </is>
      </c>
      <c r="O139" s="200" t="inlineStr">
        <is>
          <t>TOTAL</t>
        </is>
      </c>
      <c r="P139" s="188" t="n"/>
      <c r="Q139" s="188" t="n"/>
      <c r="R139" s="188" t="n"/>
      <c r="S139" s="188" t="n"/>
      <c r="T139" s="188" t="n"/>
      <c r="U139" s="188" t="n"/>
      <c r="V139" s="188" t="n"/>
      <c r="W139" s="188" t="n"/>
      <c r="X139" s="188" t="n"/>
      <c r="Y139" s="188" t="n"/>
      <c r="Z139" s="188" t="n"/>
    </row>
    <row r="140" ht="15.75" customHeight="1" s="673">
      <c r="A140" s="10" t="n"/>
      <c r="B140" s="202" t="inlineStr">
        <is>
          <t xml:space="preserve">RENDIMENTOS </t>
        </is>
      </c>
      <c r="C140" s="181">
        <f>SUM(C141:C147)</f>
        <v/>
      </c>
      <c r="D140" s="181">
        <f>SUM(D141:D147)</f>
        <v/>
      </c>
      <c r="E140" s="181">
        <f>SUM(E141:E147)</f>
        <v/>
      </c>
      <c r="F140" s="181">
        <f>SUM(F141:F147)</f>
        <v/>
      </c>
      <c r="G140" s="181">
        <f>SUM(G141:G147)</f>
        <v/>
      </c>
      <c r="H140" s="181">
        <f>SUM(H141:H147)</f>
        <v/>
      </c>
      <c r="I140" s="181">
        <f>SUM(I141:I147)</f>
        <v/>
      </c>
      <c r="J140" s="181">
        <f>SUM(J141:J147)</f>
        <v/>
      </c>
      <c r="K140" s="181">
        <f>SUM(K141:K147)</f>
        <v/>
      </c>
      <c r="L140" s="181">
        <f>SUM(L141:L147)</f>
        <v/>
      </c>
      <c r="M140" s="181">
        <f>SUM(M141:M147)</f>
        <v/>
      </c>
      <c r="N140" s="181">
        <f>SUM(N141:N147)</f>
        <v/>
      </c>
      <c r="O140" s="182">
        <f>SUM(C140:N140)</f>
        <v/>
      </c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.75" customHeight="1" s="673">
      <c r="A141" s="10" t="n"/>
      <c r="B141" s="203" t="inlineStr">
        <is>
          <t>DIVIDENDOS</t>
        </is>
      </c>
      <c r="C141" s="185" t="n"/>
      <c r="D141" s="185" t="n"/>
      <c r="E141" s="185" t="n"/>
      <c r="F141" s="185" t="n"/>
      <c r="G141" s="185" t="n"/>
      <c r="H141" s="185" t="n"/>
      <c r="I141" s="185" t="n"/>
      <c r="J141" s="185" t="n"/>
      <c r="K141" s="185" t="n"/>
      <c r="L141" s="185" t="n"/>
      <c r="M141" s="185" t="n"/>
      <c r="N141" s="185" t="n"/>
      <c r="O141" s="186">
        <f>SUM(C141:N141)</f>
        <v/>
      </c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.75" customHeight="1" s="673">
      <c r="A142" s="10" t="n"/>
      <c r="B142" s="203" t="inlineStr">
        <is>
          <t>ALUGUÉIS</t>
        </is>
      </c>
      <c r="C142" s="185" t="n"/>
      <c r="D142" s="185" t="n"/>
      <c r="E142" s="185" t="n"/>
      <c r="F142" s="185" t="n"/>
      <c r="G142" s="185" t="n"/>
      <c r="H142" s="185" t="n"/>
      <c r="I142" s="185" t="n"/>
      <c r="J142" s="185" t="n"/>
      <c r="K142" s="185" t="n"/>
      <c r="L142" s="185" t="n"/>
      <c r="M142" s="185" t="n"/>
      <c r="N142" s="185" t="n"/>
      <c r="O142" s="186">
        <f>SUM(C142:N142)</f>
        <v/>
      </c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.75" customHeight="1" s="673">
      <c r="A143" s="10" t="n"/>
      <c r="B143" s="203" t="inlineStr">
        <is>
          <t>PRÓ-LABORE/RENDIMENTOS ASSALARIADOS</t>
        </is>
      </c>
      <c r="C143" s="185" t="n"/>
      <c r="D143" s="185" t="n"/>
      <c r="E143" s="185" t="n"/>
      <c r="F143" s="185" t="n"/>
      <c r="G143" s="185" t="n"/>
      <c r="H143" s="185" t="n"/>
      <c r="I143" s="185" t="n"/>
      <c r="J143" s="185" t="n"/>
      <c r="K143" s="185" t="n"/>
      <c r="L143" s="185" t="n"/>
      <c r="M143" s="185" t="n"/>
      <c r="N143" s="185" t="n"/>
      <c r="O143" s="186">
        <f>SUM(C143:N143)</f>
        <v/>
      </c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.75" customHeight="1" s="673">
      <c r="A144" s="10" t="n"/>
      <c r="B144" s="203" t="inlineStr">
        <is>
          <t>RENDIMENTOS DE APLICAÇÕES FINANCEIRAS (TRIBUTÁVEIS/CDB/AÇÕES)</t>
        </is>
      </c>
      <c r="C144" s="185" t="n"/>
      <c r="D144" s="185" t="n"/>
      <c r="E144" s="185" t="n"/>
      <c r="F144" s="185" t="n"/>
      <c r="G144" s="185" t="n"/>
      <c r="H144" s="185" t="n"/>
      <c r="I144" s="185" t="n"/>
      <c r="J144" s="185" t="n"/>
      <c r="K144" s="185" t="n"/>
      <c r="L144" s="185" t="n"/>
      <c r="M144" s="185" t="n"/>
      <c r="N144" s="185" t="n"/>
      <c r="O144" s="186">
        <f>SUM(C144:N144)</f>
        <v/>
      </c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.75" customHeight="1" s="673">
      <c r="A145" s="10" t="n"/>
      <c r="B145" s="203" t="inlineStr">
        <is>
          <t>RENDIMENTOS PROTEGIDOS (LCI/LCA/POUPANÇA)</t>
        </is>
      </c>
      <c r="C145" s="185" t="n"/>
      <c r="D145" s="185" t="n"/>
      <c r="E145" s="185" t="n"/>
      <c r="F145" s="185" t="n"/>
      <c r="G145" s="185" t="n"/>
      <c r="H145" s="185" t="n"/>
      <c r="I145" s="185" t="n"/>
      <c r="J145" s="185" t="n"/>
      <c r="K145" s="185" t="n"/>
      <c r="L145" s="185" t="n"/>
      <c r="M145" s="185" t="n"/>
      <c r="N145" s="185" t="n"/>
      <c r="O145" s="186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.75" customHeight="1" s="673">
      <c r="A146" s="10" t="n"/>
      <c r="B146" s="203" t="inlineStr">
        <is>
          <t>DOAÇÕES RECEBIDAS</t>
        </is>
      </c>
      <c r="C146" s="185" t="n"/>
      <c r="D146" s="185" t="n"/>
      <c r="E146" s="185" t="n"/>
      <c r="F146" s="185" t="n"/>
      <c r="G146" s="185" t="n"/>
      <c r="H146" s="185" t="n"/>
      <c r="I146" s="185" t="n"/>
      <c r="J146" s="185" t="n"/>
      <c r="K146" s="185" t="n"/>
      <c r="L146" s="185" t="n"/>
      <c r="M146" s="185" t="n"/>
      <c r="N146" s="185" t="n"/>
      <c r="O146" s="186">
        <f>SUM(C146:N146)</f>
        <v/>
      </c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.75" customHeight="1" s="673">
      <c r="A147" s="10" t="n"/>
      <c r="B147" s="203" t="inlineStr">
        <is>
          <t>GANHO DE CAPITAL (OPERAÇÕES BOLSA)</t>
        </is>
      </c>
      <c r="C147" s="185" t="n"/>
      <c r="D147" s="185" t="n"/>
      <c r="E147" s="185" t="n"/>
      <c r="F147" s="185" t="n"/>
      <c r="G147" s="185" t="n"/>
      <c r="H147" s="185" t="n"/>
      <c r="I147" s="185" t="n"/>
      <c r="J147" s="185" t="n"/>
      <c r="K147" s="185" t="n"/>
      <c r="L147" s="185" t="n"/>
      <c r="M147" s="185" t="n"/>
      <c r="N147" s="185" t="n"/>
      <c r="O147" s="186">
        <f>SUM(C147:N147)</f>
        <v/>
      </c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.75" customHeight="1" s="673">
      <c r="A148" s="10" t="n"/>
      <c r="B148" s="204" t="inlineStr">
        <is>
          <t>RETENÇÕES</t>
        </is>
      </c>
      <c r="C148" s="205">
        <f>SUM(C149:C153)</f>
        <v/>
      </c>
      <c r="D148" s="205">
        <f>SUM(D149:D153)</f>
        <v/>
      </c>
      <c r="E148" s="205">
        <f>SUM(E149:E153)</f>
        <v/>
      </c>
      <c r="F148" s="205">
        <f>SUM(F149:F153)</f>
        <v/>
      </c>
      <c r="G148" s="205">
        <f>SUM(G149:G153)</f>
        <v/>
      </c>
      <c r="H148" s="205">
        <f>SUM(H149:H153)</f>
        <v/>
      </c>
      <c r="I148" s="205">
        <f>SUM(I149:I153)</f>
        <v/>
      </c>
      <c r="J148" s="205">
        <f>SUM(J149:J153)</f>
        <v/>
      </c>
      <c r="K148" s="205">
        <f>SUM(K149:K153)</f>
        <v/>
      </c>
      <c r="L148" s="205">
        <f>SUM(L149:L153)</f>
        <v/>
      </c>
      <c r="M148" s="205">
        <f>SUM(M149:M153)</f>
        <v/>
      </c>
      <c r="N148" s="205">
        <f>SUM(N149:N153)</f>
        <v/>
      </c>
      <c r="O148" s="206">
        <f>SUM(C148:N148)</f>
        <v/>
      </c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.75" customHeight="1" s="673">
      <c r="A149" s="10" t="n"/>
      <c r="B149" s="207" t="inlineStr">
        <is>
          <t>IRRF DIVIDENDOS</t>
        </is>
      </c>
      <c r="C149" s="185">
        <f>SUMPRODUCT((C141:N141 &gt; 50000) * (C141:N141 * 0.1))</f>
        <v/>
      </c>
      <c r="D149" s="185">
        <f>SUMPRODUCT((D141:O141 &gt; 50000) * (D141:O141 * 0.1))</f>
        <v/>
      </c>
      <c r="E149" s="185">
        <f>SUMPRODUCT((E141:P141 &gt; 50000) * (E141:P141 * 0.1))</f>
        <v/>
      </c>
      <c r="F149" s="185">
        <f>SUMPRODUCT((F141:Q141 &gt; 50000) * (F141:Q141 * 0.1))</f>
        <v/>
      </c>
      <c r="G149" s="185">
        <f>SUMPRODUCT((G141:R141 &gt; 50000) * (G141:R141 * 0.1))</f>
        <v/>
      </c>
      <c r="H149" s="185">
        <f>SUMPRODUCT((H141:S141 &gt; 50000) * (H141:S141 * 0.1))</f>
        <v/>
      </c>
      <c r="I149" s="185">
        <f>SUMPRODUCT((I141:T141 &gt; 50000) * (I141:T141 * 0.1))</f>
        <v/>
      </c>
      <c r="J149" s="185">
        <f>SUMPRODUCT((J141:U141 &gt; 50000) * (J141:U141 * 0.1))</f>
        <v/>
      </c>
      <c r="K149" s="185">
        <f>SUMPRODUCT((K141:V141 &gt; 50000) * (K141:V141 * 0.1))</f>
        <v/>
      </c>
      <c r="L149" s="185">
        <f>SUMPRODUCT((L141:W141 &gt; 50000) * (L141:W141 * 0.1))</f>
        <v/>
      </c>
      <c r="M149" s="185">
        <f>SUMPRODUCT((M141:X141 &gt; 50000) * (M141:X141 * 0.1))</f>
        <v/>
      </c>
      <c r="N149" s="185">
        <f>SUMPRODUCT((N141:Y141 &gt; 50000) * (N141:Y141 * 0.1))</f>
        <v/>
      </c>
      <c r="O149" s="205">
        <f>SUM(C149:N149)</f>
        <v/>
      </c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.75" customHeight="1" s="673">
      <c r="A150" s="10" t="n"/>
      <c r="B150" s="207" t="inlineStr">
        <is>
          <t>IRRF ALUGUÉIS</t>
        </is>
      </c>
      <c r="C150" s="185" t="n"/>
      <c r="D150" s="185" t="n"/>
      <c r="E150" s="185" t="n"/>
      <c r="F150" s="185" t="n"/>
      <c r="G150" s="185" t="n"/>
      <c r="H150" s="185" t="n"/>
      <c r="I150" s="185" t="n"/>
      <c r="J150" s="185" t="n"/>
      <c r="K150" s="185" t="n"/>
      <c r="L150" s="185" t="n"/>
      <c r="M150" s="185" t="n"/>
      <c r="N150" s="185" t="n"/>
      <c r="O150" s="205">
        <f>SUM(C150:N150)</f>
        <v/>
      </c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.75" customHeight="1" s="673">
      <c r="A151" s="10" t="n"/>
      <c r="B151" s="207" t="inlineStr">
        <is>
          <t xml:space="preserve">IRRF PRÓ-LABORE/RENDIMENTOS ASSALARIADOS </t>
        </is>
      </c>
      <c r="C151" s="185" t="n"/>
      <c r="D151" s="185" t="n"/>
      <c r="E151" s="185" t="n"/>
      <c r="F151" s="185" t="n"/>
      <c r="G151" s="185" t="n"/>
      <c r="H151" s="185" t="n"/>
      <c r="I151" s="185" t="n"/>
      <c r="J151" s="185" t="n"/>
      <c r="K151" s="185" t="n"/>
      <c r="L151" s="185" t="n"/>
      <c r="M151" s="185" t="n"/>
      <c r="N151" s="185" t="n"/>
      <c r="O151" s="205">
        <f>SUM(C151:N151)</f>
        <v/>
      </c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.75" customHeight="1" s="673">
      <c r="A152" s="10" t="n"/>
      <c r="B152" s="207" t="inlineStr">
        <is>
          <t xml:space="preserve">IRRF RENDIMENTOS DE APLICAÇÕES FINANCEIRAS </t>
        </is>
      </c>
      <c r="C152" s="185" t="n"/>
      <c r="D152" s="185" t="n"/>
      <c r="E152" s="185" t="n"/>
      <c r="F152" s="185" t="n"/>
      <c r="G152" s="185" t="n"/>
      <c r="H152" s="185" t="n"/>
      <c r="I152" s="185" t="n"/>
      <c r="J152" s="185" t="n"/>
      <c r="K152" s="185" t="n"/>
      <c r="L152" s="185" t="n"/>
      <c r="M152" s="185" t="n"/>
      <c r="N152" s="185" t="n"/>
      <c r="O152" s="205">
        <f>SUM(C152:N152)</f>
        <v/>
      </c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.75" customHeight="1" s="673">
      <c r="A153" s="187" t="n"/>
      <c r="B153" s="207" t="inlineStr">
        <is>
          <t>IRRF OPERAÇÕES BOLSA</t>
        </is>
      </c>
      <c r="C153" s="185" t="n"/>
      <c r="D153" s="185" t="n"/>
      <c r="E153" s="185" t="n"/>
      <c r="F153" s="185" t="n"/>
      <c r="G153" s="185" t="n"/>
      <c r="H153" s="185" t="n"/>
      <c r="I153" s="185" t="n"/>
      <c r="J153" s="185" t="n"/>
      <c r="K153" s="185" t="n"/>
      <c r="L153" s="185" t="n"/>
      <c r="M153" s="185" t="n"/>
      <c r="N153" s="185" t="n"/>
      <c r="O153" s="205">
        <f>SUM(C153:N153)</f>
        <v/>
      </c>
      <c r="P153" s="188" t="n"/>
      <c r="Q153" s="188" t="n"/>
      <c r="R153" s="188" t="n"/>
      <c r="S153" s="188" t="n"/>
      <c r="T153" s="188" t="n"/>
      <c r="U153" s="188" t="n"/>
      <c r="V153" s="188" t="n"/>
      <c r="W153" s="188" t="n"/>
      <c r="X153" s="188" t="n"/>
      <c r="Y153" s="188" t="n"/>
      <c r="Z153" s="188" t="n"/>
    </row>
    <row r="154" ht="15.75" customHeight="1" s="673">
      <c r="A154" s="187" t="n"/>
      <c r="B154" s="208" t="inlineStr">
        <is>
          <t>RESULTADO</t>
        </is>
      </c>
      <c r="C154" s="209">
        <f>C140-C148</f>
        <v/>
      </c>
      <c r="D154" s="209">
        <f>D140-D148</f>
        <v/>
      </c>
      <c r="E154" s="209">
        <f>E140-E148</f>
        <v/>
      </c>
      <c r="F154" s="209">
        <f>F140-F148</f>
        <v/>
      </c>
      <c r="G154" s="209">
        <f>G140-G148</f>
        <v/>
      </c>
      <c r="H154" s="209">
        <f>H140-H148</f>
        <v/>
      </c>
      <c r="I154" s="209">
        <f>I140-I148</f>
        <v/>
      </c>
      <c r="J154" s="209">
        <f>J140-J148</f>
        <v/>
      </c>
      <c r="K154" s="209">
        <f>K140-K148</f>
        <v/>
      </c>
      <c r="L154" s="209">
        <f>L140-L148</f>
        <v/>
      </c>
      <c r="M154" s="209">
        <f>M140-M148</f>
        <v/>
      </c>
      <c r="N154" s="209">
        <f>N140-N148</f>
        <v/>
      </c>
      <c r="O154" s="210">
        <f>SUM(C154:N154)</f>
        <v/>
      </c>
      <c r="P154" s="188" t="n"/>
      <c r="Q154" s="188" t="n"/>
      <c r="R154" s="188" t="n"/>
      <c r="S154" s="188" t="n"/>
      <c r="T154" s="188" t="n"/>
      <c r="U154" s="188" t="n"/>
      <c r="V154" s="188" t="n"/>
      <c r="W154" s="188" t="n"/>
      <c r="X154" s="188" t="n"/>
      <c r="Y154" s="188" t="n"/>
      <c r="Z154" s="188" t="n"/>
    </row>
    <row r="155" ht="15.75" customHeight="1" s="673">
      <c r="A155" s="187" t="n"/>
      <c r="B155" s="188" t="n"/>
      <c r="C155" s="188" t="n"/>
      <c r="D155" s="188" t="n"/>
      <c r="E155" s="188" t="n"/>
      <c r="F155" s="188" t="n"/>
      <c r="G155" s="188" t="n"/>
      <c r="H155" s="188" t="n"/>
      <c r="I155" s="188" t="n"/>
      <c r="J155" s="188" t="n"/>
      <c r="K155" s="188" t="n"/>
      <c r="L155" s="188" t="n"/>
      <c r="M155" s="188" t="n"/>
      <c r="N155" s="188" t="n"/>
      <c r="O155" s="188" t="n"/>
      <c r="P155" s="188" t="n"/>
      <c r="Q155" s="188" t="n"/>
      <c r="R155" s="188" t="n"/>
      <c r="S155" s="188" t="n"/>
      <c r="T155" s="188" t="n"/>
      <c r="U155" s="188" t="n"/>
      <c r="V155" s="188" t="n"/>
      <c r="W155" s="188" t="n"/>
      <c r="X155" s="188" t="n"/>
      <c r="Y155" s="188" t="n"/>
      <c r="Z155" s="188" t="n"/>
    </row>
    <row r="156" ht="15.75" customHeight="1" s="673">
      <c r="A156" s="187" t="n"/>
      <c r="B156" s="188" t="n"/>
      <c r="C156" s="188" t="n"/>
      <c r="D156" s="188" t="n"/>
      <c r="E156" s="188" t="n"/>
      <c r="F156" s="188" t="n"/>
      <c r="G156" s="188" t="n"/>
      <c r="H156" s="188" t="n"/>
      <c r="I156" s="188" t="n"/>
      <c r="J156" s="188" t="n"/>
      <c r="K156" s="188" t="n"/>
      <c r="L156" s="188" t="n"/>
      <c r="M156" s="188" t="n"/>
      <c r="N156" s="188" t="n"/>
      <c r="O156" s="188" t="n"/>
      <c r="P156" s="188" t="n"/>
      <c r="Q156" s="188" t="n"/>
      <c r="R156" s="188" t="n"/>
      <c r="S156" s="188" t="n"/>
      <c r="T156" s="188" t="n"/>
      <c r="U156" s="188" t="n"/>
      <c r="V156" s="188" t="n"/>
      <c r="W156" s="188" t="n"/>
      <c r="X156" s="188" t="n"/>
      <c r="Y156" s="188" t="n"/>
      <c r="Z156" s="188" t="n"/>
    </row>
    <row r="157" ht="15.75" customHeight="1" s="673">
      <c r="A157" s="187" t="n"/>
      <c r="B157" s="188" t="n"/>
      <c r="C157" s="188" t="n"/>
      <c r="D157" s="188" t="n"/>
      <c r="E157" s="188" t="n"/>
      <c r="F157" s="188" t="n"/>
      <c r="G157" s="188" t="n"/>
      <c r="H157" s="188" t="n"/>
      <c r="I157" s="188" t="n"/>
      <c r="J157" s="188" t="n"/>
      <c r="K157" s="188" t="n"/>
      <c r="L157" s="188" t="n"/>
      <c r="M157" s="188" t="n"/>
      <c r="N157" s="188" t="n"/>
      <c r="O157" s="188" t="n"/>
      <c r="P157" s="188" t="n"/>
      <c r="Q157" s="188" t="n"/>
      <c r="R157" s="188" t="n"/>
      <c r="S157" s="188" t="n"/>
      <c r="T157" s="188" t="n"/>
      <c r="U157" s="188" t="n"/>
      <c r="V157" s="188" t="n"/>
      <c r="W157" s="188" t="n"/>
      <c r="X157" s="188" t="n"/>
      <c r="Y157" s="188" t="n"/>
      <c r="Z157" s="188" t="n"/>
    </row>
    <row r="158" ht="15.75" customHeight="1" s="673">
      <c r="A158" s="187" t="n"/>
      <c r="B158" s="188" t="n"/>
      <c r="C158" s="188" t="n"/>
      <c r="D158" s="188" t="n"/>
      <c r="E158" s="188" t="n"/>
      <c r="F158" s="188" t="n"/>
      <c r="G158" s="188" t="n"/>
      <c r="H158" s="188" t="n"/>
      <c r="I158" s="188" t="n"/>
      <c r="J158" s="188" t="n"/>
      <c r="K158" s="188" t="n"/>
      <c r="L158" s="188" t="n"/>
      <c r="M158" s="188" t="n"/>
      <c r="N158" s="188" t="n"/>
      <c r="O158" s="188" t="n"/>
      <c r="P158" s="188" t="n"/>
      <c r="Q158" s="188" t="n"/>
      <c r="R158" s="188" t="n"/>
      <c r="S158" s="188" t="n"/>
      <c r="T158" s="188" t="n"/>
      <c r="U158" s="188" t="n"/>
      <c r="V158" s="188" t="n"/>
      <c r="W158" s="188" t="n"/>
      <c r="X158" s="188" t="n"/>
      <c r="Y158" s="188" t="n"/>
      <c r="Z158" s="188" t="n"/>
    </row>
    <row r="159" ht="15.75" customHeight="1" s="673">
      <c r="A159" s="187" t="n"/>
      <c r="B159" s="188" t="n"/>
      <c r="C159" s="188" t="n"/>
      <c r="D159" s="188" t="n"/>
      <c r="E159" s="188" t="n"/>
      <c r="F159" s="188" t="n"/>
      <c r="G159" s="188" t="n"/>
      <c r="H159" s="188" t="n"/>
      <c r="I159" s="188" t="n"/>
      <c r="J159" s="188" t="n"/>
      <c r="K159" s="188" t="n"/>
      <c r="L159" s="188" t="n"/>
      <c r="M159" s="188" t="n"/>
      <c r="N159" s="188" t="n"/>
      <c r="O159" s="188" t="n"/>
      <c r="P159" s="188" t="n"/>
      <c r="Q159" s="188" t="n"/>
      <c r="R159" s="188" t="n"/>
      <c r="S159" s="188" t="n"/>
      <c r="T159" s="188" t="n"/>
      <c r="U159" s="188" t="n"/>
      <c r="V159" s="188" t="n"/>
      <c r="W159" s="188" t="n"/>
      <c r="X159" s="188" t="n"/>
      <c r="Y159" s="188" t="n"/>
      <c r="Z159" s="188" t="n"/>
    </row>
    <row r="160" ht="15.75" customHeight="1" s="673">
      <c r="A160" s="187" t="n"/>
      <c r="B160" s="188" t="n"/>
      <c r="C160" s="188" t="n"/>
      <c r="D160" s="188" t="n"/>
      <c r="E160" s="188" t="n"/>
      <c r="F160" s="188" t="n"/>
      <c r="G160" s="188" t="n"/>
      <c r="H160" s="188" t="n"/>
      <c r="I160" s="188" t="n"/>
      <c r="J160" s="188" t="n"/>
      <c r="K160" s="188" t="n"/>
      <c r="L160" s="188" t="n"/>
      <c r="M160" s="188" t="n"/>
      <c r="N160" s="188" t="n"/>
      <c r="O160" s="188" t="n"/>
      <c r="P160" s="188" t="n"/>
      <c r="Q160" s="188" t="n"/>
      <c r="R160" s="188" t="n"/>
      <c r="S160" s="188" t="n"/>
      <c r="T160" s="188" t="n"/>
      <c r="U160" s="188" t="n"/>
      <c r="V160" s="188" t="n"/>
      <c r="W160" s="188" t="n"/>
      <c r="X160" s="188" t="n"/>
      <c r="Y160" s="188" t="n"/>
      <c r="Z160" s="188" t="n"/>
    </row>
    <row r="161" ht="15.75" customHeight="1" s="673">
      <c r="A161" s="187" t="n"/>
      <c r="B161" s="188" t="n"/>
      <c r="C161" s="188" t="n"/>
      <c r="D161" s="188" t="n"/>
      <c r="E161" s="188" t="n"/>
      <c r="F161" s="188" t="n"/>
      <c r="G161" s="188" t="n"/>
      <c r="H161" s="188" t="n"/>
      <c r="I161" s="188" t="n"/>
      <c r="J161" s="188" t="n"/>
      <c r="K161" s="188" t="n"/>
      <c r="L161" s="188" t="n"/>
      <c r="M161" s="188" t="n"/>
      <c r="N161" s="188" t="n"/>
      <c r="O161" s="188" t="n"/>
      <c r="P161" s="188" t="n"/>
      <c r="Q161" s="188" t="n"/>
      <c r="R161" s="188" t="n"/>
      <c r="S161" s="188" t="n"/>
      <c r="T161" s="188" t="n"/>
      <c r="U161" s="188" t="n"/>
      <c r="V161" s="188" t="n"/>
      <c r="W161" s="188" t="n"/>
      <c r="X161" s="188" t="n"/>
      <c r="Y161" s="188" t="n"/>
      <c r="Z161" s="188" t="n"/>
    </row>
    <row r="162" ht="15.75" customHeight="1" s="673">
      <c r="A162" s="187" t="n"/>
      <c r="B162" s="188" t="n"/>
      <c r="C162" s="188" t="n"/>
      <c r="D162" s="188" t="n"/>
      <c r="E162" s="188" t="n"/>
      <c r="F162" s="188" t="n"/>
      <c r="G162" s="188" t="n"/>
      <c r="H162" s="188" t="n"/>
      <c r="I162" s="188" t="n"/>
      <c r="J162" s="188" t="n"/>
      <c r="K162" s="188" t="n"/>
      <c r="L162" s="188" t="n"/>
      <c r="M162" s="188" t="n"/>
      <c r="N162" s="188" t="n"/>
      <c r="O162" s="188" t="n"/>
      <c r="P162" s="188" t="n"/>
      <c r="Q162" s="188" t="n"/>
      <c r="R162" s="188" t="n"/>
      <c r="S162" s="188" t="n"/>
      <c r="T162" s="188" t="n"/>
      <c r="U162" s="188" t="n"/>
      <c r="V162" s="188" t="n"/>
      <c r="W162" s="188" t="n"/>
      <c r="X162" s="188" t="n"/>
      <c r="Y162" s="188" t="n"/>
      <c r="Z162" s="188" t="n"/>
    </row>
    <row r="163" ht="15.75" customHeight="1" s="673">
      <c r="A163" s="187" t="n"/>
      <c r="B163" s="188" t="n"/>
      <c r="C163" s="188" t="n"/>
      <c r="D163" s="188" t="n"/>
      <c r="E163" s="188" t="n"/>
      <c r="F163" s="188" t="n"/>
      <c r="G163" s="188" t="n"/>
      <c r="H163" s="188" t="n"/>
      <c r="I163" s="188" t="n"/>
      <c r="J163" s="188" t="n"/>
      <c r="K163" s="188" t="n"/>
      <c r="L163" s="188" t="n"/>
      <c r="M163" s="188" t="n"/>
      <c r="N163" s="188" t="n"/>
      <c r="O163" s="188" t="n"/>
      <c r="P163" s="188" t="n"/>
      <c r="Q163" s="188" t="n"/>
      <c r="R163" s="188" t="n"/>
      <c r="S163" s="188" t="n"/>
      <c r="T163" s="188" t="n"/>
      <c r="U163" s="188" t="n"/>
      <c r="V163" s="188" t="n"/>
      <c r="W163" s="188" t="n"/>
      <c r="X163" s="188" t="n"/>
      <c r="Y163" s="188" t="n"/>
      <c r="Z163" s="188" t="n"/>
    </row>
    <row r="164" ht="15.75" customHeight="1" s="673">
      <c r="A164" s="187" t="n"/>
      <c r="B164" s="188" t="n"/>
      <c r="C164" s="188" t="n"/>
      <c r="D164" s="188" t="n"/>
      <c r="E164" s="188" t="n"/>
      <c r="F164" s="188" t="n"/>
      <c r="G164" s="188" t="n"/>
      <c r="H164" s="188" t="n"/>
      <c r="I164" s="188" t="n"/>
      <c r="J164" s="188" t="n"/>
      <c r="K164" s="188" t="n"/>
      <c r="L164" s="188" t="n"/>
      <c r="M164" s="188" t="n"/>
      <c r="N164" s="188" t="n"/>
      <c r="O164" s="188" t="n"/>
      <c r="P164" s="188" t="n"/>
      <c r="Q164" s="188" t="n"/>
      <c r="R164" s="188" t="n"/>
      <c r="S164" s="188" t="n"/>
      <c r="T164" s="188" t="n"/>
      <c r="U164" s="188" t="n"/>
      <c r="V164" s="188" t="n"/>
      <c r="W164" s="188" t="n"/>
      <c r="X164" s="188" t="n"/>
      <c r="Y164" s="188" t="n"/>
      <c r="Z164" s="188" t="n"/>
    </row>
    <row r="165" ht="15.75" customHeight="1" s="673">
      <c r="A165" s="187" t="n"/>
      <c r="B165" s="188" t="n"/>
      <c r="C165" s="188" t="n"/>
      <c r="D165" s="188" t="n"/>
      <c r="E165" s="188" t="n"/>
      <c r="F165" s="188" t="n"/>
      <c r="G165" s="188" t="n"/>
      <c r="H165" s="188" t="n"/>
      <c r="I165" s="188" t="n"/>
      <c r="J165" s="188" t="n"/>
      <c r="K165" s="188" t="n"/>
      <c r="L165" s="188" t="n"/>
      <c r="M165" s="188" t="n"/>
      <c r="N165" s="188" t="n"/>
      <c r="O165" s="188" t="n"/>
      <c r="P165" s="188" t="n"/>
      <c r="Q165" s="188" t="n"/>
      <c r="R165" s="188" t="n"/>
      <c r="S165" s="188" t="n"/>
      <c r="T165" s="188" t="n"/>
      <c r="U165" s="188" t="n"/>
      <c r="V165" s="188" t="n"/>
      <c r="W165" s="188" t="n"/>
      <c r="X165" s="188" t="n"/>
      <c r="Y165" s="188" t="n"/>
      <c r="Z165" s="188" t="n"/>
    </row>
    <row r="166" ht="15.75" customHeight="1" s="673">
      <c r="A166" s="187" t="n"/>
      <c r="B166" s="188" t="n"/>
      <c r="C166" s="188" t="n"/>
      <c r="D166" s="188" t="n"/>
      <c r="E166" s="188" t="n"/>
      <c r="F166" s="188" t="n"/>
      <c r="G166" s="188" t="n"/>
      <c r="H166" s="188" t="n"/>
      <c r="I166" s="188" t="n"/>
      <c r="J166" s="188" t="n"/>
      <c r="K166" s="188" t="n"/>
      <c r="L166" s="188" t="n"/>
      <c r="M166" s="188" t="n"/>
      <c r="N166" s="188" t="n"/>
      <c r="O166" s="188" t="n"/>
      <c r="P166" s="188" t="n"/>
      <c r="Q166" s="188" t="n"/>
      <c r="R166" s="188" t="n"/>
      <c r="S166" s="188" t="n"/>
      <c r="T166" s="188" t="n"/>
      <c r="U166" s="188" t="n"/>
      <c r="V166" s="188" t="n"/>
      <c r="W166" s="188" t="n"/>
      <c r="X166" s="188" t="n"/>
      <c r="Y166" s="188" t="n"/>
      <c r="Z166" s="188" t="n"/>
    </row>
    <row r="167" ht="15.75" customHeight="1" s="673">
      <c r="A167" s="187" t="n"/>
      <c r="B167" s="188" t="n"/>
      <c r="C167" s="188" t="n"/>
      <c r="D167" s="188" t="n"/>
      <c r="E167" s="188" t="n"/>
      <c r="F167" s="188" t="n"/>
      <c r="G167" s="188" t="n"/>
      <c r="H167" s="188" t="n"/>
      <c r="I167" s="188" t="n"/>
      <c r="J167" s="188" t="n"/>
      <c r="K167" s="188" t="n"/>
      <c r="L167" s="188" t="n"/>
      <c r="M167" s="188" t="n"/>
      <c r="N167" s="188" t="n"/>
      <c r="O167" s="188" t="n"/>
      <c r="P167" s="188" t="n"/>
      <c r="Q167" s="188" t="n"/>
      <c r="R167" s="188" t="n"/>
      <c r="S167" s="188" t="n"/>
      <c r="T167" s="188" t="n"/>
      <c r="U167" s="188" t="n"/>
      <c r="V167" s="188" t="n"/>
      <c r="W167" s="188" t="n"/>
      <c r="X167" s="188" t="n"/>
      <c r="Y167" s="188" t="n"/>
      <c r="Z167" s="188" t="n"/>
    </row>
    <row r="168" ht="15.75" customHeight="1" s="673">
      <c r="A168" s="187" t="n"/>
      <c r="B168" s="188" t="n"/>
      <c r="C168" s="188" t="n"/>
      <c r="D168" s="188" t="n"/>
      <c r="E168" s="188" t="n"/>
      <c r="F168" s="188" t="n"/>
      <c r="G168" s="188" t="n"/>
      <c r="H168" s="188" t="n"/>
      <c r="I168" s="188" t="n"/>
      <c r="J168" s="188" t="n"/>
      <c r="K168" s="188" t="n"/>
      <c r="L168" s="188" t="n"/>
      <c r="M168" s="188" t="n"/>
      <c r="N168" s="188" t="n"/>
      <c r="O168" s="188" t="n"/>
      <c r="P168" s="188" t="n"/>
      <c r="Q168" s="188" t="n"/>
      <c r="R168" s="188" t="n"/>
      <c r="S168" s="188" t="n"/>
      <c r="T168" s="188" t="n"/>
      <c r="U168" s="188" t="n"/>
      <c r="V168" s="188" t="n"/>
      <c r="W168" s="188" t="n"/>
      <c r="X168" s="188" t="n"/>
      <c r="Y168" s="188" t="n"/>
      <c r="Z168" s="188" t="n"/>
    </row>
    <row r="169" ht="15.75" customHeight="1" s="673">
      <c r="A169" s="187" t="n"/>
      <c r="B169" s="188" t="n"/>
      <c r="C169" s="188" t="n"/>
      <c r="D169" s="188" t="n"/>
      <c r="E169" s="188" t="n"/>
      <c r="F169" s="188" t="n"/>
      <c r="G169" s="188" t="n"/>
      <c r="H169" s="188" t="n"/>
      <c r="I169" s="188" t="n"/>
      <c r="J169" s="188" t="n"/>
      <c r="K169" s="188" t="n"/>
      <c r="L169" s="188" t="n"/>
      <c r="M169" s="188" t="n"/>
      <c r="N169" s="188" t="n"/>
      <c r="O169" s="188" t="n"/>
      <c r="P169" s="188" t="n"/>
      <c r="Q169" s="188" t="n"/>
      <c r="R169" s="188" t="n"/>
      <c r="S169" s="188" t="n"/>
      <c r="T169" s="188" t="n"/>
      <c r="U169" s="188" t="n"/>
      <c r="V169" s="188" t="n"/>
      <c r="W169" s="188" t="n"/>
      <c r="X169" s="188" t="n"/>
      <c r="Y169" s="188" t="n"/>
      <c r="Z169" s="188" t="n"/>
    </row>
    <row r="170" ht="15.75" customHeight="1" s="673">
      <c r="A170" s="187" t="n"/>
      <c r="B170" s="188" t="n"/>
      <c r="C170" s="188" t="n"/>
      <c r="D170" s="188" t="n"/>
      <c r="E170" s="188" t="n"/>
      <c r="F170" s="188" t="n"/>
      <c r="G170" s="188" t="n"/>
      <c r="H170" s="188" t="n"/>
      <c r="I170" s="188" t="n"/>
      <c r="J170" s="188" t="n"/>
      <c r="K170" s="188" t="n"/>
      <c r="L170" s="188" t="n"/>
      <c r="M170" s="188" t="n"/>
      <c r="N170" s="188" t="n"/>
      <c r="O170" s="188" t="n"/>
      <c r="P170" s="188" t="n"/>
      <c r="Q170" s="188" t="n"/>
      <c r="R170" s="188" t="n"/>
      <c r="S170" s="188" t="n"/>
      <c r="T170" s="188" t="n"/>
      <c r="U170" s="188" t="n"/>
      <c r="V170" s="188" t="n"/>
      <c r="W170" s="188" t="n"/>
      <c r="X170" s="188" t="n"/>
      <c r="Y170" s="188" t="n"/>
      <c r="Z170" s="188" t="n"/>
    </row>
    <row r="171" ht="15.75" customHeight="1" s="673">
      <c r="A171" s="187" t="n"/>
      <c r="B171" s="188" t="n"/>
      <c r="C171" s="188" t="n"/>
      <c r="D171" s="188" t="n"/>
      <c r="E171" s="188" t="n"/>
      <c r="F171" s="188" t="n"/>
      <c r="G171" s="188" t="n"/>
      <c r="H171" s="188" t="n"/>
      <c r="I171" s="188" t="n"/>
      <c r="J171" s="188" t="n"/>
      <c r="K171" s="188" t="n"/>
      <c r="L171" s="188" t="n"/>
      <c r="M171" s="188" t="n"/>
      <c r="N171" s="188" t="n"/>
      <c r="O171" s="188" t="n"/>
      <c r="P171" s="188" t="n"/>
      <c r="Q171" s="188" t="n"/>
      <c r="R171" s="188" t="n"/>
      <c r="S171" s="188" t="n"/>
      <c r="T171" s="188" t="n"/>
      <c r="U171" s="188" t="n"/>
      <c r="V171" s="188" t="n"/>
      <c r="W171" s="188" t="n"/>
      <c r="X171" s="188" t="n"/>
      <c r="Y171" s="188" t="n"/>
      <c r="Z171" s="188" t="n"/>
    </row>
    <row r="172" ht="15.75" customHeight="1" s="673">
      <c r="A172" s="187" t="n"/>
      <c r="B172" s="188" t="n"/>
      <c r="C172" s="188" t="n"/>
      <c r="D172" s="188" t="n"/>
      <c r="E172" s="188" t="n"/>
      <c r="F172" s="188" t="n"/>
      <c r="G172" s="188" t="n"/>
      <c r="H172" s="188" t="n"/>
      <c r="I172" s="188" t="n"/>
      <c r="J172" s="188" t="n"/>
      <c r="K172" s="188" t="n"/>
      <c r="L172" s="188" t="n"/>
      <c r="M172" s="188" t="n"/>
      <c r="N172" s="188" t="n"/>
      <c r="O172" s="188" t="n"/>
      <c r="P172" s="188" t="n"/>
      <c r="Q172" s="188" t="n"/>
      <c r="R172" s="188" t="n"/>
      <c r="S172" s="188" t="n"/>
      <c r="T172" s="188" t="n"/>
      <c r="U172" s="188" t="n"/>
      <c r="V172" s="188" t="n"/>
      <c r="W172" s="188" t="n"/>
      <c r="X172" s="188" t="n"/>
      <c r="Y172" s="188" t="n"/>
      <c r="Z172" s="188" t="n"/>
    </row>
    <row r="173" ht="15.75" customHeight="1" s="673">
      <c r="A173" s="187" t="n"/>
      <c r="B173" s="188" t="n"/>
      <c r="C173" s="188" t="n"/>
      <c r="D173" s="188" t="n"/>
      <c r="E173" s="188" t="n"/>
      <c r="F173" s="188" t="n"/>
      <c r="G173" s="188" t="n"/>
      <c r="H173" s="188" t="n"/>
      <c r="I173" s="188" t="n"/>
      <c r="J173" s="188" t="n"/>
      <c r="K173" s="188" t="n"/>
      <c r="L173" s="188" t="n"/>
      <c r="M173" s="188" t="n"/>
      <c r="N173" s="188" t="n"/>
      <c r="O173" s="188" t="n"/>
      <c r="P173" s="188" t="n"/>
      <c r="Q173" s="188" t="n"/>
      <c r="R173" s="188" t="n"/>
      <c r="S173" s="188" t="n"/>
      <c r="T173" s="188" t="n"/>
      <c r="U173" s="188" t="n"/>
      <c r="V173" s="188" t="n"/>
      <c r="W173" s="188" t="n"/>
      <c r="X173" s="188" t="n"/>
      <c r="Y173" s="188" t="n"/>
      <c r="Z173" s="188" t="n"/>
    </row>
    <row r="174" ht="15.75" customHeight="1" s="673">
      <c r="A174" s="187" t="n"/>
      <c r="B174" s="188" t="n"/>
      <c r="C174" s="188" t="n"/>
      <c r="D174" s="188" t="n"/>
      <c r="E174" s="188" t="n"/>
      <c r="F174" s="188" t="n"/>
      <c r="G174" s="188" t="n"/>
      <c r="H174" s="188" t="n"/>
      <c r="I174" s="188" t="n"/>
      <c r="J174" s="188" t="n"/>
      <c r="K174" s="188" t="n"/>
      <c r="L174" s="188" t="n"/>
      <c r="M174" s="188" t="n"/>
      <c r="N174" s="188" t="n"/>
      <c r="O174" s="188" t="n"/>
      <c r="P174" s="188" t="n"/>
      <c r="Q174" s="188" t="n"/>
      <c r="R174" s="188" t="n"/>
      <c r="S174" s="188" t="n"/>
      <c r="T174" s="188" t="n"/>
      <c r="U174" s="188" t="n"/>
      <c r="V174" s="188" t="n"/>
      <c r="W174" s="188" t="n"/>
      <c r="X174" s="188" t="n"/>
      <c r="Y174" s="188" t="n"/>
      <c r="Z174" s="188" t="n"/>
    </row>
    <row r="175" ht="15.75" customHeight="1" s="673">
      <c r="A175" s="187" t="n"/>
      <c r="B175" s="188" t="n"/>
      <c r="C175" s="188" t="n"/>
      <c r="D175" s="188" t="n"/>
      <c r="E175" s="188" t="n"/>
      <c r="F175" s="188" t="n"/>
      <c r="G175" s="188" t="n"/>
      <c r="H175" s="188" t="n"/>
      <c r="I175" s="188" t="n"/>
      <c r="J175" s="188" t="n"/>
      <c r="K175" s="188" t="n"/>
      <c r="L175" s="188" t="n"/>
      <c r="M175" s="188" t="n"/>
      <c r="N175" s="188" t="n"/>
      <c r="O175" s="188" t="n"/>
      <c r="P175" s="188" t="n"/>
      <c r="Q175" s="188" t="n"/>
      <c r="R175" s="188" t="n"/>
      <c r="S175" s="188" t="n"/>
      <c r="T175" s="188" t="n"/>
      <c r="U175" s="188" t="n"/>
      <c r="V175" s="188" t="n"/>
      <c r="W175" s="188" t="n"/>
      <c r="X175" s="188" t="n"/>
      <c r="Y175" s="188" t="n"/>
      <c r="Z175" s="188" t="n"/>
    </row>
    <row r="176" ht="15.75" customHeight="1" s="673">
      <c r="A176" s="187" t="n"/>
      <c r="B176" s="188" t="n"/>
      <c r="C176" s="188" t="n"/>
      <c r="D176" s="188" t="n"/>
      <c r="E176" s="188" t="n"/>
      <c r="F176" s="188" t="n"/>
      <c r="G176" s="188" t="n"/>
      <c r="H176" s="188" t="n"/>
      <c r="I176" s="188" t="n"/>
      <c r="J176" s="188" t="n"/>
      <c r="K176" s="188" t="n"/>
      <c r="L176" s="188" t="n"/>
      <c r="M176" s="188" t="n"/>
      <c r="N176" s="188" t="n"/>
      <c r="O176" s="188" t="n"/>
      <c r="P176" s="188" t="n"/>
      <c r="Q176" s="188" t="n"/>
      <c r="R176" s="188" t="n"/>
      <c r="S176" s="188" t="n"/>
      <c r="T176" s="188" t="n"/>
      <c r="U176" s="188" t="n"/>
      <c r="V176" s="188" t="n"/>
      <c r="W176" s="188" t="n"/>
      <c r="X176" s="188" t="n"/>
      <c r="Y176" s="188" t="n"/>
      <c r="Z176" s="188" t="n"/>
    </row>
    <row r="177" ht="15.75" customHeight="1" s="673">
      <c r="A177" s="187" t="n"/>
      <c r="B177" s="188" t="n"/>
      <c r="C177" s="188" t="n"/>
      <c r="D177" s="188" t="n"/>
      <c r="E177" s="188" t="n"/>
      <c r="F177" s="188" t="n"/>
      <c r="G177" s="188" t="n"/>
      <c r="H177" s="188" t="n"/>
      <c r="I177" s="188" t="n"/>
      <c r="J177" s="188" t="n"/>
      <c r="K177" s="188" t="n"/>
      <c r="L177" s="188" t="n"/>
      <c r="M177" s="188" t="n"/>
      <c r="N177" s="188" t="n"/>
      <c r="O177" s="188" t="n"/>
      <c r="P177" s="188" t="n"/>
      <c r="Q177" s="188" t="n"/>
      <c r="R177" s="188" t="n"/>
      <c r="S177" s="188" t="n"/>
      <c r="T177" s="188" t="n"/>
      <c r="U177" s="188" t="n"/>
      <c r="V177" s="188" t="n"/>
      <c r="W177" s="188" t="n"/>
      <c r="X177" s="188" t="n"/>
      <c r="Y177" s="188" t="n"/>
      <c r="Z177" s="188" t="n"/>
    </row>
    <row r="178" ht="15.75" customHeight="1" s="673">
      <c r="A178" s="187" t="n"/>
      <c r="B178" s="188" t="n"/>
      <c r="C178" s="188" t="n"/>
      <c r="D178" s="188" t="n"/>
      <c r="E178" s="188" t="n"/>
      <c r="F178" s="188" t="n"/>
      <c r="G178" s="188" t="n"/>
      <c r="H178" s="188" t="n"/>
      <c r="I178" s="188" t="n"/>
      <c r="J178" s="188" t="n"/>
      <c r="K178" s="188" t="n"/>
      <c r="L178" s="188" t="n"/>
      <c r="M178" s="188" t="n"/>
      <c r="N178" s="188" t="n"/>
      <c r="O178" s="188" t="n"/>
      <c r="P178" s="188" t="n"/>
      <c r="Q178" s="188" t="n"/>
      <c r="R178" s="188" t="n"/>
      <c r="S178" s="188" t="n"/>
      <c r="T178" s="188" t="n"/>
      <c r="U178" s="188" t="n"/>
      <c r="V178" s="188" t="n"/>
      <c r="W178" s="188" t="n"/>
      <c r="X178" s="188" t="n"/>
      <c r="Y178" s="188" t="n"/>
      <c r="Z178" s="188" t="n"/>
    </row>
    <row r="179" ht="15.75" customHeight="1" s="673">
      <c r="A179" s="187" t="n"/>
      <c r="B179" s="188" t="n"/>
      <c r="C179" s="188" t="n"/>
      <c r="D179" s="188" t="n"/>
      <c r="E179" s="188" t="n"/>
      <c r="F179" s="188" t="n"/>
      <c r="G179" s="188" t="n"/>
      <c r="H179" s="188" t="n"/>
      <c r="I179" s="188" t="n"/>
      <c r="J179" s="188" t="n"/>
      <c r="K179" s="188" t="n"/>
      <c r="L179" s="188" t="n"/>
      <c r="M179" s="188" t="n"/>
      <c r="N179" s="188" t="n"/>
      <c r="O179" s="188" t="n"/>
      <c r="P179" s="188" t="n"/>
      <c r="Q179" s="188" t="n"/>
      <c r="R179" s="188" t="n"/>
      <c r="S179" s="188" t="n"/>
      <c r="T179" s="188" t="n"/>
      <c r="U179" s="188" t="n"/>
      <c r="V179" s="188" t="n"/>
      <c r="W179" s="188" t="n"/>
      <c r="X179" s="188" t="n"/>
      <c r="Y179" s="188" t="n"/>
      <c r="Z179" s="188" t="n"/>
    </row>
    <row r="180" ht="15.75" customHeight="1" s="673">
      <c r="A180" s="187" t="n"/>
      <c r="B180" s="188" t="n"/>
      <c r="C180" s="188" t="n"/>
      <c r="D180" s="188" t="n"/>
      <c r="E180" s="188" t="n"/>
      <c r="F180" s="188" t="n"/>
      <c r="G180" s="188" t="n"/>
      <c r="H180" s="188" t="n"/>
      <c r="I180" s="188" t="n"/>
      <c r="J180" s="188" t="n"/>
      <c r="K180" s="188" t="n"/>
      <c r="L180" s="188" t="n"/>
      <c r="M180" s="188" t="n"/>
      <c r="N180" s="188" t="n"/>
      <c r="O180" s="188" t="n"/>
      <c r="P180" s="188" t="n"/>
      <c r="Q180" s="188" t="n"/>
      <c r="R180" s="188" t="n"/>
      <c r="S180" s="188" t="n"/>
      <c r="T180" s="188" t="n"/>
      <c r="U180" s="188" t="n"/>
      <c r="V180" s="188" t="n"/>
      <c r="W180" s="188" t="n"/>
      <c r="X180" s="188" t="n"/>
      <c r="Y180" s="188" t="n"/>
      <c r="Z180" s="188" t="n"/>
    </row>
    <row r="181" ht="15.75" customHeight="1" s="673">
      <c r="A181" s="187" t="n"/>
      <c r="B181" s="188" t="n"/>
      <c r="C181" s="188" t="n"/>
      <c r="D181" s="188" t="n"/>
      <c r="E181" s="188" t="n"/>
      <c r="F181" s="188" t="n"/>
      <c r="G181" s="188" t="n"/>
      <c r="H181" s="188" t="n"/>
      <c r="I181" s="188" t="n"/>
      <c r="J181" s="188" t="n"/>
      <c r="K181" s="188" t="n"/>
      <c r="L181" s="188" t="n"/>
      <c r="M181" s="188" t="n"/>
      <c r="N181" s="188" t="n"/>
      <c r="O181" s="188" t="n"/>
      <c r="P181" s="188" t="n"/>
      <c r="Q181" s="188" t="n"/>
      <c r="R181" s="188" t="n"/>
      <c r="S181" s="188" t="n"/>
      <c r="T181" s="188" t="n"/>
      <c r="U181" s="188" t="n"/>
      <c r="V181" s="188" t="n"/>
      <c r="W181" s="188" t="n"/>
      <c r="X181" s="188" t="n"/>
      <c r="Y181" s="188" t="n"/>
      <c r="Z181" s="188" t="n"/>
    </row>
    <row r="182" ht="15.75" customHeight="1" s="673">
      <c r="A182" s="187" t="n"/>
      <c r="B182" s="188" t="n"/>
      <c r="C182" s="188" t="n"/>
      <c r="D182" s="188" t="n"/>
      <c r="E182" s="188" t="n"/>
      <c r="F182" s="188" t="n"/>
      <c r="G182" s="188" t="n"/>
      <c r="H182" s="188" t="n"/>
      <c r="I182" s="188" t="n"/>
      <c r="J182" s="188" t="n"/>
      <c r="K182" s="188" t="n"/>
      <c r="L182" s="188" t="n"/>
      <c r="M182" s="188" t="n"/>
      <c r="N182" s="188" t="n"/>
      <c r="O182" s="188" t="n"/>
      <c r="P182" s="188" t="n"/>
      <c r="Q182" s="188" t="n"/>
      <c r="R182" s="188" t="n"/>
      <c r="S182" s="188" t="n"/>
      <c r="T182" s="188" t="n"/>
      <c r="U182" s="188" t="n"/>
      <c r="V182" s="188" t="n"/>
      <c r="W182" s="188" t="n"/>
      <c r="X182" s="188" t="n"/>
      <c r="Y182" s="188" t="n"/>
      <c r="Z182" s="188" t="n"/>
    </row>
    <row r="183" ht="15.75" customHeight="1" s="673">
      <c r="A183" s="187" t="n"/>
      <c r="B183" s="188" t="n"/>
      <c r="C183" s="188" t="n"/>
      <c r="D183" s="188" t="n"/>
      <c r="E183" s="188" t="n"/>
      <c r="F183" s="188" t="n"/>
      <c r="G183" s="188" t="n"/>
      <c r="H183" s="188" t="n"/>
      <c r="I183" s="188" t="n"/>
      <c r="J183" s="188" t="n"/>
      <c r="K183" s="188" t="n"/>
      <c r="L183" s="188" t="n"/>
      <c r="M183" s="188" t="n"/>
      <c r="N183" s="188" t="n"/>
      <c r="O183" s="188" t="n"/>
      <c r="P183" s="188" t="n"/>
      <c r="Q183" s="188" t="n"/>
      <c r="R183" s="188" t="n"/>
      <c r="S183" s="188" t="n"/>
      <c r="T183" s="188" t="n"/>
      <c r="U183" s="188" t="n"/>
      <c r="V183" s="188" t="n"/>
      <c r="W183" s="188" t="n"/>
      <c r="X183" s="188" t="n"/>
      <c r="Y183" s="188" t="n"/>
      <c r="Z183" s="188" t="n"/>
    </row>
    <row r="184" ht="15.75" customHeight="1" s="673">
      <c r="A184" s="187" t="n"/>
      <c r="B184" s="188" t="n"/>
      <c r="C184" s="188" t="n"/>
      <c r="D184" s="188" t="n"/>
      <c r="E184" s="188" t="n"/>
      <c r="F184" s="188" t="n"/>
      <c r="G184" s="188" t="n"/>
      <c r="H184" s="188" t="n"/>
      <c r="I184" s="188" t="n"/>
      <c r="J184" s="188" t="n"/>
      <c r="K184" s="188" t="n"/>
      <c r="L184" s="188" t="n"/>
      <c r="M184" s="188" t="n"/>
      <c r="N184" s="188" t="n"/>
      <c r="O184" s="188" t="n"/>
      <c r="P184" s="188" t="n"/>
      <c r="Q184" s="188" t="n"/>
      <c r="R184" s="188" t="n"/>
      <c r="S184" s="188" t="n"/>
      <c r="T184" s="188" t="n"/>
      <c r="U184" s="188" t="n"/>
      <c r="V184" s="188" t="n"/>
      <c r="W184" s="188" t="n"/>
      <c r="X184" s="188" t="n"/>
      <c r="Y184" s="188" t="n"/>
      <c r="Z184" s="188" t="n"/>
    </row>
    <row r="185" ht="15.75" customHeight="1" s="673">
      <c r="A185" s="187" t="n"/>
      <c r="B185" s="188" t="n"/>
      <c r="C185" s="188" t="n"/>
      <c r="D185" s="188" t="n"/>
      <c r="E185" s="188" t="n"/>
      <c r="F185" s="188" t="n"/>
      <c r="G185" s="188" t="n"/>
      <c r="H185" s="188" t="n"/>
      <c r="I185" s="188" t="n"/>
      <c r="J185" s="188" t="n"/>
      <c r="K185" s="188" t="n"/>
      <c r="L185" s="188" t="n"/>
      <c r="M185" s="188" t="n"/>
      <c r="N185" s="188" t="n"/>
      <c r="O185" s="188" t="n"/>
      <c r="P185" s="188" t="n"/>
      <c r="Q185" s="188" t="n"/>
      <c r="R185" s="188" t="n"/>
      <c r="S185" s="188" t="n"/>
      <c r="T185" s="188" t="n"/>
      <c r="U185" s="188" t="n"/>
      <c r="V185" s="188" t="n"/>
      <c r="W185" s="188" t="n"/>
      <c r="X185" s="188" t="n"/>
      <c r="Y185" s="188" t="n"/>
      <c r="Z185" s="188" t="n"/>
    </row>
    <row r="186" ht="15.75" customHeight="1" s="673">
      <c r="A186" s="187" t="n"/>
      <c r="B186" s="188" t="n"/>
      <c r="C186" s="188" t="n"/>
      <c r="D186" s="188" t="n"/>
      <c r="E186" s="188" t="n"/>
      <c r="F186" s="188" t="n"/>
      <c r="G186" s="188" t="n"/>
      <c r="H186" s="188" t="n"/>
      <c r="I186" s="188" t="n"/>
      <c r="J186" s="188" t="n"/>
      <c r="K186" s="188" t="n"/>
      <c r="L186" s="188" t="n"/>
      <c r="M186" s="188" t="n"/>
      <c r="N186" s="188" t="n"/>
      <c r="O186" s="188" t="n"/>
      <c r="P186" s="188" t="n"/>
      <c r="Q186" s="188" t="n"/>
      <c r="R186" s="188" t="n"/>
      <c r="S186" s="188" t="n"/>
      <c r="T186" s="188" t="n"/>
      <c r="U186" s="188" t="n"/>
      <c r="V186" s="188" t="n"/>
      <c r="W186" s="188" t="n"/>
      <c r="X186" s="188" t="n"/>
      <c r="Y186" s="188" t="n"/>
      <c r="Z186" s="188" t="n"/>
    </row>
    <row r="187" ht="15.75" customHeight="1" s="673">
      <c r="A187" s="187" t="n"/>
      <c r="B187" s="188" t="n"/>
      <c r="C187" s="188" t="n"/>
      <c r="D187" s="188" t="n"/>
      <c r="E187" s="188" t="n"/>
      <c r="F187" s="188" t="n"/>
      <c r="G187" s="188" t="n"/>
      <c r="H187" s="188" t="n"/>
      <c r="I187" s="188" t="n"/>
      <c r="J187" s="188" t="n"/>
      <c r="K187" s="188" t="n"/>
      <c r="L187" s="188" t="n"/>
      <c r="M187" s="188" t="n"/>
      <c r="N187" s="188" t="n"/>
      <c r="O187" s="188" t="n"/>
      <c r="P187" s="188" t="n"/>
      <c r="Q187" s="188" t="n"/>
      <c r="R187" s="188" t="n"/>
      <c r="S187" s="188" t="n"/>
      <c r="T187" s="188" t="n"/>
      <c r="U187" s="188" t="n"/>
      <c r="V187" s="188" t="n"/>
      <c r="W187" s="188" t="n"/>
      <c r="X187" s="188" t="n"/>
      <c r="Y187" s="188" t="n"/>
      <c r="Z187" s="188" t="n"/>
    </row>
    <row r="188" ht="15.75" customHeight="1" s="673">
      <c r="A188" s="187" t="n"/>
      <c r="B188" s="188" t="n"/>
      <c r="C188" s="188" t="n"/>
      <c r="D188" s="188" t="n"/>
      <c r="E188" s="188" t="n"/>
      <c r="F188" s="188" t="n"/>
      <c r="G188" s="188" t="n"/>
      <c r="H188" s="188" t="n"/>
      <c r="I188" s="188" t="n"/>
      <c r="J188" s="188" t="n"/>
      <c r="K188" s="188" t="n"/>
      <c r="L188" s="188" t="n"/>
      <c r="M188" s="188" t="n"/>
      <c r="N188" s="188" t="n"/>
      <c r="O188" s="188" t="n"/>
      <c r="P188" s="188" t="n"/>
      <c r="Q188" s="188" t="n"/>
      <c r="R188" s="188" t="n"/>
      <c r="S188" s="188" t="n"/>
      <c r="T188" s="188" t="n"/>
      <c r="U188" s="188" t="n"/>
      <c r="V188" s="188" t="n"/>
      <c r="W188" s="188" t="n"/>
      <c r="X188" s="188" t="n"/>
      <c r="Y188" s="188" t="n"/>
      <c r="Z188" s="188" t="n"/>
    </row>
    <row r="189" ht="15.75" customHeight="1" s="673">
      <c r="A189" s="187" t="n"/>
      <c r="B189" s="188" t="n"/>
      <c r="C189" s="188" t="n"/>
      <c r="D189" s="188" t="n"/>
      <c r="E189" s="188" t="n"/>
      <c r="F189" s="188" t="n"/>
      <c r="G189" s="188" t="n"/>
      <c r="H189" s="188" t="n"/>
      <c r="I189" s="188" t="n"/>
      <c r="J189" s="188" t="n"/>
      <c r="K189" s="188" t="n"/>
      <c r="L189" s="188" t="n"/>
      <c r="M189" s="188" t="n"/>
      <c r="N189" s="188" t="n"/>
      <c r="O189" s="188" t="n"/>
      <c r="P189" s="188" t="n"/>
      <c r="Q189" s="188" t="n"/>
      <c r="R189" s="188" t="n"/>
      <c r="S189" s="188" t="n"/>
      <c r="T189" s="188" t="n"/>
      <c r="U189" s="188" t="n"/>
      <c r="V189" s="188" t="n"/>
      <c r="W189" s="188" t="n"/>
      <c r="X189" s="188" t="n"/>
      <c r="Y189" s="188" t="n"/>
      <c r="Z189" s="188" t="n"/>
    </row>
    <row r="190" ht="15.75" customHeight="1" s="673">
      <c r="A190" s="187" t="n"/>
      <c r="B190" s="188" t="n"/>
      <c r="C190" s="188" t="n"/>
      <c r="D190" s="188" t="n"/>
      <c r="E190" s="188" t="n"/>
      <c r="F190" s="188" t="n"/>
      <c r="G190" s="188" t="n"/>
      <c r="H190" s="188" t="n"/>
      <c r="I190" s="188" t="n"/>
      <c r="J190" s="188" t="n"/>
      <c r="K190" s="188" t="n"/>
      <c r="L190" s="188" t="n"/>
      <c r="M190" s="188" t="n"/>
      <c r="N190" s="188" t="n"/>
      <c r="O190" s="188" t="n"/>
      <c r="P190" s="188" t="n"/>
      <c r="Q190" s="188" t="n"/>
      <c r="R190" s="188" t="n"/>
      <c r="S190" s="188" t="n"/>
      <c r="T190" s="188" t="n"/>
      <c r="U190" s="188" t="n"/>
      <c r="V190" s="188" t="n"/>
      <c r="W190" s="188" t="n"/>
      <c r="X190" s="188" t="n"/>
      <c r="Y190" s="188" t="n"/>
      <c r="Z190" s="188" t="n"/>
    </row>
    <row r="191" ht="15.75" customHeight="1" s="673">
      <c r="A191" s="187" t="n"/>
      <c r="B191" s="188" t="n"/>
      <c r="C191" s="188" t="n"/>
      <c r="D191" s="188" t="n"/>
      <c r="E191" s="188" t="n"/>
      <c r="F191" s="188" t="n"/>
      <c r="G191" s="188" t="n"/>
      <c r="H191" s="188" t="n"/>
      <c r="I191" s="188" t="n"/>
      <c r="J191" s="188" t="n"/>
      <c r="K191" s="188" t="n"/>
      <c r="L191" s="188" t="n"/>
      <c r="M191" s="188" t="n"/>
      <c r="N191" s="188" t="n"/>
      <c r="O191" s="188" t="n"/>
      <c r="P191" s="188" t="n"/>
      <c r="Q191" s="188" t="n"/>
      <c r="R191" s="188" t="n"/>
      <c r="S191" s="188" t="n"/>
      <c r="T191" s="188" t="n"/>
      <c r="U191" s="188" t="n"/>
      <c r="V191" s="188" t="n"/>
      <c r="W191" s="188" t="n"/>
      <c r="X191" s="188" t="n"/>
      <c r="Y191" s="188" t="n"/>
      <c r="Z191" s="188" t="n"/>
    </row>
    <row r="192" ht="15.75" customHeight="1" s="673">
      <c r="A192" s="187" t="n"/>
      <c r="B192" s="188" t="n"/>
      <c r="C192" s="188" t="n"/>
      <c r="D192" s="188" t="n"/>
      <c r="E192" s="188" t="n"/>
      <c r="F192" s="188" t="n"/>
      <c r="G192" s="188" t="n"/>
      <c r="H192" s="188" t="n"/>
      <c r="I192" s="188" t="n"/>
      <c r="J192" s="188" t="n"/>
      <c r="K192" s="188" t="n"/>
      <c r="L192" s="188" t="n"/>
      <c r="M192" s="188" t="n"/>
      <c r="N192" s="188" t="n"/>
      <c r="O192" s="188" t="n"/>
      <c r="P192" s="188" t="n"/>
      <c r="Q192" s="188" t="n"/>
      <c r="R192" s="188" t="n"/>
      <c r="S192" s="188" t="n"/>
      <c r="T192" s="188" t="n"/>
      <c r="U192" s="188" t="n"/>
      <c r="V192" s="188" t="n"/>
      <c r="W192" s="188" t="n"/>
      <c r="X192" s="188" t="n"/>
      <c r="Y192" s="188" t="n"/>
      <c r="Z192" s="188" t="n"/>
    </row>
    <row r="193" ht="15.75" customHeight="1" s="673">
      <c r="A193" s="187" t="n"/>
      <c r="B193" s="188" t="n"/>
      <c r="C193" s="188" t="n"/>
      <c r="D193" s="188" t="n"/>
      <c r="E193" s="188" t="n"/>
      <c r="F193" s="188" t="n"/>
      <c r="G193" s="188" t="n"/>
      <c r="H193" s="188" t="n"/>
      <c r="I193" s="188" t="n"/>
      <c r="J193" s="188" t="n"/>
      <c r="K193" s="188" t="n"/>
      <c r="L193" s="188" t="n"/>
      <c r="M193" s="188" t="n"/>
      <c r="N193" s="188" t="n"/>
      <c r="O193" s="188" t="n"/>
      <c r="P193" s="188" t="n"/>
      <c r="Q193" s="188" t="n"/>
      <c r="R193" s="188" t="n"/>
      <c r="S193" s="188" t="n"/>
      <c r="T193" s="188" t="n"/>
      <c r="U193" s="188" t="n"/>
      <c r="V193" s="188" t="n"/>
      <c r="W193" s="188" t="n"/>
      <c r="X193" s="188" t="n"/>
      <c r="Y193" s="188" t="n"/>
      <c r="Z193" s="188" t="n"/>
    </row>
    <row r="194" ht="15.75" customHeight="1" s="673">
      <c r="A194" s="187" t="n"/>
      <c r="B194" s="188" t="n"/>
      <c r="C194" s="188" t="n"/>
      <c r="D194" s="188" t="n"/>
      <c r="E194" s="188" t="n"/>
      <c r="F194" s="188" t="n"/>
      <c r="G194" s="188" t="n"/>
      <c r="H194" s="188" t="n"/>
      <c r="I194" s="188" t="n"/>
      <c r="J194" s="188" t="n"/>
      <c r="K194" s="188" t="n"/>
      <c r="L194" s="188" t="n"/>
      <c r="M194" s="188" t="n"/>
      <c r="N194" s="188" t="n"/>
      <c r="O194" s="188" t="n"/>
      <c r="P194" s="188" t="n"/>
      <c r="Q194" s="188" t="n"/>
      <c r="R194" s="188" t="n"/>
      <c r="S194" s="188" t="n"/>
      <c r="T194" s="188" t="n"/>
      <c r="U194" s="188" t="n"/>
      <c r="V194" s="188" t="n"/>
      <c r="W194" s="188" t="n"/>
      <c r="X194" s="188" t="n"/>
      <c r="Y194" s="188" t="n"/>
      <c r="Z194" s="188" t="n"/>
    </row>
    <row r="195" ht="15.75" customHeight="1" s="673">
      <c r="A195" s="187" t="n"/>
      <c r="B195" s="188" t="n"/>
      <c r="C195" s="188" t="n"/>
      <c r="D195" s="188" t="n"/>
      <c r="E195" s="188" t="n"/>
      <c r="F195" s="188" t="n"/>
      <c r="G195" s="188" t="n"/>
      <c r="H195" s="188" t="n"/>
      <c r="I195" s="188" t="n"/>
      <c r="J195" s="188" t="n"/>
      <c r="K195" s="188" t="n"/>
      <c r="L195" s="188" t="n"/>
      <c r="M195" s="188" t="n"/>
      <c r="N195" s="188" t="n"/>
      <c r="O195" s="188" t="n"/>
      <c r="P195" s="188" t="n"/>
      <c r="Q195" s="188" t="n"/>
      <c r="R195" s="188" t="n"/>
      <c r="S195" s="188" t="n"/>
      <c r="T195" s="188" t="n"/>
      <c r="U195" s="188" t="n"/>
      <c r="V195" s="188" t="n"/>
      <c r="W195" s="188" t="n"/>
      <c r="X195" s="188" t="n"/>
      <c r="Y195" s="188" t="n"/>
      <c r="Z195" s="188" t="n"/>
    </row>
    <row r="196" ht="15.75" customHeight="1" s="673">
      <c r="A196" s="187" t="n"/>
      <c r="B196" s="188" t="n"/>
      <c r="C196" s="188" t="n"/>
      <c r="D196" s="188" t="n"/>
      <c r="E196" s="188" t="n"/>
      <c r="F196" s="188" t="n"/>
      <c r="G196" s="188" t="n"/>
      <c r="H196" s="188" t="n"/>
      <c r="I196" s="188" t="n"/>
      <c r="J196" s="188" t="n"/>
      <c r="K196" s="188" t="n"/>
      <c r="L196" s="188" t="n"/>
      <c r="M196" s="188" t="n"/>
      <c r="N196" s="188" t="n"/>
      <c r="O196" s="188" t="n"/>
      <c r="P196" s="188" t="n"/>
      <c r="Q196" s="188" t="n"/>
      <c r="R196" s="188" t="n"/>
      <c r="S196" s="188" t="n"/>
      <c r="T196" s="188" t="n"/>
      <c r="U196" s="188" t="n"/>
      <c r="V196" s="188" t="n"/>
      <c r="W196" s="188" t="n"/>
      <c r="X196" s="188" t="n"/>
      <c r="Y196" s="188" t="n"/>
      <c r="Z196" s="188" t="n"/>
    </row>
    <row r="197" ht="15.75" customHeight="1" s="673">
      <c r="A197" s="187" t="n"/>
      <c r="B197" s="188" t="n"/>
      <c r="C197" s="188" t="n"/>
      <c r="D197" s="188" t="n"/>
      <c r="E197" s="188" t="n"/>
      <c r="F197" s="188" t="n"/>
      <c r="G197" s="188" t="n"/>
      <c r="H197" s="188" t="n"/>
      <c r="I197" s="188" t="n"/>
      <c r="J197" s="188" t="n"/>
      <c r="K197" s="188" t="n"/>
      <c r="L197" s="188" t="n"/>
      <c r="M197" s="188" t="n"/>
      <c r="N197" s="188" t="n"/>
      <c r="O197" s="188" t="n"/>
      <c r="P197" s="188" t="n"/>
      <c r="Q197" s="188" t="n"/>
      <c r="R197" s="188" t="n"/>
      <c r="S197" s="188" t="n"/>
      <c r="T197" s="188" t="n"/>
      <c r="U197" s="188" t="n"/>
      <c r="V197" s="188" t="n"/>
      <c r="W197" s="188" t="n"/>
      <c r="X197" s="188" t="n"/>
      <c r="Y197" s="188" t="n"/>
      <c r="Z197" s="188" t="n"/>
    </row>
    <row r="198" ht="15.75" customHeight="1" s="673">
      <c r="A198" s="187" t="n"/>
      <c r="B198" s="188" t="n"/>
      <c r="C198" s="188" t="n"/>
      <c r="D198" s="188" t="n"/>
      <c r="E198" s="188" t="n"/>
      <c r="F198" s="188" t="n"/>
      <c r="G198" s="188" t="n"/>
      <c r="H198" s="188" t="n"/>
      <c r="I198" s="188" t="n"/>
      <c r="J198" s="188" t="n"/>
      <c r="K198" s="188" t="n"/>
      <c r="L198" s="188" t="n"/>
      <c r="M198" s="188" t="n"/>
      <c r="N198" s="188" t="n"/>
      <c r="O198" s="188" t="n"/>
      <c r="P198" s="188" t="n"/>
      <c r="Q198" s="188" t="n"/>
      <c r="R198" s="188" t="n"/>
      <c r="S198" s="188" t="n"/>
      <c r="T198" s="188" t="n"/>
      <c r="U198" s="188" t="n"/>
      <c r="V198" s="188" t="n"/>
      <c r="W198" s="188" t="n"/>
      <c r="X198" s="188" t="n"/>
      <c r="Y198" s="188" t="n"/>
      <c r="Z198" s="188" t="n"/>
    </row>
    <row r="199" ht="15.75" customHeight="1" s="673">
      <c r="A199" s="187" t="n"/>
      <c r="B199" s="188" t="n"/>
      <c r="C199" s="188" t="n"/>
      <c r="D199" s="188" t="n"/>
      <c r="E199" s="188" t="n"/>
      <c r="F199" s="188" t="n"/>
      <c r="G199" s="188" t="n"/>
      <c r="H199" s="188" t="n"/>
      <c r="I199" s="188" t="n"/>
      <c r="J199" s="188" t="n"/>
      <c r="K199" s="188" t="n"/>
      <c r="L199" s="188" t="n"/>
      <c r="M199" s="188" t="n"/>
      <c r="N199" s="188" t="n"/>
      <c r="O199" s="188" t="n"/>
      <c r="P199" s="188" t="n"/>
      <c r="Q199" s="188" t="n"/>
      <c r="R199" s="188" t="n"/>
      <c r="S199" s="188" t="n"/>
      <c r="T199" s="188" t="n"/>
      <c r="U199" s="188" t="n"/>
      <c r="V199" s="188" t="n"/>
      <c r="W199" s="188" t="n"/>
      <c r="X199" s="188" t="n"/>
      <c r="Y199" s="188" t="n"/>
      <c r="Z199" s="188" t="n"/>
    </row>
    <row r="200" ht="15.75" customHeight="1" s="673">
      <c r="A200" s="187" t="n"/>
      <c r="B200" s="188" t="n"/>
      <c r="C200" s="188" t="n"/>
      <c r="D200" s="188" t="n"/>
      <c r="E200" s="188" t="n"/>
      <c r="F200" s="188" t="n"/>
      <c r="G200" s="188" t="n"/>
      <c r="H200" s="188" t="n"/>
      <c r="I200" s="188" t="n"/>
      <c r="J200" s="188" t="n"/>
      <c r="K200" s="188" t="n"/>
      <c r="L200" s="188" t="n"/>
      <c r="M200" s="188" t="n"/>
      <c r="N200" s="188" t="n"/>
      <c r="O200" s="188" t="n"/>
      <c r="P200" s="188" t="n"/>
      <c r="Q200" s="188" t="n"/>
      <c r="R200" s="188" t="n"/>
      <c r="S200" s="188" t="n"/>
      <c r="T200" s="188" t="n"/>
      <c r="U200" s="188" t="n"/>
      <c r="V200" s="188" t="n"/>
      <c r="W200" s="188" t="n"/>
      <c r="X200" s="188" t="n"/>
      <c r="Y200" s="188" t="n"/>
      <c r="Z200" s="188" t="n"/>
    </row>
    <row r="201" ht="15.75" customHeight="1" s="673">
      <c r="A201" s="187" t="n"/>
      <c r="B201" s="188" t="n"/>
      <c r="C201" s="188" t="n"/>
      <c r="D201" s="188" t="n"/>
      <c r="E201" s="188" t="n"/>
      <c r="F201" s="188" t="n"/>
      <c r="G201" s="188" t="n"/>
      <c r="H201" s="188" t="n"/>
      <c r="I201" s="188" t="n"/>
      <c r="J201" s="188" t="n"/>
      <c r="K201" s="188" t="n"/>
      <c r="L201" s="188" t="n"/>
      <c r="M201" s="188" t="n"/>
      <c r="N201" s="188" t="n"/>
      <c r="O201" s="188" t="n"/>
      <c r="P201" s="188" t="n"/>
      <c r="Q201" s="188" t="n"/>
      <c r="R201" s="188" t="n"/>
      <c r="S201" s="188" t="n"/>
      <c r="T201" s="188" t="n"/>
      <c r="U201" s="188" t="n"/>
      <c r="V201" s="188" t="n"/>
      <c r="W201" s="188" t="n"/>
      <c r="X201" s="188" t="n"/>
      <c r="Y201" s="188" t="n"/>
      <c r="Z201" s="188" t="n"/>
    </row>
    <row r="202" ht="15.75" customHeight="1" s="673">
      <c r="A202" s="187" t="n"/>
      <c r="B202" s="188" t="n"/>
      <c r="C202" s="188" t="n"/>
      <c r="D202" s="188" t="n"/>
      <c r="E202" s="188" t="n"/>
      <c r="F202" s="188" t="n"/>
      <c r="G202" s="188" t="n"/>
      <c r="H202" s="188" t="n"/>
      <c r="I202" s="188" t="n"/>
      <c r="J202" s="188" t="n"/>
      <c r="K202" s="188" t="n"/>
      <c r="L202" s="188" t="n"/>
      <c r="M202" s="188" t="n"/>
      <c r="N202" s="188" t="n"/>
      <c r="O202" s="188" t="n"/>
      <c r="P202" s="188" t="n"/>
      <c r="Q202" s="188" t="n"/>
      <c r="R202" s="188" t="n"/>
      <c r="S202" s="188" t="n"/>
      <c r="T202" s="188" t="n"/>
      <c r="U202" s="188" t="n"/>
      <c r="V202" s="188" t="n"/>
      <c r="W202" s="188" t="n"/>
      <c r="X202" s="188" t="n"/>
      <c r="Y202" s="188" t="n"/>
      <c r="Z202" s="188" t="n"/>
    </row>
    <row r="203" ht="15.75" customHeight="1" s="673">
      <c r="A203" s="187" t="n"/>
      <c r="B203" s="188" t="n"/>
      <c r="C203" s="188" t="n"/>
      <c r="D203" s="188" t="n"/>
      <c r="E203" s="188" t="n"/>
      <c r="F203" s="188" t="n"/>
      <c r="G203" s="188" t="n"/>
      <c r="H203" s="188" t="n"/>
      <c r="I203" s="188" t="n"/>
      <c r="J203" s="188" t="n"/>
      <c r="K203" s="188" t="n"/>
      <c r="L203" s="188" t="n"/>
      <c r="M203" s="188" t="n"/>
      <c r="N203" s="188" t="n"/>
      <c r="O203" s="188" t="n"/>
      <c r="P203" s="188" t="n"/>
      <c r="Q203" s="188" t="n"/>
      <c r="R203" s="188" t="n"/>
      <c r="S203" s="188" t="n"/>
      <c r="T203" s="188" t="n"/>
      <c r="U203" s="188" t="n"/>
      <c r="V203" s="188" t="n"/>
      <c r="W203" s="188" t="n"/>
      <c r="X203" s="188" t="n"/>
      <c r="Y203" s="188" t="n"/>
      <c r="Z203" s="188" t="n"/>
    </row>
    <row r="204" ht="15.75" customHeight="1" s="673">
      <c r="A204" s="187" t="n"/>
      <c r="B204" s="188" t="n"/>
      <c r="C204" s="188" t="n"/>
      <c r="D204" s="188" t="n"/>
      <c r="E204" s="188" t="n"/>
      <c r="F204" s="188" t="n"/>
      <c r="G204" s="188" t="n"/>
      <c r="H204" s="188" t="n"/>
      <c r="I204" s="188" t="n"/>
      <c r="J204" s="188" t="n"/>
      <c r="K204" s="188" t="n"/>
      <c r="L204" s="188" t="n"/>
      <c r="M204" s="188" t="n"/>
      <c r="N204" s="188" t="n"/>
      <c r="O204" s="188" t="n"/>
      <c r="P204" s="188" t="n"/>
      <c r="Q204" s="188" t="n"/>
      <c r="R204" s="188" t="n"/>
      <c r="S204" s="188" t="n"/>
      <c r="T204" s="188" t="n"/>
      <c r="U204" s="188" t="n"/>
      <c r="V204" s="188" t="n"/>
      <c r="W204" s="188" t="n"/>
      <c r="X204" s="188" t="n"/>
      <c r="Y204" s="188" t="n"/>
      <c r="Z204" s="188" t="n"/>
    </row>
    <row r="205" ht="15.75" customHeight="1" s="673">
      <c r="A205" s="187" t="n"/>
      <c r="B205" s="188" t="n"/>
      <c r="C205" s="188" t="n"/>
      <c r="D205" s="188" t="n"/>
      <c r="E205" s="188" t="n"/>
      <c r="F205" s="188" t="n"/>
      <c r="G205" s="188" t="n"/>
      <c r="H205" s="188" t="n"/>
      <c r="I205" s="188" t="n"/>
      <c r="J205" s="188" t="n"/>
      <c r="K205" s="188" t="n"/>
      <c r="L205" s="188" t="n"/>
      <c r="M205" s="188" t="n"/>
      <c r="N205" s="188" t="n"/>
      <c r="O205" s="188" t="n"/>
      <c r="P205" s="188" t="n"/>
      <c r="Q205" s="188" t="n"/>
      <c r="R205" s="188" t="n"/>
      <c r="S205" s="188" t="n"/>
      <c r="T205" s="188" t="n"/>
      <c r="U205" s="188" t="n"/>
      <c r="V205" s="188" t="n"/>
      <c r="W205" s="188" t="n"/>
      <c r="X205" s="188" t="n"/>
      <c r="Y205" s="188" t="n"/>
      <c r="Z205" s="188" t="n"/>
    </row>
    <row r="206" ht="15.75" customHeight="1" s="673">
      <c r="A206" s="187" t="n"/>
      <c r="B206" s="188" t="n"/>
      <c r="C206" s="188" t="n"/>
      <c r="D206" s="188" t="n"/>
      <c r="E206" s="188" t="n"/>
      <c r="F206" s="188" t="n"/>
      <c r="G206" s="188" t="n"/>
      <c r="H206" s="188" t="n"/>
      <c r="I206" s="188" t="n"/>
      <c r="J206" s="188" t="n"/>
      <c r="K206" s="188" t="n"/>
      <c r="L206" s="188" t="n"/>
      <c r="M206" s="188" t="n"/>
      <c r="N206" s="188" t="n"/>
      <c r="O206" s="188" t="n"/>
      <c r="P206" s="188" t="n"/>
      <c r="Q206" s="188" t="n"/>
      <c r="R206" s="188" t="n"/>
      <c r="S206" s="188" t="n"/>
      <c r="T206" s="188" t="n"/>
      <c r="U206" s="188" t="n"/>
      <c r="V206" s="188" t="n"/>
      <c r="W206" s="188" t="n"/>
      <c r="X206" s="188" t="n"/>
      <c r="Y206" s="188" t="n"/>
      <c r="Z206" s="188" t="n"/>
    </row>
    <row r="207" ht="15.75" customHeight="1" s="673">
      <c r="A207" s="187" t="n"/>
      <c r="B207" s="188" t="n"/>
      <c r="C207" s="188" t="n"/>
      <c r="D207" s="188" t="n"/>
      <c r="E207" s="188" t="n"/>
      <c r="F207" s="188" t="n"/>
      <c r="G207" s="188" t="n"/>
      <c r="H207" s="188" t="n"/>
      <c r="I207" s="188" t="n"/>
      <c r="J207" s="188" t="n"/>
      <c r="K207" s="188" t="n"/>
      <c r="L207" s="188" t="n"/>
      <c r="M207" s="188" t="n"/>
      <c r="N207" s="188" t="n"/>
      <c r="O207" s="188" t="n"/>
      <c r="P207" s="188" t="n"/>
      <c r="Q207" s="188" t="n"/>
      <c r="R207" s="188" t="n"/>
      <c r="S207" s="188" t="n"/>
      <c r="T207" s="188" t="n"/>
      <c r="U207" s="188" t="n"/>
      <c r="V207" s="188" t="n"/>
      <c r="W207" s="188" t="n"/>
      <c r="X207" s="188" t="n"/>
      <c r="Y207" s="188" t="n"/>
      <c r="Z207" s="188" t="n"/>
    </row>
    <row r="208" ht="15.75" customHeight="1" s="673">
      <c r="A208" s="187" t="n"/>
      <c r="B208" s="188" t="n"/>
      <c r="C208" s="188" t="n"/>
      <c r="D208" s="188" t="n"/>
      <c r="E208" s="188" t="n"/>
      <c r="F208" s="188" t="n"/>
      <c r="G208" s="188" t="n"/>
      <c r="H208" s="188" t="n"/>
      <c r="I208" s="188" t="n"/>
      <c r="J208" s="188" t="n"/>
      <c r="K208" s="188" t="n"/>
      <c r="L208" s="188" t="n"/>
      <c r="M208" s="188" t="n"/>
      <c r="N208" s="188" t="n"/>
      <c r="O208" s="188" t="n"/>
      <c r="P208" s="188" t="n"/>
      <c r="Q208" s="188" t="n"/>
      <c r="R208" s="188" t="n"/>
      <c r="S208" s="188" t="n"/>
      <c r="T208" s="188" t="n"/>
      <c r="U208" s="188" t="n"/>
      <c r="V208" s="188" t="n"/>
      <c r="W208" s="188" t="n"/>
      <c r="X208" s="188" t="n"/>
      <c r="Y208" s="188" t="n"/>
      <c r="Z208" s="188" t="n"/>
    </row>
    <row r="209" ht="15.75" customHeight="1" s="673">
      <c r="A209" s="187" t="n"/>
      <c r="B209" s="188" t="n"/>
      <c r="C209" s="188" t="n"/>
      <c r="D209" s="188" t="n"/>
      <c r="E209" s="188" t="n"/>
      <c r="F209" s="188" t="n"/>
      <c r="G209" s="188" t="n"/>
      <c r="H209" s="188" t="n"/>
      <c r="I209" s="188" t="n"/>
      <c r="J209" s="188" t="n"/>
      <c r="K209" s="188" t="n"/>
      <c r="L209" s="188" t="n"/>
      <c r="M209" s="188" t="n"/>
      <c r="N209" s="188" t="n"/>
      <c r="O209" s="188" t="n"/>
      <c r="P209" s="188" t="n"/>
      <c r="Q209" s="188" t="n"/>
      <c r="R209" s="188" t="n"/>
      <c r="S209" s="188" t="n"/>
      <c r="T209" s="188" t="n"/>
      <c r="U209" s="188" t="n"/>
      <c r="V209" s="188" t="n"/>
      <c r="W209" s="188" t="n"/>
      <c r="X209" s="188" t="n"/>
      <c r="Y209" s="188" t="n"/>
      <c r="Z209" s="188" t="n"/>
    </row>
    <row r="210" ht="15.75" customHeight="1" s="673">
      <c r="A210" s="187" t="n"/>
      <c r="B210" s="188" t="n"/>
      <c r="C210" s="188" t="n"/>
      <c r="D210" s="188" t="n"/>
      <c r="E210" s="188" t="n"/>
      <c r="F210" s="188" t="n"/>
      <c r="G210" s="188" t="n"/>
      <c r="H210" s="188" t="n"/>
      <c r="I210" s="188" t="n"/>
      <c r="J210" s="188" t="n"/>
      <c r="K210" s="188" t="n"/>
      <c r="L210" s="188" t="n"/>
      <c r="M210" s="188" t="n"/>
      <c r="N210" s="188" t="n"/>
      <c r="O210" s="188" t="n"/>
      <c r="P210" s="188" t="n"/>
      <c r="Q210" s="188" t="n"/>
      <c r="R210" s="188" t="n"/>
      <c r="S210" s="188" t="n"/>
      <c r="T210" s="188" t="n"/>
      <c r="U210" s="188" t="n"/>
      <c r="V210" s="188" t="n"/>
      <c r="W210" s="188" t="n"/>
      <c r="X210" s="188" t="n"/>
      <c r="Y210" s="188" t="n"/>
      <c r="Z210" s="188" t="n"/>
    </row>
    <row r="211" ht="15.75" customHeight="1" s="673">
      <c r="A211" s="187" t="n"/>
      <c r="B211" s="188" t="n"/>
      <c r="C211" s="188" t="n"/>
      <c r="D211" s="188" t="n"/>
      <c r="E211" s="188" t="n"/>
      <c r="F211" s="188" t="n"/>
      <c r="G211" s="188" t="n"/>
      <c r="H211" s="188" t="n"/>
      <c r="I211" s="188" t="n"/>
      <c r="J211" s="188" t="n"/>
      <c r="K211" s="188" t="n"/>
      <c r="L211" s="188" t="n"/>
      <c r="M211" s="188" t="n"/>
      <c r="N211" s="188" t="n"/>
      <c r="O211" s="188" t="n"/>
      <c r="P211" s="188" t="n"/>
      <c r="Q211" s="188" t="n"/>
      <c r="R211" s="188" t="n"/>
      <c r="S211" s="188" t="n"/>
      <c r="T211" s="188" t="n"/>
      <c r="U211" s="188" t="n"/>
      <c r="V211" s="188" t="n"/>
      <c r="W211" s="188" t="n"/>
      <c r="X211" s="188" t="n"/>
      <c r="Y211" s="188" t="n"/>
      <c r="Z211" s="188" t="n"/>
    </row>
    <row r="212" ht="15.75" customHeight="1" s="673">
      <c r="A212" s="187" t="n"/>
      <c r="B212" s="188" t="n"/>
      <c r="C212" s="188" t="n"/>
      <c r="D212" s="188" t="n"/>
      <c r="E212" s="188" t="n"/>
      <c r="F212" s="188" t="n"/>
      <c r="G212" s="188" t="n"/>
      <c r="H212" s="188" t="n"/>
      <c r="I212" s="188" t="n"/>
      <c r="J212" s="188" t="n"/>
      <c r="K212" s="188" t="n"/>
      <c r="L212" s="188" t="n"/>
      <c r="M212" s="188" t="n"/>
      <c r="N212" s="188" t="n"/>
      <c r="O212" s="188" t="n"/>
      <c r="P212" s="188" t="n"/>
      <c r="Q212" s="188" t="n"/>
      <c r="R212" s="188" t="n"/>
      <c r="S212" s="188" t="n"/>
      <c r="T212" s="188" t="n"/>
      <c r="U212" s="188" t="n"/>
      <c r="V212" s="188" t="n"/>
      <c r="W212" s="188" t="n"/>
      <c r="X212" s="188" t="n"/>
      <c r="Y212" s="188" t="n"/>
      <c r="Z212" s="188" t="n"/>
    </row>
    <row r="213" ht="15.75" customHeight="1" s="673">
      <c r="A213" s="187" t="n"/>
      <c r="B213" s="188" t="n"/>
      <c r="C213" s="188" t="n"/>
      <c r="D213" s="188" t="n"/>
      <c r="E213" s="188" t="n"/>
      <c r="F213" s="188" t="n"/>
      <c r="G213" s="188" t="n"/>
      <c r="H213" s="188" t="n"/>
      <c r="I213" s="188" t="n"/>
      <c r="J213" s="188" t="n"/>
      <c r="K213" s="188" t="n"/>
      <c r="L213" s="188" t="n"/>
      <c r="M213" s="188" t="n"/>
      <c r="N213" s="188" t="n"/>
      <c r="O213" s="188" t="n"/>
      <c r="P213" s="188" t="n"/>
      <c r="Q213" s="188" t="n"/>
      <c r="R213" s="188" t="n"/>
      <c r="S213" s="188" t="n"/>
      <c r="T213" s="188" t="n"/>
      <c r="U213" s="188" t="n"/>
      <c r="V213" s="188" t="n"/>
      <c r="W213" s="188" t="n"/>
      <c r="X213" s="188" t="n"/>
      <c r="Y213" s="188" t="n"/>
      <c r="Z213" s="188" t="n"/>
    </row>
    <row r="214" ht="15.75" customHeight="1" s="673">
      <c r="A214" s="187" t="n"/>
      <c r="B214" s="188" t="n"/>
      <c r="C214" s="188" t="n"/>
      <c r="D214" s="188" t="n"/>
      <c r="E214" s="188" t="n"/>
      <c r="F214" s="188" t="n"/>
      <c r="G214" s="188" t="n"/>
      <c r="H214" s="188" t="n"/>
      <c r="I214" s="188" t="n"/>
      <c r="J214" s="188" t="n"/>
      <c r="K214" s="188" t="n"/>
      <c r="L214" s="188" t="n"/>
      <c r="M214" s="188" t="n"/>
      <c r="N214" s="188" t="n"/>
      <c r="O214" s="188" t="n"/>
      <c r="P214" s="188" t="n"/>
      <c r="Q214" s="188" t="n"/>
      <c r="R214" s="188" t="n"/>
      <c r="S214" s="188" t="n"/>
      <c r="T214" s="188" t="n"/>
      <c r="U214" s="188" t="n"/>
      <c r="V214" s="188" t="n"/>
      <c r="W214" s="188" t="n"/>
      <c r="X214" s="188" t="n"/>
      <c r="Y214" s="188" t="n"/>
      <c r="Z214" s="188" t="n"/>
    </row>
    <row r="215" ht="15.75" customHeight="1" s="673">
      <c r="A215" s="187" t="n"/>
      <c r="B215" s="188" t="n"/>
      <c r="C215" s="188" t="n"/>
      <c r="D215" s="188" t="n"/>
      <c r="E215" s="188" t="n"/>
      <c r="F215" s="188" t="n"/>
      <c r="G215" s="188" t="n"/>
      <c r="H215" s="188" t="n"/>
      <c r="I215" s="188" t="n"/>
      <c r="J215" s="188" t="n"/>
      <c r="K215" s="188" t="n"/>
      <c r="L215" s="188" t="n"/>
      <c r="M215" s="188" t="n"/>
      <c r="N215" s="188" t="n"/>
      <c r="O215" s="188" t="n"/>
      <c r="P215" s="188" t="n"/>
      <c r="Q215" s="188" t="n"/>
      <c r="R215" s="188" t="n"/>
      <c r="S215" s="188" t="n"/>
      <c r="T215" s="188" t="n"/>
      <c r="U215" s="188" t="n"/>
      <c r="V215" s="188" t="n"/>
      <c r="W215" s="188" t="n"/>
      <c r="X215" s="188" t="n"/>
      <c r="Y215" s="188" t="n"/>
      <c r="Z215" s="188" t="n"/>
    </row>
    <row r="216" ht="15.75" customHeight="1" s="673">
      <c r="A216" s="187" t="n"/>
      <c r="B216" s="188" t="n"/>
      <c r="C216" s="188" t="n"/>
      <c r="D216" s="188" t="n"/>
      <c r="E216" s="188" t="n"/>
      <c r="F216" s="188" t="n"/>
      <c r="G216" s="188" t="n"/>
      <c r="H216" s="188" t="n"/>
      <c r="I216" s="188" t="n"/>
      <c r="J216" s="188" t="n"/>
      <c r="K216" s="188" t="n"/>
      <c r="L216" s="188" t="n"/>
      <c r="M216" s="188" t="n"/>
      <c r="N216" s="188" t="n"/>
      <c r="O216" s="188" t="n"/>
      <c r="P216" s="188" t="n"/>
      <c r="Q216" s="188" t="n"/>
      <c r="R216" s="188" t="n"/>
      <c r="S216" s="188" t="n"/>
      <c r="T216" s="188" t="n"/>
      <c r="U216" s="188" t="n"/>
      <c r="V216" s="188" t="n"/>
      <c r="W216" s="188" t="n"/>
      <c r="X216" s="188" t="n"/>
      <c r="Y216" s="188" t="n"/>
      <c r="Z216" s="188" t="n"/>
    </row>
    <row r="217" ht="15.75" customHeight="1" s="673">
      <c r="A217" s="187" t="n"/>
      <c r="B217" s="188" t="n"/>
      <c r="C217" s="188" t="n"/>
      <c r="D217" s="188" t="n"/>
      <c r="E217" s="188" t="n"/>
      <c r="F217" s="188" t="n"/>
      <c r="G217" s="188" t="n"/>
      <c r="H217" s="188" t="n"/>
      <c r="I217" s="188" t="n"/>
      <c r="J217" s="188" t="n"/>
      <c r="K217" s="188" t="n"/>
      <c r="L217" s="188" t="n"/>
      <c r="M217" s="188" t="n"/>
      <c r="N217" s="188" t="n"/>
      <c r="O217" s="188" t="n"/>
      <c r="P217" s="188" t="n"/>
      <c r="Q217" s="188" t="n"/>
      <c r="R217" s="188" t="n"/>
      <c r="S217" s="188" t="n"/>
      <c r="T217" s="188" t="n"/>
      <c r="U217" s="188" t="n"/>
      <c r="V217" s="188" t="n"/>
      <c r="W217" s="188" t="n"/>
      <c r="X217" s="188" t="n"/>
      <c r="Y217" s="188" t="n"/>
      <c r="Z217" s="188" t="n"/>
    </row>
    <row r="218" ht="15.75" customHeight="1" s="673">
      <c r="A218" s="187" t="n"/>
      <c r="B218" s="188" t="n"/>
      <c r="C218" s="188" t="n"/>
      <c r="D218" s="188" t="n"/>
      <c r="E218" s="188" t="n"/>
      <c r="F218" s="188" t="n"/>
      <c r="G218" s="188" t="n"/>
      <c r="H218" s="188" t="n"/>
      <c r="I218" s="188" t="n"/>
      <c r="J218" s="188" t="n"/>
      <c r="K218" s="188" t="n"/>
      <c r="L218" s="188" t="n"/>
      <c r="M218" s="188" t="n"/>
      <c r="N218" s="188" t="n"/>
      <c r="O218" s="188" t="n"/>
      <c r="P218" s="188" t="n"/>
      <c r="Q218" s="188" t="n"/>
      <c r="R218" s="188" t="n"/>
      <c r="S218" s="188" t="n"/>
      <c r="T218" s="188" t="n"/>
      <c r="U218" s="188" t="n"/>
      <c r="V218" s="188" t="n"/>
      <c r="W218" s="188" t="n"/>
      <c r="X218" s="188" t="n"/>
      <c r="Y218" s="188" t="n"/>
      <c r="Z218" s="188" t="n"/>
    </row>
    <row r="219" ht="15.75" customHeight="1" s="673">
      <c r="A219" s="187" t="n"/>
      <c r="B219" s="188" t="n"/>
      <c r="C219" s="188" t="n"/>
      <c r="D219" s="188" t="n"/>
      <c r="E219" s="188" t="n"/>
      <c r="F219" s="188" t="n"/>
      <c r="G219" s="188" t="n"/>
      <c r="H219" s="188" t="n"/>
      <c r="I219" s="188" t="n"/>
      <c r="J219" s="188" t="n"/>
      <c r="K219" s="188" t="n"/>
      <c r="L219" s="188" t="n"/>
      <c r="M219" s="188" t="n"/>
      <c r="N219" s="188" t="n"/>
      <c r="O219" s="188" t="n"/>
      <c r="P219" s="188" t="n"/>
      <c r="Q219" s="188" t="n"/>
      <c r="R219" s="188" t="n"/>
      <c r="S219" s="188" t="n"/>
      <c r="T219" s="188" t="n"/>
      <c r="U219" s="188" t="n"/>
      <c r="V219" s="188" t="n"/>
      <c r="W219" s="188" t="n"/>
      <c r="X219" s="188" t="n"/>
      <c r="Y219" s="188" t="n"/>
      <c r="Z219" s="188" t="n"/>
    </row>
    <row r="220" ht="15.75" customHeight="1" s="673">
      <c r="A220" s="187" t="n"/>
      <c r="B220" s="188" t="n"/>
      <c r="C220" s="188" t="n"/>
      <c r="D220" s="188" t="n"/>
      <c r="E220" s="188" t="n"/>
      <c r="F220" s="188" t="n"/>
      <c r="G220" s="188" t="n"/>
      <c r="H220" s="188" t="n"/>
      <c r="I220" s="188" t="n"/>
      <c r="J220" s="188" t="n"/>
      <c r="K220" s="188" t="n"/>
      <c r="L220" s="188" t="n"/>
      <c r="M220" s="188" t="n"/>
      <c r="N220" s="188" t="n"/>
      <c r="O220" s="188" t="n"/>
      <c r="P220" s="188" t="n"/>
      <c r="Q220" s="188" t="n"/>
      <c r="R220" s="188" t="n"/>
      <c r="S220" s="188" t="n"/>
      <c r="T220" s="188" t="n"/>
      <c r="U220" s="188" t="n"/>
      <c r="V220" s="188" t="n"/>
      <c r="W220" s="188" t="n"/>
      <c r="X220" s="188" t="n"/>
      <c r="Y220" s="188" t="n"/>
      <c r="Z220" s="188" t="n"/>
    </row>
    <row r="221" ht="15.75" customHeight="1" s="673">
      <c r="A221" s="187" t="n"/>
      <c r="B221" s="188" t="n"/>
      <c r="C221" s="188" t="n"/>
      <c r="D221" s="188" t="n"/>
      <c r="E221" s="188" t="n"/>
      <c r="F221" s="188" t="n"/>
      <c r="G221" s="188" t="n"/>
      <c r="H221" s="188" t="n"/>
      <c r="I221" s="188" t="n"/>
      <c r="J221" s="188" t="n"/>
      <c r="K221" s="188" t="n"/>
      <c r="L221" s="188" t="n"/>
      <c r="M221" s="188" t="n"/>
      <c r="N221" s="188" t="n"/>
      <c r="O221" s="188" t="n"/>
      <c r="P221" s="188" t="n"/>
      <c r="Q221" s="188" t="n"/>
      <c r="R221" s="188" t="n"/>
      <c r="S221" s="188" t="n"/>
      <c r="T221" s="188" t="n"/>
      <c r="U221" s="188" t="n"/>
      <c r="V221" s="188" t="n"/>
      <c r="W221" s="188" t="n"/>
      <c r="X221" s="188" t="n"/>
      <c r="Y221" s="188" t="n"/>
      <c r="Z221" s="188" t="n"/>
    </row>
    <row r="222" ht="15.75" customHeight="1" s="673">
      <c r="A222" s="187" t="n"/>
      <c r="B222" s="188" t="n"/>
      <c r="C222" s="188" t="n"/>
      <c r="D222" s="188" t="n"/>
      <c r="E222" s="188" t="n"/>
      <c r="F222" s="188" t="n"/>
      <c r="G222" s="188" t="n"/>
      <c r="H222" s="188" t="n"/>
      <c r="I222" s="188" t="n"/>
      <c r="J222" s="188" t="n"/>
      <c r="K222" s="188" t="n"/>
      <c r="L222" s="188" t="n"/>
      <c r="M222" s="188" t="n"/>
      <c r="N222" s="188" t="n"/>
      <c r="O222" s="188" t="n"/>
      <c r="P222" s="188" t="n"/>
      <c r="Q222" s="188" t="n"/>
      <c r="R222" s="188" t="n"/>
      <c r="S222" s="188" t="n"/>
      <c r="T222" s="188" t="n"/>
      <c r="U222" s="188" t="n"/>
      <c r="V222" s="188" t="n"/>
      <c r="W222" s="188" t="n"/>
      <c r="X222" s="188" t="n"/>
      <c r="Y222" s="188" t="n"/>
      <c r="Z222" s="188" t="n"/>
    </row>
    <row r="223" ht="15.75" customHeight="1" s="673">
      <c r="A223" s="187" t="n"/>
      <c r="B223" s="188" t="n"/>
      <c r="C223" s="188" t="n"/>
      <c r="D223" s="188" t="n"/>
      <c r="E223" s="188" t="n"/>
      <c r="F223" s="188" t="n"/>
      <c r="G223" s="188" t="n"/>
      <c r="H223" s="188" t="n"/>
      <c r="I223" s="188" t="n"/>
      <c r="J223" s="188" t="n"/>
      <c r="K223" s="188" t="n"/>
      <c r="L223" s="188" t="n"/>
      <c r="M223" s="188" t="n"/>
      <c r="N223" s="188" t="n"/>
      <c r="O223" s="188" t="n"/>
      <c r="P223" s="188" t="n"/>
      <c r="Q223" s="188" t="n"/>
      <c r="R223" s="188" t="n"/>
      <c r="S223" s="188" t="n"/>
      <c r="T223" s="188" t="n"/>
      <c r="U223" s="188" t="n"/>
      <c r="V223" s="188" t="n"/>
      <c r="W223" s="188" t="n"/>
      <c r="X223" s="188" t="n"/>
      <c r="Y223" s="188" t="n"/>
      <c r="Z223" s="188" t="n"/>
    </row>
    <row r="224" ht="15.75" customHeight="1" s="673">
      <c r="A224" s="187" t="n"/>
      <c r="B224" s="188" t="n"/>
      <c r="C224" s="188" t="n"/>
      <c r="D224" s="188" t="n"/>
      <c r="E224" s="188" t="n"/>
      <c r="F224" s="188" t="n"/>
      <c r="G224" s="188" t="n"/>
      <c r="H224" s="188" t="n"/>
      <c r="I224" s="188" t="n"/>
      <c r="J224" s="188" t="n"/>
      <c r="K224" s="188" t="n"/>
      <c r="L224" s="188" t="n"/>
      <c r="M224" s="188" t="n"/>
      <c r="N224" s="188" t="n"/>
      <c r="O224" s="188" t="n"/>
      <c r="P224" s="188" t="n"/>
      <c r="Q224" s="188" t="n"/>
      <c r="R224" s="188" t="n"/>
      <c r="S224" s="188" t="n"/>
      <c r="T224" s="188" t="n"/>
      <c r="U224" s="188" t="n"/>
      <c r="V224" s="188" t="n"/>
      <c r="W224" s="188" t="n"/>
      <c r="X224" s="188" t="n"/>
      <c r="Y224" s="188" t="n"/>
      <c r="Z224" s="188" t="n"/>
    </row>
    <row r="225" ht="15.75" customHeight="1" s="673">
      <c r="A225" s="187" t="n"/>
      <c r="B225" s="188" t="n"/>
      <c r="C225" s="188" t="n"/>
      <c r="D225" s="188" t="n"/>
      <c r="E225" s="188" t="n"/>
      <c r="F225" s="188" t="n"/>
      <c r="G225" s="188" t="n"/>
      <c r="H225" s="188" t="n"/>
      <c r="I225" s="188" t="n"/>
      <c r="J225" s="188" t="n"/>
      <c r="K225" s="188" t="n"/>
      <c r="L225" s="188" t="n"/>
      <c r="M225" s="188" t="n"/>
      <c r="N225" s="188" t="n"/>
      <c r="O225" s="188" t="n"/>
      <c r="P225" s="188" t="n"/>
      <c r="Q225" s="188" t="n"/>
      <c r="R225" s="188" t="n"/>
      <c r="S225" s="188" t="n"/>
      <c r="T225" s="188" t="n"/>
      <c r="U225" s="188" t="n"/>
      <c r="V225" s="188" t="n"/>
      <c r="W225" s="188" t="n"/>
      <c r="X225" s="188" t="n"/>
      <c r="Y225" s="188" t="n"/>
      <c r="Z225" s="188" t="n"/>
    </row>
    <row r="226" ht="15.75" customHeight="1" s="673">
      <c r="A226" s="187" t="n"/>
      <c r="B226" s="188" t="n"/>
      <c r="C226" s="188" t="n"/>
      <c r="D226" s="188" t="n"/>
      <c r="E226" s="188" t="n"/>
      <c r="F226" s="188" t="n"/>
      <c r="G226" s="188" t="n"/>
      <c r="H226" s="188" t="n"/>
      <c r="I226" s="188" t="n"/>
      <c r="J226" s="188" t="n"/>
      <c r="K226" s="188" t="n"/>
      <c r="L226" s="188" t="n"/>
      <c r="M226" s="188" t="n"/>
      <c r="N226" s="188" t="n"/>
      <c r="O226" s="188" t="n"/>
      <c r="P226" s="188" t="n"/>
      <c r="Q226" s="188" t="n"/>
      <c r="R226" s="188" t="n"/>
      <c r="S226" s="188" t="n"/>
      <c r="T226" s="188" t="n"/>
      <c r="U226" s="188" t="n"/>
      <c r="V226" s="188" t="n"/>
      <c r="W226" s="188" t="n"/>
      <c r="X226" s="188" t="n"/>
      <c r="Y226" s="188" t="n"/>
      <c r="Z226" s="188" t="n"/>
    </row>
    <row r="227" ht="15.75" customHeight="1" s="673">
      <c r="A227" s="187" t="n"/>
      <c r="B227" s="188" t="n"/>
      <c r="C227" s="188" t="n"/>
      <c r="D227" s="188" t="n"/>
      <c r="E227" s="188" t="n"/>
      <c r="F227" s="188" t="n"/>
      <c r="G227" s="188" t="n"/>
      <c r="H227" s="188" t="n"/>
      <c r="I227" s="188" t="n"/>
      <c r="J227" s="188" t="n"/>
      <c r="K227" s="188" t="n"/>
      <c r="L227" s="188" t="n"/>
      <c r="M227" s="188" t="n"/>
      <c r="N227" s="188" t="n"/>
      <c r="O227" s="188" t="n"/>
      <c r="P227" s="188" t="n"/>
      <c r="Q227" s="188" t="n"/>
      <c r="R227" s="188" t="n"/>
      <c r="S227" s="188" t="n"/>
      <c r="T227" s="188" t="n"/>
      <c r="U227" s="188" t="n"/>
      <c r="V227" s="188" t="n"/>
      <c r="W227" s="188" t="n"/>
      <c r="X227" s="188" t="n"/>
      <c r="Y227" s="188" t="n"/>
      <c r="Z227" s="188" t="n"/>
    </row>
    <row r="228" ht="15.75" customHeight="1" s="673">
      <c r="A228" s="187" t="n"/>
      <c r="B228" s="188" t="n"/>
      <c r="C228" s="188" t="n"/>
      <c r="D228" s="188" t="n"/>
      <c r="E228" s="188" t="n"/>
      <c r="F228" s="188" t="n"/>
      <c r="G228" s="188" t="n"/>
      <c r="H228" s="188" t="n"/>
      <c r="I228" s="188" t="n"/>
      <c r="J228" s="188" t="n"/>
      <c r="K228" s="188" t="n"/>
      <c r="L228" s="188" t="n"/>
      <c r="M228" s="188" t="n"/>
      <c r="N228" s="188" t="n"/>
      <c r="O228" s="188" t="n"/>
      <c r="P228" s="188" t="n"/>
      <c r="Q228" s="188" t="n"/>
      <c r="R228" s="188" t="n"/>
      <c r="S228" s="188" t="n"/>
      <c r="T228" s="188" t="n"/>
      <c r="U228" s="188" t="n"/>
      <c r="V228" s="188" t="n"/>
      <c r="W228" s="188" t="n"/>
      <c r="X228" s="188" t="n"/>
      <c r="Y228" s="188" t="n"/>
      <c r="Z228" s="188" t="n"/>
    </row>
    <row r="229" ht="15.75" customHeight="1" s="673">
      <c r="A229" s="187" t="n"/>
      <c r="B229" s="188" t="n"/>
      <c r="C229" s="188" t="n"/>
      <c r="D229" s="188" t="n"/>
      <c r="E229" s="188" t="n"/>
      <c r="F229" s="188" t="n"/>
      <c r="G229" s="188" t="n"/>
      <c r="H229" s="188" t="n"/>
      <c r="I229" s="188" t="n"/>
      <c r="J229" s="188" t="n"/>
      <c r="K229" s="188" t="n"/>
      <c r="L229" s="188" t="n"/>
      <c r="M229" s="188" t="n"/>
      <c r="N229" s="188" t="n"/>
      <c r="O229" s="188" t="n"/>
      <c r="P229" s="188" t="n"/>
      <c r="Q229" s="188" t="n"/>
      <c r="R229" s="188" t="n"/>
      <c r="S229" s="188" t="n"/>
      <c r="T229" s="188" t="n"/>
      <c r="U229" s="188" t="n"/>
      <c r="V229" s="188" t="n"/>
      <c r="W229" s="188" t="n"/>
      <c r="X229" s="188" t="n"/>
      <c r="Y229" s="188" t="n"/>
      <c r="Z229" s="188" t="n"/>
    </row>
    <row r="230" ht="15.75" customHeight="1" s="673">
      <c r="A230" s="187" t="n"/>
      <c r="B230" s="188" t="n"/>
      <c r="C230" s="188" t="n"/>
      <c r="D230" s="188" t="n"/>
      <c r="E230" s="188" t="n"/>
      <c r="F230" s="188" t="n"/>
      <c r="G230" s="188" t="n"/>
      <c r="H230" s="188" t="n"/>
      <c r="I230" s="188" t="n"/>
      <c r="J230" s="188" t="n"/>
      <c r="K230" s="188" t="n"/>
      <c r="L230" s="188" t="n"/>
      <c r="M230" s="188" t="n"/>
      <c r="N230" s="188" t="n"/>
      <c r="O230" s="188" t="n"/>
      <c r="P230" s="188" t="n"/>
      <c r="Q230" s="188" t="n"/>
      <c r="R230" s="188" t="n"/>
      <c r="S230" s="188" t="n"/>
      <c r="T230" s="188" t="n"/>
      <c r="U230" s="188" t="n"/>
      <c r="V230" s="188" t="n"/>
      <c r="W230" s="188" t="n"/>
      <c r="X230" s="188" t="n"/>
      <c r="Y230" s="188" t="n"/>
      <c r="Z230" s="188" t="n"/>
    </row>
    <row r="231" ht="15.75" customHeight="1" s="673">
      <c r="A231" s="187" t="n"/>
      <c r="B231" s="188" t="n"/>
      <c r="C231" s="188" t="n"/>
      <c r="D231" s="188" t="n"/>
      <c r="E231" s="188" t="n"/>
      <c r="F231" s="188" t="n"/>
      <c r="G231" s="188" t="n"/>
      <c r="H231" s="188" t="n"/>
      <c r="I231" s="188" t="n"/>
      <c r="J231" s="188" t="n"/>
      <c r="K231" s="188" t="n"/>
      <c r="L231" s="188" t="n"/>
      <c r="M231" s="188" t="n"/>
      <c r="N231" s="188" t="n"/>
      <c r="O231" s="188" t="n"/>
      <c r="P231" s="188" t="n"/>
      <c r="Q231" s="188" t="n"/>
      <c r="R231" s="188" t="n"/>
      <c r="S231" s="188" t="n"/>
      <c r="T231" s="188" t="n"/>
      <c r="U231" s="188" t="n"/>
      <c r="V231" s="188" t="n"/>
      <c r="W231" s="188" t="n"/>
      <c r="X231" s="188" t="n"/>
      <c r="Y231" s="188" t="n"/>
      <c r="Z231" s="188" t="n"/>
    </row>
    <row r="232" ht="15.75" customHeight="1" s="673">
      <c r="A232" s="187" t="n"/>
      <c r="B232" s="188" t="n"/>
      <c r="C232" s="188" t="n"/>
      <c r="D232" s="188" t="n"/>
      <c r="E232" s="188" t="n"/>
      <c r="F232" s="188" t="n"/>
      <c r="G232" s="188" t="n"/>
      <c r="H232" s="188" t="n"/>
      <c r="I232" s="188" t="n"/>
      <c r="J232" s="188" t="n"/>
      <c r="K232" s="188" t="n"/>
      <c r="L232" s="188" t="n"/>
      <c r="M232" s="188" t="n"/>
      <c r="N232" s="188" t="n"/>
      <c r="O232" s="188" t="n"/>
      <c r="P232" s="188" t="n"/>
      <c r="Q232" s="188" t="n"/>
      <c r="R232" s="188" t="n"/>
      <c r="S232" s="188" t="n"/>
      <c r="T232" s="188" t="n"/>
      <c r="U232" s="188" t="n"/>
      <c r="V232" s="188" t="n"/>
      <c r="W232" s="188" t="n"/>
      <c r="X232" s="188" t="n"/>
      <c r="Y232" s="188" t="n"/>
      <c r="Z232" s="188" t="n"/>
    </row>
    <row r="233" ht="15.75" customHeight="1" s="673">
      <c r="A233" s="187" t="n"/>
      <c r="B233" s="188" t="n"/>
      <c r="C233" s="188" t="n"/>
      <c r="D233" s="188" t="n"/>
      <c r="E233" s="188" t="n"/>
      <c r="F233" s="188" t="n"/>
      <c r="G233" s="188" t="n"/>
      <c r="H233" s="188" t="n"/>
      <c r="I233" s="188" t="n"/>
      <c r="J233" s="188" t="n"/>
      <c r="K233" s="188" t="n"/>
      <c r="L233" s="188" t="n"/>
      <c r="M233" s="188" t="n"/>
      <c r="N233" s="188" t="n"/>
      <c r="O233" s="188" t="n"/>
      <c r="P233" s="188" t="n"/>
      <c r="Q233" s="188" t="n"/>
      <c r="R233" s="188" t="n"/>
      <c r="S233" s="188" t="n"/>
      <c r="T233" s="188" t="n"/>
      <c r="U233" s="188" t="n"/>
      <c r="V233" s="188" t="n"/>
      <c r="W233" s="188" t="n"/>
      <c r="X233" s="188" t="n"/>
      <c r="Y233" s="188" t="n"/>
      <c r="Z233" s="188" t="n"/>
    </row>
    <row r="234" ht="15.75" customHeight="1" s="673">
      <c r="A234" s="187" t="n"/>
      <c r="B234" s="188" t="n"/>
      <c r="C234" s="188" t="n"/>
      <c r="D234" s="188" t="n"/>
      <c r="E234" s="188" t="n"/>
      <c r="F234" s="188" t="n"/>
      <c r="G234" s="188" t="n"/>
      <c r="H234" s="188" t="n"/>
      <c r="I234" s="188" t="n"/>
      <c r="J234" s="188" t="n"/>
      <c r="K234" s="188" t="n"/>
      <c r="L234" s="188" t="n"/>
      <c r="M234" s="188" t="n"/>
      <c r="N234" s="188" t="n"/>
      <c r="O234" s="188" t="n"/>
      <c r="P234" s="188" t="n"/>
      <c r="Q234" s="188" t="n"/>
      <c r="R234" s="188" t="n"/>
      <c r="S234" s="188" t="n"/>
      <c r="T234" s="188" t="n"/>
      <c r="U234" s="188" t="n"/>
      <c r="V234" s="188" t="n"/>
      <c r="W234" s="188" t="n"/>
      <c r="X234" s="188" t="n"/>
      <c r="Y234" s="188" t="n"/>
      <c r="Z234" s="188" t="n"/>
    </row>
    <row r="235" ht="15.75" customHeight="1" s="673">
      <c r="A235" s="187" t="n"/>
      <c r="B235" s="188" t="n"/>
      <c r="C235" s="188" t="n"/>
      <c r="D235" s="188" t="n"/>
      <c r="E235" s="188" t="n"/>
      <c r="F235" s="188" t="n"/>
      <c r="G235" s="188" t="n"/>
      <c r="H235" s="188" t="n"/>
      <c r="I235" s="188" t="n"/>
      <c r="J235" s="188" t="n"/>
      <c r="K235" s="188" t="n"/>
      <c r="L235" s="188" t="n"/>
      <c r="M235" s="188" t="n"/>
      <c r="N235" s="188" t="n"/>
      <c r="O235" s="188" t="n"/>
      <c r="P235" s="188" t="n"/>
      <c r="Q235" s="188" t="n"/>
      <c r="R235" s="188" t="n"/>
      <c r="S235" s="188" t="n"/>
      <c r="T235" s="188" t="n"/>
      <c r="U235" s="188" t="n"/>
      <c r="V235" s="188" t="n"/>
      <c r="W235" s="188" t="n"/>
      <c r="X235" s="188" t="n"/>
      <c r="Y235" s="188" t="n"/>
      <c r="Z235" s="188" t="n"/>
    </row>
    <row r="236" ht="15.75" customHeight="1" s="673">
      <c r="A236" s="187" t="n"/>
      <c r="B236" s="188" t="n"/>
      <c r="C236" s="188" t="n"/>
      <c r="D236" s="188" t="n"/>
      <c r="E236" s="188" t="n"/>
      <c r="F236" s="188" t="n"/>
      <c r="G236" s="188" t="n"/>
      <c r="H236" s="188" t="n"/>
      <c r="I236" s="188" t="n"/>
      <c r="J236" s="188" t="n"/>
      <c r="K236" s="188" t="n"/>
      <c r="L236" s="188" t="n"/>
      <c r="M236" s="188" t="n"/>
      <c r="N236" s="188" t="n"/>
      <c r="O236" s="188" t="n"/>
      <c r="P236" s="188" t="n"/>
      <c r="Q236" s="188" t="n"/>
      <c r="R236" s="188" t="n"/>
      <c r="S236" s="188" t="n"/>
      <c r="T236" s="188" t="n"/>
      <c r="U236" s="188" t="n"/>
      <c r="V236" s="188" t="n"/>
      <c r="W236" s="188" t="n"/>
      <c r="X236" s="188" t="n"/>
      <c r="Y236" s="188" t="n"/>
      <c r="Z236" s="188" t="n"/>
    </row>
    <row r="237" ht="15.75" customHeight="1" s="673">
      <c r="A237" s="187" t="n"/>
      <c r="B237" s="188" t="n"/>
      <c r="C237" s="188" t="n"/>
      <c r="D237" s="188" t="n"/>
      <c r="E237" s="188" t="n"/>
      <c r="F237" s="188" t="n"/>
      <c r="G237" s="188" t="n"/>
      <c r="H237" s="188" t="n"/>
      <c r="I237" s="188" t="n"/>
      <c r="J237" s="188" t="n"/>
      <c r="K237" s="188" t="n"/>
      <c r="L237" s="188" t="n"/>
      <c r="M237" s="188" t="n"/>
      <c r="N237" s="188" t="n"/>
      <c r="O237" s="188" t="n"/>
      <c r="P237" s="188" t="n"/>
      <c r="Q237" s="188" t="n"/>
      <c r="R237" s="188" t="n"/>
      <c r="S237" s="188" t="n"/>
      <c r="T237" s="188" t="n"/>
      <c r="U237" s="188" t="n"/>
      <c r="V237" s="188" t="n"/>
      <c r="W237" s="188" t="n"/>
      <c r="X237" s="188" t="n"/>
      <c r="Y237" s="188" t="n"/>
      <c r="Z237" s="188" t="n"/>
    </row>
    <row r="238" ht="15.75" customHeight="1" s="673">
      <c r="A238" s="187" t="n"/>
      <c r="B238" s="188" t="n"/>
      <c r="C238" s="188" t="n"/>
      <c r="D238" s="188" t="n"/>
      <c r="E238" s="188" t="n"/>
      <c r="F238" s="188" t="n"/>
      <c r="G238" s="188" t="n"/>
      <c r="H238" s="188" t="n"/>
      <c r="I238" s="188" t="n"/>
      <c r="J238" s="188" t="n"/>
      <c r="K238" s="188" t="n"/>
      <c r="L238" s="188" t="n"/>
      <c r="M238" s="188" t="n"/>
      <c r="N238" s="188" t="n"/>
      <c r="O238" s="188" t="n"/>
      <c r="P238" s="188" t="n"/>
      <c r="Q238" s="188" t="n"/>
      <c r="R238" s="188" t="n"/>
      <c r="S238" s="188" t="n"/>
      <c r="T238" s="188" t="n"/>
      <c r="U238" s="188" t="n"/>
      <c r="V238" s="188" t="n"/>
      <c r="W238" s="188" t="n"/>
      <c r="X238" s="188" t="n"/>
      <c r="Y238" s="188" t="n"/>
      <c r="Z238" s="188" t="n"/>
    </row>
    <row r="239" ht="15.75" customHeight="1" s="673">
      <c r="A239" s="187" t="n"/>
      <c r="B239" s="188" t="n"/>
      <c r="C239" s="188" t="n"/>
      <c r="D239" s="188" t="n"/>
      <c r="E239" s="188" t="n"/>
      <c r="F239" s="188" t="n"/>
      <c r="G239" s="188" t="n"/>
      <c r="H239" s="188" t="n"/>
      <c r="I239" s="188" t="n"/>
      <c r="J239" s="188" t="n"/>
      <c r="K239" s="188" t="n"/>
      <c r="L239" s="188" t="n"/>
      <c r="M239" s="188" t="n"/>
      <c r="N239" s="188" t="n"/>
      <c r="O239" s="188" t="n"/>
      <c r="P239" s="188" t="n"/>
      <c r="Q239" s="188" t="n"/>
      <c r="R239" s="188" t="n"/>
      <c r="S239" s="188" t="n"/>
      <c r="T239" s="188" t="n"/>
      <c r="U239" s="188" t="n"/>
      <c r="V239" s="188" t="n"/>
      <c r="W239" s="188" t="n"/>
      <c r="X239" s="188" t="n"/>
      <c r="Y239" s="188" t="n"/>
      <c r="Z239" s="188" t="n"/>
    </row>
    <row r="240" ht="15.75" customHeight="1" s="673">
      <c r="A240" s="187" t="n"/>
      <c r="B240" s="188" t="n"/>
      <c r="C240" s="188" t="n"/>
      <c r="D240" s="188" t="n"/>
      <c r="E240" s="188" t="n"/>
      <c r="F240" s="188" t="n"/>
      <c r="G240" s="188" t="n"/>
      <c r="H240" s="188" t="n"/>
      <c r="I240" s="188" t="n"/>
      <c r="J240" s="188" t="n"/>
      <c r="K240" s="188" t="n"/>
      <c r="L240" s="188" t="n"/>
      <c r="M240" s="188" t="n"/>
      <c r="N240" s="188" t="n"/>
      <c r="O240" s="188" t="n"/>
      <c r="P240" s="188" t="n"/>
      <c r="Q240" s="188" t="n"/>
      <c r="R240" s="188" t="n"/>
      <c r="S240" s="188" t="n"/>
      <c r="T240" s="188" t="n"/>
      <c r="U240" s="188" t="n"/>
      <c r="V240" s="188" t="n"/>
      <c r="W240" s="188" t="n"/>
      <c r="X240" s="188" t="n"/>
      <c r="Y240" s="188" t="n"/>
      <c r="Z240" s="188" t="n"/>
    </row>
    <row r="241" ht="15.75" customHeight="1" s="673">
      <c r="A241" s="187" t="n"/>
      <c r="B241" s="188" t="n"/>
      <c r="C241" s="188" t="n"/>
      <c r="D241" s="188" t="n"/>
      <c r="E241" s="188" t="n"/>
      <c r="F241" s="188" t="n"/>
      <c r="G241" s="188" t="n"/>
      <c r="H241" s="188" t="n"/>
      <c r="I241" s="188" t="n"/>
      <c r="J241" s="188" t="n"/>
      <c r="K241" s="188" t="n"/>
      <c r="L241" s="188" t="n"/>
      <c r="M241" s="188" t="n"/>
      <c r="N241" s="188" t="n"/>
      <c r="O241" s="188" t="n"/>
      <c r="P241" s="188" t="n"/>
      <c r="Q241" s="188" t="n"/>
      <c r="R241" s="188" t="n"/>
      <c r="S241" s="188" t="n"/>
      <c r="T241" s="188" t="n"/>
      <c r="U241" s="188" t="n"/>
      <c r="V241" s="188" t="n"/>
      <c r="W241" s="188" t="n"/>
      <c r="X241" s="188" t="n"/>
      <c r="Y241" s="188" t="n"/>
      <c r="Z241" s="188" t="n"/>
    </row>
    <row r="242" ht="15.75" customHeight="1" s="673">
      <c r="A242" s="187" t="n"/>
      <c r="B242" s="188" t="n"/>
      <c r="C242" s="188" t="n"/>
      <c r="D242" s="188" t="n"/>
      <c r="E242" s="188" t="n"/>
      <c r="F242" s="188" t="n"/>
      <c r="G242" s="188" t="n"/>
      <c r="H242" s="188" t="n"/>
      <c r="I242" s="188" t="n"/>
      <c r="J242" s="188" t="n"/>
      <c r="K242" s="188" t="n"/>
      <c r="L242" s="188" t="n"/>
      <c r="M242" s="188" t="n"/>
      <c r="N242" s="188" t="n"/>
      <c r="O242" s="188" t="n"/>
      <c r="P242" s="188" t="n"/>
      <c r="Q242" s="188" t="n"/>
      <c r="R242" s="188" t="n"/>
      <c r="S242" s="188" t="n"/>
      <c r="T242" s="188" t="n"/>
      <c r="U242" s="188" t="n"/>
      <c r="V242" s="188" t="n"/>
      <c r="W242" s="188" t="n"/>
      <c r="X242" s="188" t="n"/>
      <c r="Y242" s="188" t="n"/>
      <c r="Z242" s="188" t="n"/>
    </row>
    <row r="243" ht="15.75" customHeight="1" s="673">
      <c r="A243" s="187" t="n"/>
      <c r="B243" s="188" t="n"/>
      <c r="C243" s="188" t="n"/>
      <c r="D243" s="188" t="n"/>
      <c r="E243" s="188" t="n"/>
      <c r="F243" s="188" t="n"/>
      <c r="G243" s="188" t="n"/>
      <c r="H243" s="188" t="n"/>
      <c r="I243" s="188" t="n"/>
      <c r="J243" s="188" t="n"/>
      <c r="K243" s="188" t="n"/>
      <c r="L243" s="188" t="n"/>
      <c r="M243" s="188" t="n"/>
      <c r="N243" s="188" t="n"/>
      <c r="O243" s="188" t="n"/>
      <c r="P243" s="188" t="n"/>
      <c r="Q243" s="188" t="n"/>
      <c r="R243" s="188" t="n"/>
      <c r="S243" s="188" t="n"/>
      <c r="T243" s="188" t="n"/>
      <c r="U243" s="188" t="n"/>
      <c r="V243" s="188" t="n"/>
      <c r="W243" s="188" t="n"/>
      <c r="X243" s="188" t="n"/>
      <c r="Y243" s="188" t="n"/>
      <c r="Z243" s="188" t="n"/>
    </row>
    <row r="244" ht="15.75" customHeight="1" s="673">
      <c r="A244" s="187" t="n"/>
      <c r="B244" s="188" t="n"/>
      <c r="C244" s="188" t="n"/>
      <c r="D244" s="188" t="n"/>
      <c r="E244" s="188" t="n"/>
      <c r="F244" s="188" t="n"/>
      <c r="G244" s="188" t="n"/>
      <c r="H244" s="188" t="n"/>
      <c r="I244" s="188" t="n"/>
      <c r="J244" s="188" t="n"/>
      <c r="K244" s="188" t="n"/>
      <c r="L244" s="188" t="n"/>
      <c r="M244" s="188" t="n"/>
      <c r="N244" s="188" t="n"/>
      <c r="O244" s="188" t="n"/>
      <c r="P244" s="188" t="n"/>
      <c r="Q244" s="188" t="n"/>
      <c r="R244" s="188" t="n"/>
      <c r="S244" s="188" t="n"/>
      <c r="T244" s="188" t="n"/>
      <c r="U244" s="188" t="n"/>
      <c r="V244" s="188" t="n"/>
      <c r="W244" s="188" t="n"/>
      <c r="X244" s="188" t="n"/>
      <c r="Y244" s="188" t="n"/>
      <c r="Z244" s="188" t="n"/>
    </row>
    <row r="245" ht="15.75" customHeight="1" s="673">
      <c r="A245" s="187" t="n"/>
      <c r="B245" s="188" t="n"/>
      <c r="C245" s="188" t="n"/>
      <c r="D245" s="188" t="n"/>
      <c r="E245" s="188" t="n"/>
      <c r="F245" s="188" t="n"/>
      <c r="G245" s="188" t="n"/>
      <c r="H245" s="188" t="n"/>
      <c r="I245" s="188" t="n"/>
      <c r="J245" s="188" t="n"/>
      <c r="K245" s="188" t="n"/>
      <c r="L245" s="188" t="n"/>
      <c r="M245" s="188" t="n"/>
      <c r="N245" s="188" t="n"/>
      <c r="O245" s="188" t="n"/>
      <c r="P245" s="188" t="n"/>
      <c r="Q245" s="188" t="n"/>
      <c r="R245" s="188" t="n"/>
      <c r="S245" s="188" t="n"/>
      <c r="T245" s="188" t="n"/>
      <c r="U245" s="188" t="n"/>
      <c r="V245" s="188" t="n"/>
      <c r="W245" s="188" t="n"/>
      <c r="X245" s="188" t="n"/>
      <c r="Y245" s="188" t="n"/>
      <c r="Z245" s="188" t="n"/>
    </row>
    <row r="246" ht="15.75" customHeight="1" s="673">
      <c r="A246" s="187" t="n"/>
      <c r="B246" s="188" t="n"/>
      <c r="C246" s="188" t="n"/>
      <c r="D246" s="188" t="n"/>
      <c r="E246" s="188" t="n"/>
      <c r="F246" s="188" t="n"/>
      <c r="G246" s="188" t="n"/>
      <c r="H246" s="188" t="n"/>
      <c r="I246" s="188" t="n"/>
      <c r="J246" s="188" t="n"/>
      <c r="K246" s="188" t="n"/>
      <c r="L246" s="188" t="n"/>
      <c r="M246" s="188" t="n"/>
      <c r="N246" s="188" t="n"/>
      <c r="O246" s="188" t="n"/>
      <c r="P246" s="188" t="n"/>
      <c r="Q246" s="188" t="n"/>
      <c r="R246" s="188" t="n"/>
      <c r="S246" s="188" t="n"/>
      <c r="T246" s="188" t="n"/>
      <c r="U246" s="188" t="n"/>
      <c r="V246" s="188" t="n"/>
      <c r="W246" s="188" t="n"/>
      <c r="X246" s="188" t="n"/>
      <c r="Y246" s="188" t="n"/>
      <c r="Z246" s="188" t="n"/>
    </row>
    <row r="247" ht="15.75" customHeight="1" s="673">
      <c r="A247" s="187" t="n"/>
      <c r="B247" s="188" t="n"/>
      <c r="C247" s="188" t="n"/>
      <c r="D247" s="188" t="n"/>
      <c r="E247" s="188" t="n"/>
      <c r="F247" s="188" t="n"/>
      <c r="G247" s="188" t="n"/>
      <c r="H247" s="188" t="n"/>
      <c r="I247" s="188" t="n"/>
      <c r="J247" s="188" t="n"/>
      <c r="K247" s="188" t="n"/>
      <c r="L247" s="188" t="n"/>
      <c r="M247" s="188" t="n"/>
      <c r="N247" s="188" t="n"/>
      <c r="O247" s="188" t="n"/>
      <c r="P247" s="188" t="n"/>
      <c r="Q247" s="188" t="n"/>
      <c r="R247" s="188" t="n"/>
      <c r="S247" s="188" t="n"/>
      <c r="T247" s="188" t="n"/>
      <c r="U247" s="188" t="n"/>
      <c r="V247" s="188" t="n"/>
      <c r="W247" s="188" t="n"/>
      <c r="X247" s="188" t="n"/>
      <c r="Y247" s="188" t="n"/>
      <c r="Z247" s="188" t="n"/>
    </row>
    <row r="248" ht="15.75" customHeight="1" s="673">
      <c r="A248" s="187" t="n"/>
      <c r="B248" s="188" t="n"/>
      <c r="C248" s="188" t="n"/>
      <c r="D248" s="188" t="n"/>
      <c r="E248" s="188" t="n"/>
      <c r="F248" s="188" t="n"/>
      <c r="G248" s="188" t="n"/>
      <c r="H248" s="188" t="n"/>
      <c r="I248" s="188" t="n"/>
      <c r="J248" s="188" t="n"/>
      <c r="K248" s="188" t="n"/>
      <c r="L248" s="188" t="n"/>
      <c r="M248" s="188" t="n"/>
      <c r="N248" s="188" t="n"/>
      <c r="O248" s="188" t="n"/>
      <c r="P248" s="188" t="n"/>
      <c r="Q248" s="188" t="n"/>
      <c r="R248" s="188" t="n"/>
      <c r="S248" s="188" t="n"/>
      <c r="T248" s="188" t="n"/>
      <c r="U248" s="188" t="n"/>
      <c r="V248" s="188" t="n"/>
      <c r="W248" s="188" t="n"/>
      <c r="X248" s="188" t="n"/>
      <c r="Y248" s="188" t="n"/>
      <c r="Z248" s="188" t="n"/>
    </row>
    <row r="249" ht="15.75" customHeight="1" s="673">
      <c r="A249" s="187" t="n"/>
      <c r="B249" s="188" t="n"/>
      <c r="C249" s="188" t="n"/>
      <c r="D249" s="188" t="n"/>
      <c r="E249" s="188" t="n"/>
      <c r="F249" s="188" t="n"/>
      <c r="G249" s="188" t="n"/>
      <c r="H249" s="188" t="n"/>
      <c r="I249" s="188" t="n"/>
      <c r="J249" s="188" t="n"/>
      <c r="K249" s="188" t="n"/>
      <c r="L249" s="188" t="n"/>
      <c r="M249" s="188" t="n"/>
      <c r="N249" s="188" t="n"/>
      <c r="O249" s="188" t="n"/>
      <c r="P249" s="188" t="n"/>
      <c r="Q249" s="188" t="n"/>
      <c r="R249" s="188" t="n"/>
      <c r="S249" s="188" t="n"/>
      <c r="T249" s="188" t="n"/>
      <c r="U249" s="188" t="n"/>
      <c r="V249" s="188" t="n"/>
      <c r="W249" s="188" t="n"/>
      <c r="X249" s="188" t="n"/>
      <c r="Y249" s="188" t="n"/>
      <c r="Z249" s="188" t="n"/>
    </row>
    <row r="250" ht="15.75" customHeight="1" s="673">
      <c r="A250" s="187" t="n"/>
      <c r="B250" s="188" t="n"/>
      <c r="C250" s="188" t="n"/>
      <c r="D250" s="188" t="n"/>
      <c r="E250" s="188" t="n"/>
      <c r="F250" s="188" t="n"/>
      <c r="G250" s="188" t="n"/>
      <c r="H250" s="188" t="n"/>
      <c r="I250" s="188" t="n"/>
      <c r="J250" s="188" t="n"/>
      <c r="K250" s="188" t="n"/>
      <c r="L250" s="188" t="n"/>
      <c r="M250" s="188" t="n"/>
      <c r="N250" s="188" t="n"/>
      <c r="O250" s="188" t="n"/>
      <c r="P250" s="188" t="n"/>
      <c r="Q250" s="188" t="n"/>
      <c r="R250" s="188" t="n"/>
      <c r="S250" s="188" t="n"/>
      <c r="T250" s="188" t="n"/>
      <c r="U250" s="188" t="n"/>
      <c r="V250" s="188" t="n"/>
      <c r="W250" s="188" t="n"/>
      <c r="X250" s="188" t="n"/>
      <c r="Y250" s="188" t="n"/>
      <c r="Z250" s="188" t="n"/>
    </row>
    <row r="251" ht="15.75" customHeight="1" s="673">
      <c r="A251" s="187" t="n"/>
      <c r="B251" s="188" t="n"/>
      <c r="C251" s="188" t="n"/>
      <c r="D251" s="188" t="n"/>
      <c r="E251" s="188" t="n"/>
      <c r="F251" s="188" t="n"/>
      <c r="G251" s="188" t="n"/>
      <c r="H251" s="188" t="n"/>
      <c r="I251" s="188" t="n"/>
      <c r="J251" s="188" t="n"/>
      <c r="K251" s="188" t="n"/>
      <c r="L251" s="188" t="n"/>
      <c r="M251" s="188" t="n"/>
      <c r="N251" s="188" t="n"/>
      <c r="O251" s="188" t="n"/>
      <c r="P251" s="188" t="n"/>
      <c r="Q251" s="188" t="n"/>
      <c r="R251" s="188" t="n"/>
      <c r="S251" s="188" t="n"/>
      <c r="T251" s="188" t="n"/>
      <c r="U251" s="188" t="n"/>
      <c r="V251" s="188" t="n"/>
      <c r="W251" s="188" t="n"/>
      <c r="X251" s="188" t="n"/>
      <c r="Y251" s="188" t="n"/>
      <c r="Z251" s="188" t="n"/>
    </row>
    <row r="252" ht="15.75" customHeight="1" s="673">
      <c r="A252" s="187" t="n"/>
      <c r="B252" s="188" t="n"/>
      <c r="C252" s="188" t="n"/>
      <c r="D252" s="188" t="n"/>
      <c r="E252" s="188" t="n"/>
      <c r="F252" s="188" t="n"/>
      <c r="G252" s="188" t="n"/>
      <c r="H252" s="188" t="n"/>
      <c r="I252" s="188" t="n"/>
      <c r="J252" s="188" t="n"/>
      <c r="K252" s="188" t="n"/>
      <c r="L252" s="188" t="n"/>
      <c r="M252" s="188" t="n"/>
      <c r="N252" s="188" t="n"/>
      <c r="O252" s="188" t="n"/>
      <c r="P252" s="188" t="n"/>
      <c r="Q252" s="188" t="n"/>
      <c r="R252" s="188" t="n"/>
      <c r="S252" s="188" t="n"/>
      <c r="T252" s="188" t="n"/>
      <c r="U252" s="188" t="n"/>
      <c r="V252" s="188" t="n"/>
      <c r="W252" s="188" t="n"/>
      <c r="X252" s="188" t="n"/>
      <c r="Y252" s="188" t="n"/>
      <c r="Z252" s="188" t="n"/>
    </row>
    <row r="253" ht="15.75" customHeight="1" s="673">
      <c r="A253" s="187" t="n"/>
      <c r="B253" s="188" t="n"/>
      <c r="C253" s="188" t="n"/>
      <c r="D253" s="188" t="n"/>
      <c r="E253" s="188" t="n"/>
      <c r="F253" s="188" t="n"/>
      <c r="G253" s="188" t="n"/>
      <c r="H253" s="188" t="n"/>
      <c r="I253" s="188" t="n"/>
      <c r="J253" s="188" t="n"/>
      <c r="K253" s="188" t="n"/>
      <c r="L253" s="188" t="n"/>
      <c r="M253" s="188" t="n"/>
      <c r="N253" s="188" t="n"/>
      <c r="O253" s="188" t="n"/>
      <c r="P253" s="188" t="n"/>
      <c r="Q253" s="188" t="n"/>
      <c r="R253" s="188" t="n"/>
      <c r="S253" s="188" t="n"/>
      <c r="T253" s="188" t="n"/>
      <c r="U253" s="188" t="n"/>
      <c r="V253" s="188" t="n"/>
      <c r="W253" s="188" t="n"/>
      <c r="X253" s="188" t="n"/>
      <c r="Y253" s="188" t="n"/>
      <c r="Z253" s="188" t="n"/>
    </row>
    <row r="254" ht="15.75" customHeight="1" s="673">
      <c r="A254" s="187" t="n"/>
      <c r="B254" s="188" t="n"/>
      <c r="C254" s="188" t="n"/>
      <c r="D254" s="188" t="n"/>
      <c r="E254" s="188" t="n"/>
      <c r="F254" s="188" t="n"/>
      <c r="G254" s="188" t="n"/>
      <c r="H254" s="188" t="n"/>
      <c r="I254" s="188" t="n"/>
      <c r="J254" s="188" t="n"/>
      <c r="K254" s="188" t="n"/>
      <c r="L254" s="188" t="n"/>
      <c r="M254" s="188" t="n"/>
      <c r="N254" s="188" t="n"/>
      <c r="O254" s="188" t="n"/>
      <c r="P254" s="188" t="n"/>
      <c r="Q254" s="188" t="n"/>
      <c r="R254" s="188" t="n"/>
      <c r="S254" s="188" t="n"/>
      <c r="T254" s="188" t="n"/>
      <c r="U254" s="188" t="n"/>
      <c r="V254" s="188" t="n"/>
      <c r="W254" s="188" t="n"/>
      <c r="X254" s="188" t="n"/>
      <c r="Y254" s="188" t="n"/>
      <c r="Z254" s="188" t="n"/>
    </row>
    <row r="255" ht="15.75" customHeight="1" s="673">
      <c r="A255" s="187" t="n"/>
      <c r="B255" s="188" t="n"/>
      <c r="C255" s="188" t="n"/>
      <c r="D255" s="188" t="n"/>
      <c r="E255" s="188" t="n"/>
      <c r="F255" s="188" t="n"/>
      <c r="G255" s="188" t="n"/>
      <c r="H255" s="188" t="n"/>
      <c r="I255" s="188" t="n"/>
      <c r="J255" s="188" t="n"/>
      <c r="K255" s="188" t="n"/>
      <c r="L255" s="188" t="n"/>
      <c r="M255" s="188" t="n"/>
      <c r="N255" s="188" t="n"/>
      <c r="O255" s="188" t="n"/>
      <c r="P255" s="188" t="n"/>
      <c r="Q255" s="188" t="n"/>
      <c r="R255" s="188" t="n"/>
      <c r="S255" s="188" t="n"/>
      <c r="T255" s="188" t="n"/>
      <c r="U255" s="188" t="n"/>
      <c r="V255" s="188" t="n"/>
      <c r="W255" s="188" t="n"/>
      <c r="X255" s="188" t="n"/>
      <c r="Y255" s="188" t="n"/>
      <c r="Z255" s="188" t="n"/>
    </row>
    <row r="256" ht="15.75" customHeight="1" s="673">
      <c r="A256" s="187" t="n"/>
      <c r="B256" s="188" t="n"/>
      <c r="C256" s="188" t="n"/>
      <c r="D256" s="188" t="n"/>
      <c r="E256" s="188" t="n"/>
      <c r="F256" s="188" t="n"/>
      <c r="G256" s="188" t="n"/>
      <c r="H256" s="188" t="n"/>
      <c r="I256" s="188" t="n"/>
      <c r="J256" s="188" t="n"/>
      <c r="K256" s="188" t="n"/>
      <c r="L256" s="188" t="n"/>
      <c r="M256" s="188" t="n"/>
      <c r="N256" s="188" t="n"/>
      <c r="O256" s="188" t="n"/>
      <c r="P256" s="188" t="n"/>
      <c r="Q256" s="188" t="n"/>
      <c r="R256" s="188" t="n"/>
      <c r="S256" s="188" t="n"/>
      <c r="T256" s="188" t="n"/>
      <c r="U256" s="188" t="n"/>
      <c r="V256" s="188" t="n"/>
      <c r="W256" s="188" t="n"/>
      <c r="X256" s="188" t="n"/>
      <c r="Y256" s="188" t="n"/>
      <c r="Z256" s="188" t="n"/>
    </row>
    <row r="257" ht="15.75" customHeight="1" s="673">
      <c r="A257" s="187" t="n"/>
      <c r="B257" s="188" t="n"/>
      <c r="C257" s="188" t="n"/>
      <c r="D257" s="188" t="n"/>
      <c r="E257" s="188" t="n"/>
      <c r="F257" s="188" t="n"/>
      <c r="G257" s="188" t="n"/>
      <c r="H257" s="188" t="n"/>
      <c r="I257" s="188" t="n"/>
      <c r="J257" s="188" t="n"/>
      <c r="K257" s="188" t="n"/>
      <c r="L257" s="188" t="n"/>
      <c r="M257" s="188" t="n"/>
      <c r="N257" s="188" t="n"/>
      <c r="O257" s="188" t="n"/>
      <c r="P257" s="188" t="n"/>
      <c r="Q257" s="188" t="n"/>
      <c r="R257" s="188" t="n"/>
      <c r="S257" s="188" t="n"/>
      <c r="T257" s="188" t="n"/>
      <c r="U257" s="188" t="n"/>
      <c r="V257" s="188" t="n"/>
      <c r="W257" s="188" t="n"/>
      <c r="X257" s="188" t="n"/>
      <c r="Y257" s="188" t="n"/>
      <c r="Z257" s="188" t="n"/>
    </row>
    <row r="258" ht="15.75" customHeight="1" s="673">
      <c r="A258" s="187" t="n"/>
      <c r="B258" s="188" t="n"/>
      <c r="C258" s="188" t="n"/>
      <c r="D258" s="188" t="n"/>
      <c r="E258" s="188" t="n"/>
      <c r="F258" s="188" t="n"/>
      <c r="G258" s="188" t="n"/>
      <c r="H258" s="188" t="n"/>
      <c r="I258" s="188" t="n"/>
      <c r="J258" s="188" t="n"/>
      <c r="K258" s="188" t="n"/>
      <c r="L258" s="188" t="n"/>
      <c r="M258" s="188" t="n"/>
      <c r="N258" s="188" t="n"/>
      <c r="O258" s="188" t="n"/>
      <c r="P258" s="188" t="n"/>
      <c r="Q258" s="188" t="n"/>
      <c r="R258" s="188" t="n"/>
      <c r="S258" s="188" t="n"/>
      <c r="T258" s="188" t="n"/>
      <c r="U258" s="188" t="n"/>
      <c r="V258" s="188" t="n"/>
      <c r="W258" s="188" t="n"/>
      <c r="X258" s="188" t="n"/>
      <c r="Y258" s="188" t="n"/>
      <c r="Z258" s="188" t="n"/>
    </row>
    <row r="259" ht="15.75" customHeight="1" s="673">
      <c r="A259" s="187" t="n"/>
      <c r="B259" s="188" t="n"/>
      <c r="C259" s="188" t="n"/>
      <c r="D259" s="188" t="n"/>
      <c r="E259" s="188" t="n"/>
      <c r="F259" s="188" t="n"/>
      <c r="G259" s="188" t="n"/>
      <c r="H259" s="188" t="n"/>
      <c r="I259" s="188" t="n"/>
      <c r="J259" s="188" t="n"/>
      <c r="K259" s="188" t="n"/>
      <c r="L259" s="188" t="n"/>
      <c r="M259" s="188" t="n"/>
      <c r="N259" s="188" t="n"/>
      <c r="O259" s="188" t="n"/>
      <c r="P259" s="188" t="n"/>
      <c r="Q259" s="188" t="n"/>
      <c r="R259" s="188" t="n"/>
      <c r="S259" s="188" t="n"/>
      <c r="T259" s="188" t="n"/>
      <c r="U259" s="188" t="n"/>
      <c r="V259" s="188" t="n"/>
      <c r="W259" s="188" t="n"/>
      <c r="X259" s="188" t="n"/>
      <c r="Y259" s="188" t="n"/>
      <c r="Z259" s="188" t="n"/>
    </row>
    <row r="260" ht="15.75" customHeight="1" s="673">
      <c r="A260" s="187" t="n"/>
      <c r="B260" s="188" t="n"/>
      <c r="C260" s="188" t="n"/>
      <c r="D260" s="188" t="n"/>
      <c r="E260" s="188" t="n"/>
      <c r="F260" s="188" t="n"/>
      <c r="G260" s="188" t="n"/>
      <c r="H260" s="188" t="n"/>
      <c r="I260" s="188" t="n"/>
      <c r="J260" s="188" t="n"/>
      <c r="K260" s="188" t="n"/>
      <c r="L260" s="188" t="n"/>
      <c r="M260" s="188" t="n"/>
      <c r="N260" s="188" t="n"/>
      <c r="O260" s="188" t="n"/>
      <c r="P260" s="188" t="n"/>
      <c r="Q260" s="188" t="n"/>
      <c r="R260" s="188" t="n"/>
      <c r="S260" s="188" t="n"/>
      <c r="T260" s="188" t="n"/>
      <c r="U260" s="188" t="n"/>
      <c r="V260" s="188" t="n"/>
      <c r="W260" s="188" t="n"/>
      <c r="X260" s="188" t="n"/>
      <c r="Y260" s="188" t="n"/>
      <c r="Z260" s="188" t="n"/>
    </row>
    <row r="261" ht="15.75" customHeight="1" s="673">
      <c r="A261" s="187" t="n"/>
      <c r="B261" s="188" t="n"/>
      <c r="C261" s="188" t="n"/>
      <c r="D261" s="188" t="n"/>
      <c r="E261" s="188" t="n"/>
      <c r="F261" s="188" t="n"/>
      <c r="G261" s="188" t="n"/>
      <c r="H261" s="188" t="n"/>
      <c r="I261" s="188" t="n"/>
      <c r="J261" s="188" t="n"/>
      <c r="K261" s="188" t="n"/>
      <c r="L261" s="188" t="n"/>
      <c r="M261" s="188" t="n"/>
      <c r="N261" s="188" t="n"/>
      <c r="O261" s="188" t="n"/>
      <c r="P261" s="188" t="n"/>
      <c r="Q261" s="188" t="n"/>
      <c r="R261" s="188" t="n"/>
      <c r="S261" s="188" t="n"/>
      <c r="T261" s="188" t="n"/>
      <c r="U261" s="188" t="n"/>
      <c r="V261" s="188" t="n"/>
      <c r="W261" s="188" t="n"/>
      <c r="X261" s="188" t="n"/>
      <c r="Y261" s="188" t="n"/>
      <c r="Z261" s="188" t="n"/>
    </row>
    <row r="262" ht="15.75" customHeight="1" s="673">
      <c r="A262" s="187" t="n"/>
      <c r="B262" s="188" t="n"/>
      <c r="C262" s="188" t="n"/>
      <c r="D262" s="188" t="n"/>
      <c r="E262" s="188" t="n"/>
      <c r="F262" s="188" t="n"/>
      <c r="G262" s="188" t="n"/>
      <c r="H262" s="188" t="n"/>
      <c r="I262" s="188" t="n"/>
      <c r="J262" s="188" t="n"/>
      <c r="K262" s="188" t="n"/>
      <c r="L262" s="188" t="n"/>
      <c r="M262" s="188" t="n"/>
      <c r="N262" s="188" t="n"/>
      <c r="O262" s="188" t="n"/>
      <c r="P262" s="188" t="n"/>
      <c r="Q262" s="188" t="n"/>
      <c r="R262" s="188" t="n"/>
      <c r="S262" s="188" t="n"/>
      <c r="T262" s="188" t="n"/>
      <c r="U262" s="188" t="n"/>
      <c r="V262" s="188" t="n"/>
      <c r="W262" s="188" t="n"/>
      <c r="X262" s="188" t="n"/>
      <c r="Y262" s="188" t="n"/>
      <c r="Z262" s="188" t="n"/>
    </row>
    <row r="263" ht="15.75" customHeight="1" s="673">
      <c r="A263" s="187" t="n"/>
      <c r="B263" s="188" t="n"/>
      <c r="C263" s="188" t="n"/>
      <c r="D263" s="188" t="n"/>
      <c r="E263" s="188" t="n"/>
      <c r="F263" s="188" t="n"/>
      <c r="G263" s="188" t="n"/>
      <c r="H263" s="188" t="n"/>
      <c r="I263" s="188" t="n"/>
      <c r="J263" s="188" t="n"/>
      <c r="K263" s="188" t="n"/>
      <c r="L263" s="188" t="n"/>
      <c r="M263" s="188" t="n"/>
      <c r="N263" s="188" t="n"/>
      <c r="O263" s="188" t="n"/>
      <c r="P263" s="188" t="n"/>
      <c r="Q263" s="188" t="n"/>
      <c r="R263" s="188" t="n"/>
      <c r="S263" s="188" t="n"/>
      <c r="T263" s="188" t="n"/>
      <c r="U263" s="188" t="n"/>
      <c r="V263" s="188" t="n"/>
      <c r="W263" s="188" t="n"/>
      <c r="X263" s="188" t="n"/>
      <c r="Y263" s="188" t="n"/>
      <c r="Z263" s="188" t="n"/>
    </row>
    <row r="264" ht="15.75" customHeight="1" s="673">
      <c r="A264" s="187" t="n"/>
      <c r="B264" s="188" t="n"/>
      <c r="C264" s="188" t="n"/>
      <c r="D264" s="188" t="n"/>
      <c r="E264" s="188" t="n"/>
      <c r="F264" s="188" t="n"/>
      <c r="G264" s="188" t="n"/>
      <c r="H264" s="188" t="n"/>
      <c r="I264" s="188" t="n"/>
      <c r="J264" s="188" t="n"/>
      <c r="K264" s="188" t="n"/>
      <c r="L264" s="188" t="n"/>
      <c r="M264" s="188" t="n"/>
      <c r="N264" s="188" t="n"/>
      <c r="O264" s="188" t="n"/>
      <c r="P264" s="188" t="n"/>
      <c r="Q264" s="188" t="n"/>
      <c r="R264" s="188" t="n"/>
      <c r="S264" s="188" t="n"/>
      <c r="T264" s="188" t="n"/>
      <c r="U264" s="188" t="n"/>
      <c r="V264" s="188" t="n"/>
      <c r="W264" s="188" t="n"/>
      <c r="X264" s="188" t="n"/>
      <c r="Y264" s="188" t="n"/>
      <c r="Z264" s="188" t="n"/>
    </row>
    <row r="265" ht="15.75" customHeight="1" s="673">
      <c r="A265" s="187" t="n"/>
      <c r="B265" s="188" t="n"/>
      <c r="C265" s="188" t="n"/>
      <c r="D265" s="188" t="n"/>
      <c r="E265" s="188" t="n"/>
      <c r="F265" s="188" t="n"/>
      <c r="G265" s="188" t="n"/>
      <c r="H265" s="188" t="n"/>
      <c r="I265" s="188" t="n"/>
      <c r="J265" s="188" t="n"/>
      <c r="K265" s="188" t="n"/>
      <c r="L265" s="188" t="n"/>
      <c r="M265" s="188" t="n"/>
      <c r="N265" s="188" t="n"/>
      <c r="O265" s="188" t="n"/>
      <c r="P265" s="188" t="n"/>
      <c r="Q265" s="188" t="n"/>
      <c r="R265" s="188" t="n"/>
      <c r="S265" s="188" t="n"/>
      <c r="T265" s="188" t="n"/>
      <c r="U265" s="188" t="n"/>
      <c r="V265" s="188" t="n"/>
      <c r="W265" s="188" t="n"/>
      <c r="X265" s="188" t="n"/>
      <c r="Y265" s="188" t="n"/>
      <c r="Z265" s="188" t="n"/>
    </row>
    <row r="266" ht="15.75" customHeight="1" s="673">
      <c r="A266" s="187" t="n"/>
      <c r="B266" s="188" t="n"/>
      <c r="C266" s="188" t="n"/>
      <c r="D266" s="188" t="n"/>
      <c r="E266" s="188" t="n"/>
      <c r="F266" s="188" t="n"/>
      <c r="G266" s="188" t="n"/>
      <c r="H266" s="188" t="n"/>
      <c r="I266" s="188" t="n"/>
      <c r="J266" s="188" t="n"/>
      <c r="K266" s="188" t="n"/>
      <c r="L266" s="188" t="n"/>
      <c r="M266" s="188" t="n"/>
      <c r="N266" s="188" t="n"/>
      <c r="O266" s="188" t="n"/>
      <c r="P266" s="188" t="n"/>
      <c r="Q266" s="188" t="n"/>
      <c r="R266" s="188" t="n"/>
      <c r="S266" s="188" t="n"/>
      <c r="T266" s="188" t="n"/>
      <c r="U266" s="188" t="n"/>
      <c r="V266" s="188" t="n"/>
      <c r="W266" s="188" t="n"/>
      <c r="X266" s="188" t="n"/>
      <c r="Y266" s="188" t="n"/>
      <c r="Z266" s="188" t="n"/>
    </row>
    <row r="267" ht="15.75" customHeight="1" s="673">
      <c r="A267" s="187" t="n"/>
      <c r="B267" s="188" t="n"/>
      <c r="C267" s="188" t="n"/>
      <c r="D267" s="188" t="n"/>
      <c r="E267" s="188" t="n"/>
      <c r="F267" s="188" t="n"/>
      <c r="G267" s="188" t="n"/>
      <c r="H267" s="188" t="n"/>
      <c r="I267" s="188" t="n"/>
      <c r="J267" s="188" t="n"/>
      <c r="K267" s="188" t="n"/>
      <c r="L267" s="188" t="n"/>
      <c r="M267" s="188" t="n"/>
      <c r="N267" s="188" t="n"/>
      <c r="O267" s="188" t="n"/>
      <c r="P267" s="188" t="n"/>
      <c r="Q267" s="188" t="n"/>
      <c r="R267" s="188" t="n"/>
      <c r="S267" s="188" t="n"/>
      <c r="T267" s="188" t="n"/>
      <c r="U267" s="188" t="n"/>
      <c r="V267" s="188" t="n"/>
      <c r="W267" s="188" t="n"/>
      <c r="X267" s="188" t="n"/>
      <c r="Y267" s="188" t="n"/>
      <c r="Z267" s="188" t="n"/>
    </row>
    <row r="268" ht="15.75" customHeight="1" s="673">
      <c r="A268" s="187" t="n"/>
      <c r="B268" s="188" t="n"/>
      <c r="C268" s="188" t="n"/>
      <c r="D268" s="188" t="n"/>
      <c r="E268" s="188" t="n"/>
      <c r="F268" s="188" t="n"/>
      <c r="G268" s="188" t="n"/>
      <c r="H268" s="188" t="n"/>
      <c r="I268" s="188" t="n"/>
      <c r="J268" s="188" t="n"/>
      <c r="K268" s="188" t="n"/>
      <c r="L268" s="188" t="n"/>
      <c r="M268" s="188" t="n"/>
      <c r="N268" s="188" t="n"/>
      <c r="O268" s="188" t="n"/>
      <c r="P268" s="188" t="n"/>
      <c r="Q268" s="188" t="n"/>
      <c r="R268" s="188" t="n"/>
      <c r="S268" s="188" t="n"/>
      <c r="T268" s="188" t="n"/>
      <c r="U268" s="188" t="n"/>
      <c r="V268" s="188" t="n"/>
      <c r="W268" s="188" t="n"/>
      <c r="X268" s="188" t="n"/>
      <c r="Y268" s="188" t="n"/>
      <c r="Z268" s="188" t="n"/>
    </row>
    <row r="269" ht="15.75" customHeight="1" s="673">
      <c r="A269" s="187" t="n"/>
      <c r="B269" s="188" t="n"/>
      <c r="C269" s="188" t="n"/>
      <c r="D269" s="188" t="n"/>
      <c r="E269" s="188" t="n"/>
      <c r="F269" s="188" t="n"/>
      <c r="G269" s="188" t="n"/>
      <c r="H269" s="188" t="n"/>
      <c r="I269" s="188" t="n"/>
      <c r="J269" s="188" t="n"/>
      <c r="K269" s="188" t="n"/>
      <c r="L269" s="188" t="n"/>
      <c r="M269" s="188" t="n"/>
      <c r="N269" s="188" t="n"/>
      <c r="O269" s="188" t="n"/>
      <c r="P269" s="188" t="n"/>
      <c r="Q269" s="188" t="n"/>
      <c r="R269" s="188" t="n"/>
      <c r="S269" s="188" t="n"/>
      <c r="T269" s="188" t="n"/>
      <c r="U269" s="188" t="n"/>
      <c r="V269" s="188" t="n"/>
      <c r="W269" s="188" t="n"/>
      <c r="X269" s="188" t="n"/>
      <c r="Y269" s="188" t="n"/>
      <c r="Z269" s="188" t="n"/>
    </row>
    <row r="270" ht="15.75" customHeight="1" s="673">
      <c r="A270" s="187" t="n"/>
      <c r="B270" s="188" t="n"/>
      <c r="C270" s="188" t="n"/>
      <c r="D270" s="188" t="n"/>
      <c r="E270" s="188" t="n"/>
      <c r="F270" s="188" t="n"/>
      <c r="G270" s="188" t="n"/>
      <c r="H270" s="188" t="n"/>
      <c r="I270" s="188" t="n"/>
      <c r="J270" s="188" t="n"/>
      <c r="K270" s="188" t="n"/>
      <c r="L270" s="188" t="n"/>
      <c r="M270" s="188" t="n"/>
      <c r="N270" s="188" t="n"/>
      <c r="O270" s="188" t="n"/>
      <c r="P270" s="188" t="n"/>
      <c r="Q270" s="188" t="n"/>
      <c r="R270" s="188" t="n"/>
      <c r="S270" s="188" t="n"/>
      <c r="T270" s="188" t="n"/>
      <c r="U270" s="188" t="n"/>
      <c r="V270" s="188" t="n"/>
      <c r="W270" s="188" t="n"/>
      <c r="X270" s="188" t="n"/>
      <c r="Y270" s="188" t="n"/>
      <c r="Z270" s="188" t="n"/>
    </row>
    <row r="271" ht="15.75" customHeight="1" s="673">
      <c r="A271" s="187" t="n"/>
      <c r="B271" s="188" t="n"/>
      <c r="C271" s="188" t="n"/>
      <c r="D271" s="188" t="n"/>
      <c r="E271" s="188" t="n"/>
      <c r="F271" s="188" t="n"/>
      <c r="G271" s="188" t="n"/>
      <c r="H271" s="188" t="n"/>
      <c r="I271" s="188" t="n"/>
      <c r="J271" s="188" t="n"/>
      <c r="K271" s="188" t="n"/>
      <c r="L271" s="188" t="n"/>
      <c r="M271" s="188" t="n"/>
      <c r="N271" s="188" t="n"/>
      <c r="O271" s="188" t="n"/>
      <c r="P271" s="188" t="n"/>
      <c r="Q271" s="188" t="n"/>
      <c r="R271" s="188" t="n"/>
      <c r="S271" s="188" t="n"/>
      <c r="T271" s="188" t="n"/>
      <c r="U271" s="188" t="n"/>
      <c r="V271" s="188" t="n"/>
      <c r="W271" s="188" t="n"/>
      <c r="X271" s="188" t="n"/>
      <c r="Y271" s="188" t="n"/>
      <c r="Z271" s="188" t="n"/>
    </row>
    <row r="272" ht="15.75" customHeight="1" s="673">
      <c r="A272" s="187" t="n"/>
      <c r="B272" s="188" t="n"/>
      <c r="C272" s="188" t="n"/>
      <c r="D272" s="188" t="n"/>
      <c r="E272" s="188" t="n"/>
      <c r="F272" s="188" t="n"/>
      <c r="G272" s="188" t="n"/>
      <c r="H272" s="188" t="n"/>
      <c r="I272" s="188" t="n"/>
      <c r="J272" s="188" t="n"/>
      <c r="K272" s="188" t="n"/>
      <c r="L272" s="188" t="n"/>
      <c r="M272" s="188" t="n"/>
      <c r="N272" s="188" t="n"/>
      <c r="O272" s="188" t="n"/>
      <c r="P272" s="188" t="n"/>
      <c r="Q272" s="188" t="n"/>
      <c r="R272" s="188" t="n"/>
      <c r="S272" s="188" t="n"/>
      <c r="T272" s="188" t="n"/>
      <c r="U272" s="188" t="n"/>
      <c r="V272" s="188" t="n"/>
      <c r="W272" s="188" t="n"/>
      <c r="X272" s="188" t="n"/>
      <c r="Y272" s="188" t="n"/>
      <c r="Z272" s="188" t="n"/>
    </row>
    <row r="273" ht="15.75" customHeight="1" s="673">
      <c r="A273" s="187" t="n"/>
      <c r="B273" s="188" t="n"/>
      <c r="C273" s="188" t="n"/>
      <c r="D273" s="188" t="n"/>
      <c r="E273" s="188" t="n"/>
      <c r="F273" s="188" t="n"/>
      <c r="G273" s="188" t="n"/>
      <c r="H273" s="188" t="n"/>
      <c r="I273" s="188" t="n"/>
      <c r="J273" s="188" t="n"/>
      <c r="K273" s="188" t="n"/>
      <c r="L273" s="188" t="n"/>
      <c r="M273" s="188" t="n"/>
      <c r="N273" s="188" t="n"/>
      <c r="O273" s="188" t="n"/>
      <c r="P273" s="188" t="n"/>
      <c r="Q273" s="188" t="n"/>
      <c r="R273" s="188" t="n"/>
      <c r="S273" s="188" t="n"/>
      <c r="T273" s="188" t="n"/>
      <c r="U273" s="188" t="n"/>
      <c r="V273" s="188" t="n"/>
      <c r="W273" s="188" t="n"/>
      <c r="X273" s="188" t="n"/>
      <c r="Y273" s="188" t="n"/>
      <c r="Z273" s="188" t="n"/>
    </row>
    <row r="274" ht="15.75" customHeight="1" s="673">
      <c r="A274" s="187" t="n"/>
      <c r="B274" s="188" t="n"/>
      <c r="C274" s="188" t="n"/>
      <c r="D274" s="188" t="n"/>
      <c r="E274" s="188" t="n"/>
      <c r="F274" s="188" t="n"/>
      <c r="G274" s="188" t="n"/>
      <c r="H274" s="188" t="n"/>
      <c r="I274" s="188" t="n"/>
      <c r="J274" s="188" t="n"/>
      <c r="K274" s="188" t="n"/>
      <c r="L274" s="188" t="n"/>
      <c r="M274" s="188" t="n"/>
      <c r="N274" s="188" t="n"/>
      <c r="O274" s="188" t="n"/>
      <c r="P274" s="188" t="n"/>
      <c r="Q274" s="188" t="n"/>
      <c r="R274" s="188" t="n"/>
      <c r="S274" s="188" t="n"/>
      <c r="T274" s="188" t="n"/>
      <c r="U274" s="188" t="n"/>
      <c r="V274" s="188" t="n"/>
      <c r="W274" s="188" t="n"/>
      <c r="X274" s="188" t="n"/>
      <c r="Y274" s="188" t="n"/>
      <c r="Z274" s="188" t="n"/>
    </row>
    <row r="275" ht="15.75" customHeight="1" s="673">
      <c r="A275" s="187" t="n"/>
      <c r="B275" s="188" t="n"/>
      <c r="C275" s="188" t="n"/>
      <c r="D275" s="188" t="n"/>
      <c r="E275" s="188" t="n"/>
      <c r="F275" s="188" t="n"/>
      <c r="G275" s="188" t="n"/>
      <c r="H275" s="188" t="n"/>
      <c r="I275" s="188" t="n"/>
      <c r="J275" s="188" t="n"/>
      <c r="K275" s="188" t="n"/>
      <c r="L275" s="188" t="n"/>
      <c r="M275" s="188" t="n"/>
      <c r="N275" s="188" t="n"/>
      <c r="O275" s="188" t="n"/>
      <c r="P275" s="188" t="n"/>
      <c r="Q275" s="188" t="n"/>
      <c r="R275" s="188" t="n"/>
      <c r="S275" s="188" t="n"/>
      <c r="T275" s="188" t="n"/>
      <c r="U275" s="188" t="n"/>
      <c r="V275" s="188" t="n"/>
      <c r="W275" s="188" t="n"/>
      <c r="X275" s="188" t="n"/>
      <c r="Y275" s="188" t="n"/>
      <c r="Z275" s="188" t="n"/>
    </row>
    <row r="276" ht="15.75" customHeight="1" s="673">
      <c r="A276" s="187" t="n"/>
      <c r="B276" s="188" t="n"/>
      <c r="C276" s="188" t="n"/>
      <c r="D276" s="188" t="n"/>
      <c r="E276" s="188" t="n"/>
      <c r="F276" s="188" t="n"/>
      <c r="G276" s="188" t="n"/>
      <c r="H276" s="188" t="n"/>
      <c r="I276" s="188" t="n"/>
      <c r="J276" s="188" t="n"/>
      <c r="K276" s="188" t="n"/>
      <c r="L276" s="188" t="n"/>
      <c r="M276" s="188" t="n"/>
      <c r="N276" s="188" t="n"/>
      <c r="O276" s="188" t="n"/>
      <c r="P276" s="188" t="n"/>
      <c r="Q276" s="188" t="n"/>
      <c r="R276" s="188" t="n"/>
      <c r="S276" s="188" t="n"/>
      <c r="T276" s="188" t="n"/>
      <c r="U276" s="188" t="n"/>
      <c r="V276" s="188" t="n"/>
      <c r="W276" s="188" t="n"/>
      <c r="X276" s="188" t="n"/>
      <c r="Y276" s="188" t="n"/>
      <c r="Z276" s="188" t="n"/>
    </row>
    <row r="277" ht="15.75" customHeight="1" s="673">
      <c r="A277" s="187" t="n"/>
      <c r="B277" s="188" t="n"/>
      <c r="C277" s="188" t="n"/>
      <c r="D277" s="188" t="n"/>
      <c r="E277" s="188" t="n"/>
      <c r="F277" s="188" t="n"/>
      <c r="G277" s="188" t="n"/>
      <c r="H277" s="188" t="n"/>
      <c r="I277" s="188" t="n"/>
      <c r="J277" s="188" t="n"/>
      <c r="K277" s="188" t="n"/>
      <c r="L277" s="188" t="n"/>
      <c r="M277" s="188" t="n"/>
      <c r="N277" s="188" t="n"/>
      <c r="O277" s="188" t="n"/>
      <c r="P277" s="188" t="n"/>
      <c r="Q277" s="188" t="n"/>
      <c r="R277" s="188" t="n"/>
      <c r="S277" s="188" t="n"/>
      <c r="T277" s="188" t="n"/>
      <c r="U277" s="188" t="n"/>
      <c r="V277" s="188" t="n"/>
      <c r="W277" s="188" t="n"/>
      <c r="X277" s="188" t="n"/>
      <c r="Y277" s="188" t="n"/>
      <c r="Z277" s="188" t="n"/>
    </row>
    <row r="278" ht="15.75" customHeight="1" s="673">
      <c r="A278" s="187" t="n"/>
      <c r="B278" s="188" t="n"/>
      <c r="C278" s="188" t="n"/>
      <c r="D278" s="188" t="n"/>
      <c r="E278" s="188" t="n"/>
      <c r="F278" s="188" t="n"/>
      <c r="G278" s="188" t="n"/>
      <c r="H278" s="188" t="n"/>
      <c r="I278" s="188" t="n"/>
      <c r="J278" s="188" t="n"/>
      <c r="K278" s="188" t="n"/>
      <c r="L278" s="188" t="n"/>
      <c r="M278" s="188" t="n"/>
      <c r="N278" s="188" t="n"/>
      <c r="O278" s="188" t="n"/>
      <c r="P278" s="188" t="n"/>
      <c r="Q278" s="188" t="n"/>
      <c r="R278" s="188" t="n"/>
      <c r="S278" s="188" t="n"/>
      <c r="T278" s="188" t="n"/>
      <c r="U278" s="188" t="n"/>
      <c r="V278" s="188" t="n"/>
      <c r="W278" s="188" t="n"/>
      <c r="X278" s="188" t="n"/>
      <c r="Y278" s="188" t="n"/>
      <c r="Z278" s="188" t="n"/>
    </row>
    <row r="279" ht="15.75" customHeight="1" s="673">
      <c r="A279" s="187" t="n"/>
      <c r="B279" s="188" t="n"/>
      <c r="C279" s="188" t="n"/>
      <c r="D279" s="188" t="n"/>
      <c r="E279" s="188" t="n"/>
      <c r="F279" s="188" t="n"/>
      <c r="G279" s="188" t="n"/>
      <c r="H279" s="188" t="n"/>
      <c r="I279" s="188" t="n"/>
      <c r="J279" s="188" t="n"/>
      <c r="K279" s="188" t="n"/>
      <c r="L279" s="188" t="n"/>
      <c r="M279" s="188" t="n"/>
      <c r="N279" s="188" t="n"/>
      <c r="O279" s="188" t="n"/>
      <c r="P279" s="188" t="n"/>
      <c r="Q279" s="188" t="n"/>
      <c r="R279" s="188" t="n"/>
      <c r="S279" s="188" t="n"/>
      <c r="T279" s="188" t="n"/>
      <c r="U279" s="188" t="n"/>
      <c r="V279" s="188" t="n"/>
      <c r="W279" s="188" t="n"/>
      <c r="X279" s="188" t="n"/>
      <c r="Y279" s="188" t="n"/>
      <c r="Z279" s="188" t="n"/>
    </row>
    <row r="280" ht="15.75" customHeight="1" s="673">
      <c r="A280" s="187" t="n"/>
      <c r="B280" s="188" t="n"/>
      <c r="C280" s="188" t="n"/>
      <c r="D280" s="188" t="n"/>
      <c r="E280" s="188" t="n"/>
      <c r="F280" s="188" t="n"/>
      <c r="G280" s="188" t="n"/>
      <c r="H280" s="188" t="n"/>
      <c r="I280" s="188" t="n"/>
      <c r="J280" s="188" t="n"/>
      <c r="K280" s="188" t="n"/>
      <c r="L280" s="188" t="n"/>
      <c r="M280" s="188" t="n"/>
      <c r="N280" s="188" t="n"/>
      <c r="O280" s="188" t="n"/>
      <c r="P280" s="188" t="n"/>
      <c r="Q280" s="188" t="n"/>
      <c r="R280" s="188" t="n"/>
      <c r="S280" s="188" t="n"/>
      <c r="T280" s="188" t="n"/>
      <c r="U280" s="188" t="n"/>
      <c r="V280" s="188" t="n"/>
      <c r="W280" s="188" t="n"/>
      <c r="X280" s="188" t="n"/>
      <c r="Y280" s="188" t="n"/>
      <c r="Z280" s="188" t="n"/>
    </row>
    <row r="281" ht="15.75" customHeight="1" s="673">
      <c r="A281" s="187" t="n"/>
      <c r="B281" s="188" t="n"/>
      <c r="C281" s="188" t="n"/>
      <c r="D281" s="188" t="n"/>
      <c r="E281" s="188" t="n"/>
      <c r="F281" s="188" t="n"/>
      <c r="G281" s="188" t="n"/>
      <c r="H281" s="188" t="n"/>
      <c r="I281" s="188" t="n"/>
      <c r="J281" s="188" t="n"/>
      <c r="K281" s="188" t="n"/>
      <c r="L281" s="188" t="n"/>
      <c r="M281" s="188" t="n"/>
      <c r="N281" s="188" t="n"/>
      <c r="O281" s="188" t="n"/>
      <c r="P281" s="188" t="n"/>
      <c r="Q281" s="188" t="n"/>
      <c r="R281" s="188" t="n"/>
      <c r="S281" s="188" t="n"/>
      <c r="T281" s="188" t="n"/>
      <c r="U281" s="188" t="n"/>
      <c r="V281" s="188" t="n"/>
      <c r="W281" s="188" t="n"/>
      <c r="X281" s="188" t="n"/>
      <c r="Y281" s="188" t="n"/>
      <c r="Z281" s="188" t="n"/>
    </row>
    <row r="282" ht="15.75" customHeight="1" s="673">
      <c r="A282" s="187" t="n"/>
      <c r="B282" s="188" t="n"/>
      <c r="C282" s="188" t="n"/>
      <c r="D282" s="188" t="n"/>
      <c r="E282" s="188" t="n"/>
      <c r="F282" s="188" t="n"/>
      <c r="G282" s="188" t="n"/>
      <c r="H282" s="188" t="n"/>
      <c r="I282" s="188" t="n"/>
      <c r="J282" s="188" t="n"/>
      <c r="K282" s="188" t="n"/>
      <c r="L282" s="188" t="n"/>
      <c r="M282" s="188" t="n"/>
      <c r="N282" s="188" t="n"/>
      <c r="O282" s="188" t="n"/>
      <c r="P282" s="188" t="n"/>
      <c r="Q282" s="188" t="n"/>
      <c r="R282" s="188" t="n"/>
      <c r="S282" s="188" t="n"/>
      <c r="T282" s="188" t="n"/>
      <c r="U282" s="188" t="n"/>
      <c r="V282" s="188" t="n"/>
      <c r="W282" s="188" t="n"/>
      <c r="X282" s="188" t="n"/>
      <c r="Y282" s="188" t="n"/>
      <c r="Z282" s="188" t="n"/>
    </row>
    <row r="283" ht="15.75" customHeight="1" s="673">
      <c r="A283" s="187" t="n"/>
      <c r="B283" s="188" t="n"/>
      <c r="C283" s="188" t="n"/>
      <c r="D283" s="188" t="n"/>
      <c r="E283" s="188" t="n"/>
      <c r="F283" s="188" t="n"/>
      <c r="G283" s="188" t="n"/>
      <c r="H283" s="188" t="n"/>
      <c r="I283" s="188" t="n"/>
      <c r="J283" s="188" t="n"/>
      <c r="K283" s="188" t="n"/>
      <c r="L283" s="188" t="n"/>
      <c r="M283" s="188" t="n"/>
      <c r="N283" s="188" t="n"/>
      <c r="O283" s="188" t="n"/>
      <c r="P283" s="188" t="n"/>
      <c r="Q283" s="188" t="n"/>
      <c r="R283" s="188" t="n"/>
      <c r="S283" s="188" t="n"/>
      <c r="T283" s="188" t="n"/>
      <c r="U283" s="188" t="n"/>
      <c r="V283" s="188" t="n"/>
      <c r="W283" s="188" t="n"/>
      <c r="X283" s="188" t="n"/>
      <c r="Y283" s="188" t="n"/>
      <c r="Z283" s="188" t="n"/>
    </row>
    <row r="284" ht="15.75" customHeight="1" s="673">
      <c r="A284" s="187" t="n"/>
      <c r="B284" s="188" t="n"/>
      <c r="C284" s="188" t="n"/>
      <c r="D284" s="188" t="n"/>
      <c r="E284" s="188" t="n"/>
      <c r="F284" s="188" t="n"/>
      <c r="G284" s="188" t="n"/>
      <c r="H284" s="188" t="n"/>
      <c r="I284" s="188" t="n"/>
      <c r="J284" s="188" t="n"/>
      <c r="K284" s="188" t="n"/>
      <c r="L284" s="188" t="n"/>
      <c r="M284" s="188" t="n"/>
      <c r="N284" s="188" t="n"/>
      <c r="O284" s="188" t="n"/>
      <c r="P284" s="188" t="n"/>
      <c r="Q284" s="188" t="n"/>
      <c r="R284" s="188" t="n"/>
      <c r="S284" s="188" t="n"/>
      <c r="T284" s="188" t="n"/>
      <c r="U284" s="188" t="n"/>
      <c r="V284" s="188" t="n"/>
      <c r="W284" s="188" t="n"/>
      <c r="X284" s="188" t="n"/>
      <c r="Y284" s="188" t="n"/>
      <c r="Z284" s="188" t="n"/>
    </row>
    <row r="285" ht="15.75" customHeight="1" s="673">
      <c r="A285" s="187" t="n"/>
      <c r="B285" s="188" t="n"/>
      <c r="C285" s="188" t="n"/>
      <c r="D285" s="188" t="n"/>
      <c r="E285" s="188" t="n"/>
      <c r="F285" s="188" t="n"/>
      <c r="G285" s="188" t="n"/>
      <c r="H285" s="188" t="n"/>
      <c r="I285" s="188" t="n"/>
      <c r="J285" s="188" t="n"/>
      <c r="K285" s="188" t="n"/>
      <c r="L285" s="188" t="n"/>
      <c r="M285" s="188" t="n"/>
      <c r="N285" s="188" t="n"/>
      <c r="O285" s="188" t="n"/>
      <c r="P285" s="188" t="n"/>
      <c r="Q285" s="188" t="n"/>
      <c r="R285" s="188" t="n"/>
      <c r="S285" s="188" t="n"/>
      <c r="T285" s="188" t="n"/>
      <c r="U285" s="188" t="n"/>
      <c r="V285" s="188" t="n"/>
      <c r="W285" s="188" t="n"/>
      <c r="X285" s="188" t="n"/>
      <c r="Y285" s="188" t="n"/>
      <c r="Z285" s="188" t="n"/>
    </row>
    <row r="286" ht="15.75" customHeight="1" s="673">
      <c r="A286" s="187" t="n"/>
      <c r="B286" s="188" t="n"/>
      <c r="C286" s="188" t="n"/>
      <c r="D286" s="188" t="n"/>
      <c r="E286" s="188" t="n"/>
      <c r="F286" s="188" t="n"/>
      <c r="G286" s="188" t="n"/>
      <c r="H286" s="188" t="n"/>
      <c r="I286" s="188" t="n"/>
      <c r="J286" s="188" t="n"/>
      <c r="K286" s="188" t="n"/>
      <c r="L286" s="188" t="n"/>
      <c r="M286" s="188" t="n"/>
      <c r="N286" s="188" t="n"/>
      <c r="O286" s="188" t="n"/>
      <c r="P286" s="188" t="n"/>
      <c r="Q286" s="188" t="n"/>
      <c r="R286" s="188" t="n"/>
      <c r="S286" s="188" t="n"/>
      <c r="T286" s="188" t="n"/>
      <c r="U286" s="188" t="n"/>
      <c r="V286" s="188" t="n"/>
      <c r="W286" s="188" t="n"/>
      <c r="X286" s="188" t="n"/>
      <c r="Y286" s="188" t="n"/>
      <c r="Z286" s="188" t="n"/>
    </row>
    <row r="287" ht="15.75" customHeight="1" s="673">
      <c r="A287" s="187" t="n"/>
      <c r="B287" s="188" t="n"/>
      <c r="C287" s="188" t="n"/>
      <c r="D287" s="188" t="n"/>
      <c r="E287" s="188" t="n"/>
      <c r="F287" s="188" t="n"/>
      <c r="G287" s="188" t="n"/>
      <c r="H287" s="188" t="n"/>
      <c r="I287" s="188" t="n"/>
      <c r="J287" s="188" t="n"/>
      <c r="K287" s="188" t="n"/>
      <c r="L287" s="188" t="n"/>
      <c r="M287" s="188" t="n"/>
      <c r="N287" s="188" t="n"/>
      <c r="O287" s="188" t="n"/>
      <c r="P287" s="188" t="n"/>
      <c r="Q287" s="188" t="n"/>
      <c r="R287" s="188" t="n"/>
      <c r="S287" s="188" t="n"/>
      <c r="T287" s="188" t="n"/>
      <c r="U287" s="188" t="n"/>
      <c r="V287" s="188" t="n"/>
      <c r="W287" s="188" t="n"/>
      <c r="X287" s="188" t="n"/>
      <c r="Y287" s="188" t="n"/>
      <c r="Z287" s="188" t="n"/>
    </row>
    <row r="288" ht="15.75" customHeight="1" s="673">
      <c r="A288" s="187" t="n"/>
      <c r="B288" s="188" t="n"/>
      <c r="C288" s="188" t="n"/>
      <c r="D288" s="188" t="n"/>
      <c r="E288" s="188" t="n"/>
      <c r="F288" s="188" t="n"/>
      <c r="G288" s="188" t="n"/>
      <c r="H288" s="188" t="n"/>
      <c r="I288" s="188" t="n"/>
      <c r="J288" s="188" t="n"/>
      <c r="K288" s="188" t="n"/>
      <c r="L288" s="188" t="n"/>
      <c r="M288" s="188" t="n"/>
      <c r="N288" s="188" t="n"/>
      <c r="O288" s="188" t="n"/>
      <c r="P288" s="188" t="n"/>
      <c r="Q288" s="188" t="n"/>
      <c r="R288" s="188" t="n"/>
      <c r="S288" s="188" t="n"/>
      <c r="T288" s="188" t="n"/>
      <c r="U288" s="188" t="n"/>
      <c r="V288" s="188" t="n"/>
      <c r="W288" s="188" t="n"/>
      <c r="X288" s="188" t="n"/>
      <c r="Y288" s="188" t="n"/>
      <c r="Z288" s="188" t="n"/>
    </row>
    <row r="289" ht="15.75" customHeight="1" s="673">
      <c r="A289" s="187" t="n"/>
      <c r="B289" s="188" t="n"/>
      <c r="C289" s="188" t="n"/>
      <c r="D289" s="188" t="n"/>
      <c r="E289" s="188" t="n"/>
      <c r="F289" s="188" t="n"/>
      <c r="G289" s="188" t="n"/>
      <c r="H289" s="188" t="n"/>
      <c r="I289" s="188" t="n"/>
      <c r="J289" s="188" t="n"/>
      <c r="K289" s="188" t="n"/>
      <c r="L289" s="188" t="n"/>
      <c r="M289" s="188" t="n"/>
      <c r="N289" s="188" t="n"/>
      <c r="O289" s="188" t="n"/>
      <c r="P289" s="188" t="n"/>
      <c r="Q289" s="188" t="n"/>
      <c r="R289" s="188" t="n"/>
      <c r="S289" s="188" t="n"/>
      <c r="T289" s="188" t="n"/>
      <c r="U289" s="188" t="n"/>
      <c r="V289" s="188" t="n"/>
      <c r="W289" s="188" t="n"/>
      <c r="X289" s="188" t="n"/>
      <c r="Y289" s="188" t="n"/>
      <c r="Z289" s="188" t="n"/>
    </row>
    <row r="290" ht="15.75" customHeight="1" s="673">
      <c r="A290" s="187" t="n"/>
      <c r="B290" s="188" t="n"/>
      <c r="C290" s="188" t="n"/>
      <c r="D290" s="188" t="n"/>
      <c r="E290" s="188" t="n"/>
      <c r="F290" s="188" t="n"/>
      <c r="G290" s="188" t="n"/>
      <c r="H290" s="188" t="n"/>
      <c r="I290" s="188" t="n"/>
      <c r="J290" s="188" t="n"/>
      <c r="K290" s="188" t="n"/>
      <c r="L290" s="188" t="n"/>
      <c r="M290" s="188" t="n"/>
      <c r="N290" s="188" t="n"/>
      <c r="O290" s="188" t="n"/>
      <c r="P290" s="188" t="n"/>
      <c r="Q290" s="188" t="n"/>
      <c r="R290" s="188" t="n"/>
      <c r="S290" s="188" t="n"/>
      <c r="T290" s="188" t="n"/>
      <c r="U290" s="188" t="n"/>
      <c r="V290" s="188" t="n"/>
      <c r="W290" s="188" t="n"/>
      <c r="X290" s="188" t="n"/>
      <c r="Y290" s="188" t="n"/>
      <c r="Z290" s="188" t="n"/>
    </row>
    <row r="291" ht="15.75" customHeight="1" s="673">
      <c r="A291" s="187" t="n"/>
      <c r="B291" s="188" t="n"/>
      <c r="C291" s="188" t="n"/>
      <c r="D291" s="188" t="n"/>
      <c r="E291" s="188" t="n"/>
      <c r="F291" s="188" t="n"/>
      <c r="G291" s="188" t="n"/>
      <c r="H291" s="188" t="n"/>
      <c r="I291" s="188" t="n"/>
      <c r="J291" s="188" t="n"/>
      <c r="K291" s="188" t="n"/>
      <c r="L291" s="188" t="n"/>
      <c r="M291" s="188" t="n"/>
      <c r="N291" s="188" t="n"/>
      <c r="O291" s="188" t="n"/>
      <c r="P291" s="188" t="n"/>
      <c r="Q291" s="188" t="n"/>
      <c r="R291" s="188" t="n"/>
      <c r="S291" s="188" t="n"/>
      <c r="T291" s="188" t="n"/>
      <c r="U291" s="188" t="n"/>
      <c r="V291" s="188" t="n"/>
      <c r="W291" s="188" t="n"/>
      <c r="X291" s="188" t="n"/>
      <c r="Y291" s="188" t="n"/>
      <c r="Z291" s="188" t="n"/>
    </row>
    <row r="292" ht="15.75" customHeight="1" s="673">
      <c r="A292" s="187" t="n"/>
      <c r="B292" s="188" t="n"/>
      <c r="C292" s="188" t="n"/>
      <c r="D292" s="188" t="n"/>
      <c r="E292" s="188" t="n"/>
      <c r="F292" s="188" t="n"/>
      <c r="G292" s="188" t="n"/>
      <c r="H292" s="188" t="n"/>
      <c r="I292" s="188" t="n"/>
      <c r="J292" s="188" t="n"/>
      <c r="K292" s="188" t="n"/>
      <c r="L292" s="188" t="n"/>
      <c r="M292" s="188" t="n"/>
      <c r="N292" s="188" t="n"/>
      <c r="O292" s="188" t="n"/>
      <c r="P292" s="188" t="n"/>
      <c r="Q292" s="188" t="n"/>
      <c r="R292" s="188" t="n"/>
      <c r="S292" s="188" t="n"/>
      <c r="T292" s="188" t="n"/>
      <c r="U292" s="188" t="n"/>
      <c r="V292" s="188" t="n"/>
      <c r="W292" s="188" t="n"/>
      <c r="X292" s="188" t="n"/>
      <c r="Y292" s="188" t="n"/>
      <c r="Z292" s="188" t="n"/>
    </row>
    <row r="293" ht="15.75" customHeight="1" s="673">
      <c r="A293" s="187" t="n"/>
      <c r="B293" s="188" t="n"/>
      <c r="C293" s="188" t="n"/>
      <c r="D293" s="188" t="n"/>
      <c r="E293" s="188" t="n"/>
      <c r="F293" s="188" t="n"/>
      <c r="G293" s="188" t="n"/>
      <c r="H293" s="188" t="n"/>
      <c r="I293" s="188" t="n"/>
      <c r="J293" s="188" t="n"/>
      <c r="K293" s="188" t="n"/>
      <c r="L293" s="188" t="n"/>
      <c r="M293" s="188" t="n"/>
      <c r="N293" s="188" t="n"/>
      <c r="O293" s="188" t="n"/>
      <c r="P293" s="188" t="n"/>
      <c r="Q293" s="188" t="n"/>
      <c r="R293" s="188" t="n"/>
      <c r="S293" s="188" t="n"/>
      <c r="T293" s="188" t="n"/>
      <c r="U293" s="188" t="n"/>
      <c r="V293" s="188" t="n"/>
      <c r="W293" s="188" t="n"/>
      <c r="X293" s="188" t="n"/>
      <c r="Y293" s="188" t="n"/>
      <c r="Z293" s="188" t="n"/>
    </row>
    <row r="294" ht="15.75" customHeight="1" s="673">
      <c r="A294" s="187" t="n"/>
      <c r="B294" s="188" t="n"/>
      <c r="C294" s="188" t="n"/>
      <c r="D294" s="188" t="n"/>
      <c r="E294" s="188" t="n"/>
      <c r="F294" s="188" t="n"/>
      <c r="G294" s="188" t="n"/>
      <c r="H294" s="188" t="n"/>
      <c r="I294" s="188" t="n"/>
      <c r="J294" s="188" t="n"/>
      <c r="K294" s="188" t="n"/>
      <c r="L294" s="188" t="n"/>
      <c r="M294" s="188" t="n"/>
      <c r="N294" s="188" t="n"/>
      <c r="O294" s="188" t="n"/>
      <c r="P294" s="188" t="n"/>
      <c r="Q294" s="188" t="n"/>
      <c r="R294" s="188" t="n"/>
      <c r="S294" s="188" t="n"/>
      <c r="T294" s="188" t="n"/>
      <c r="U294" s="188" t="n"/>
      <c r="V294" s="188" t="n"/>
      <c r="W294" s="188" t="n"/>
      <c r="X294" s="188" t="n"/>
      <c r="Y294" s="188" t="n"/>
      <c r="Z294" s="188" t="n"/>
    </row>
    <row r="295" ht="15.75" customHeight="1" s="673">
      <c r="A295" s="187" t="n"/>
      <c r="B295" s="188" t="n"/>
      <c r="C295" s="188" t="n"/>
      <c r="D295" s="188" t="n"/>
      <c r="E295" s="188" t="n"/>
      <c r="F295" s="188" t="n"/>
      <c r="G295" s="188" t="n"/>
      <c r="H295" s="188" t="n"/>
      <c r="I295" s="188" t="n"/>
      <c r="J295" s="188" t="n"/>
      <c r="K295" s="188" t="n"/>
      <c r="L295" s="188" t="n"/>
      <c r="M295" s="188" t="n"/>
      <c r="N295" s="188" t="n"/>
      <c r="O295" s="188" t="n"/>
      <c r="P295" s="188" t="n"/>
      <c r="Q295" s="188" t="n"/>
      <c r="R295" s="188" t="n"/>
      <c r="S295" s="188" t="n"/>
      <c r="T295" s="188" t="n"/>
      <c r="U295" s="188" t="n"/>
      <c r="V295" s="188" t="n"/>
      <c r="W295" s="188" t="n"/>
      <c r="X295" s="188" t="n"/>
      <c r="Y295" s="188" t="n"/>
      <c r="Z295" s="188" t="n"/>
    </row>
    <row r="296" ht="15.75" customHeight="1" s="673">
      <c r="A296" s="187" t="n"/>
      <c r="B296" s="188" t="n"/>
      <c r="C296" s="188" t="n"/>
      <c r="D296" s="188" t="n"/>
      <c r="E296" s="188" t="n"/>
      <c r="F296" s="188" t="n"/>
      <c r="G296" s="188" t="n"/>
      <c r="H296" s="188" t="n"/>
      <c r="I296" s="188" t="n"/>
      <c r="J296" s="188" t="n"/>
      <c r="K296" s="188" t="n"/>
      <c r="L296" s="188" t="n"/>
      <c r="M296" s="188" t="n"/>
      <c r="N296" s="188" t="n"/>
      <c r="O296" s="188" t="n"/>
      <c r="P296" s="188" t="n"/>
      <c r="Q296" s="188" t="n"/>
      <c r="R296" s="188" t="n"/>
      <c r="S296" s="188" t="n"/>
      <c r="T296" s="188" t="n"/>
      <c r="U296" s="188" t="n"/>
      <c r="V296" s="188" t="n"/>
      <c r="W296" s="188" t="n"/>
      <c r="X296" s="188" t="n"/>
      <c r="Y296" s="188" t="n"/>
      <c r="Z296" s="188" t="n"/>
    </row>
    <row r="297" ht="15.75" customHeight="1" s="673">
      <c r="A297" s="187" t="n"/>
      <c r="B297" s="188" t="n"/>
      <c r="C297" s="188" t="n"/>
      <c r="D297" s="188" t="n"/>
      <c r="E297" s="188" t="n"/>
      <c r="F297" s="188" t="n"/>
      <c r="G297" s="188" t="n"/>
      <c r="H297" s="188" t="n"/>
      <c r="I297" s="188" t="n"/>
      <c r="J297" s="188" t="n"/>
      <c r="K297" s="188" t="n"/>
      <c r="L297" s="188" t="n"/>
      <c r="M297" s="188" t="n"/>
      <c r="N297" s="188" t="n"/>
      <c r="O297" s="188" t="n"/>
      <c r="P297" s="188" t="n"/>
      <c r="Q297" s="188" t="n"/>
      <c r="R297" s="188" t="n"/>
      <c r="S297" s="188" t="n"/>
      <c r="T297" s="188" t="n"/>
      <c r="U297" s="188" t="n"/>
      <c r="V297" s="188" t="n"/>
      <c r="W297" s="188" t="n"/>
      <c r="X297" s="188" t="n"/>
      <c r="Y297" s="188" t="n"/>
      <c r="Z297" s="188" t="n"/>
    </row>
    <row r="298" ht="15.75" customHeight="1" s="673">
      <c r="A298" s="187" t="n"/>
      <c r="B298" s="188" t="n"/>
      <c r="C298" s="188" t="n"/>
      <c r="D298" s="188" t="n"/>
      <c r="E298" s="188" t="n"/>
      <c r="F298" s="188" t="n"/>
      <c r="G298" s="188" t="n"/>
      <c r="H298" s="188" t="n"/>
      <c r="I298" s="188" t="n"/>
      <c r="J298" s="188" t="n"/>
      <c r="K298" s="188" t="n"/>
      <c r="L298" s="188" t="n"/>
      <c r="M298" s="188" t="n"/>
      <c r="N298" s="188" t="n"/>
      <c r="O298" s="188" t="n"/>
      <c r="P298" s="188" t="n"/>
      <c r="Q298" s="188" t="n"/>
      <c r="R298" s="188" t="n"/>
      <c r="S298" s="188" t="n"/>
      <c r="T298" s="188" t="n"/>
      <c r="U298" s="188" t="n"/>
      <c r="V298" s="188" t="n"/>
      <c r="W298" s="188" t="n"/>
      <c r="X298" s="188" t="n"/>
      <c r="Y298" s="188" t="n"/>
      <c r="Z298" s="188" t="n"/>
    </row>
    <row r="299" ht="15.75" customHeight="1" s="673">
      <c r="A299" s="187" t="n"/>
      <c r="B299" s="188" t="n"/>
      <c r="C299" s="188" t="n"/>
      <c r="D299" s="188" t="n"/>
      <c r="E299" s="188" t="n"/>
      <c r="F299" s="188" t="n"/>
      <c r="G299" s="188" t="n"/>
      <c r="H299" s="188" t="n"/>
      <c r="I299" s="188" t="n"/>
      <c r="J299" s="188" t="n"/>
      <c r="K299" s="188" t="n"/>
      <c r="L299" s="188" t="n"/>
      <c r="M299" s="188" t="n"/>
      <c r="N299" s="188" t="n"/>
      <c r="O299" s="188" t="n"/>
      <c r="P299" s="188" t="n"/>
      <c r="Q299" s="188" t="n"/>
      <c r="R299" s="188" t="n"/>
      <c r="S299" s="188" t="n"/>
      <c r="T299" s="188" t="n"/>
      <c r="U299" s="188" t="n"/>
      <c r="V299" s="188" t="n"/>
      <c r="W299" s="188" t="n"/>
      <c r="X299" s="188" t="n"/>
      <c r="Y299" s="188" t="n"/>
      <c r="Z299" s="188" t="n"/>
    </row>
    <row r="300" ht="15.75" customHeight="1" s="673">
      <c r="A300" s="187" t="n"/>
      <c r="B300" s="188" t="n"/>
      <c r="C300" s="188" t="n"/>
      <c r="D300" s="188" t="n"/>
      <c r="E300" s="188" t="n"/>
      <c r="F300" s="188" t="n"/>
      <c r="G300" s="188" t="n"/>
      <c r="H300" s="188" t="n"/>
      <c r="I300" s="188" t="n"/>
      <c r="J300" s="188" t="n"/>
      <c r="K300" s="188" t="n"/>
      <c r="L300" s="188" t="n"/>
      <c r="M300" s="188" t="n"/>
      <c r="N300" s="188" t="n"/>
      <c r="O300" s="188" t="n"/>
      <c r="P300" s="188" t="n"/>
      <c r="Q300" s="188" t="n"/>
      <c r="R300" s="188" t="n"/>
      <c r="S300" s="188" t="n"/>
      <c r="T300" s="188" t="n"/>
      <c r="U300" s="188" t="n"/>
      <c r="V300" s="188" t="n"/>
      <c r="W300" s="188" t="n"/>
      <c r="X300" s="188" t="n"/>
      <c r="Y300" s="188" t="n"/>
      <c r="Z300" s="188" t="n"/>
    </row>
    <row r="301" ht="15.75" customHeight="1" s="673">
      <c r="A301" s="187" t="n"/>
      <c r="B301" s="188" t="n"/>
      <c r="C301" s="188" t="n"/>
      <c r="D301" s="188" t="n"/>
      <c r="E301" s="188" t="n"/>
      <c r="F301" s="188" t="n"/>
      <c r="G301" s="188" t="n"/>
      <c r="H301" s="188" t="n"/>
      <c r="I301" s="188" t="n"/>
      <c r="J301" s="188" t="n"/>
      <c r="K301" s="188" t="n"/>
      <c r="L301" s="188" t="n"/>
      <c r="M301" s="188" t="n"/>
      <c r="N301" s="188" t="n"/>
      <c r="O301" s="188" t="n"/>
      <c r="P301" s="188" t="n"/>
      <c r="Q301" s="188" t="n"/>
      <c r="R301" s="188" t="n"/>
      <c r="S301" s="188" t="n"/>
      <c r="T301" s="188" t="n"/>
      <c r="U301" s="188" t="n"/>
      <c r="V301" s="188" t="n"/>
      <c r="W301" s="188" t="n"/>
      <c r="X301" s="188" t="n"/>
      <c r="Y301" s="188" t="n"/>
      <c r="Z301" s="188" t="n"/>
    </row>
    <row r="302" ht="15.75" customHeight="1" s="673">
      <c r="A302" s="187" t="n"/>
      <c r="B302" s="188" t="n"/>
      <c r="C302" s="188" t="n"/>
      <c r="D302" s="188" t="n"/>
      <c r="E302" s="188" t="n"/>
      <c r="F302" s="188" t="n"/>
      <c r="G302" s="188" t="n"/>
      <c r="H302" s="188" t="n"/>
      <c r="I302" s="188" t="n"/>
      <c r="J302" s="188" t="n"/>
      <c r="K302" s="188" t="n"/>
      <c r="L302" s="188" t="n"/>
      <c r="M302" s="188" t="n"/>
      <c r="N302" s="188" t="n"/>
      <c r="O302" s="188" t="n"/>
      <c r="P302" s="188" t="n"/>
      <c r="Q302" s="188" t="n"/>
      <c r="R302" s="188" t="n"/>
      <c r="S302" s="188" t="n"/>
      <c r="T302" s="188" t="n"/>
      <c r="U302" s="188" t="n"/>
      <c r="V302" s="188" t="n"/>
      <c r="W302" s="188" t="n"/>
      <c r="X302" s="188" t="n"/>
      <c r="Y302" s="188" t="n"/>
      <c r="Z302" s="188" t="n"/>
    </row>
    <row r="303" ht="15.75" customHeight="1" s="673">
      <c r="A303" s="187" t="n"/>
      <c r="B303" s="188" t="n"/>
      <c r="C303" s="188" t="n"/>
      <c r="D303" s="188" t="n"/>
      <c r="E303" s="188" t="n"/>
      <c r="F303" s="188" t="n"/>
      <c r="G303" s="188" t="n"/>
      <c r="H303" s="188" t="n"/>
      <c r="I303" s="188" t="n"/>
      <c r="J303" s="188" t="n"/>
      <c r="K303" s="188" t="n"/>
      <c r="L303" s="188" t="n"/>
      <c r="M303" s="188" t="n"/>
      <c r="N303" s="188" t="n"/>
      <c r="O303" s="188" t="n"/>
      <c r="P303" s="188" t="n"/>
      <c r="Q303" s="188" t="n"/>
      <c r="R303" s="188" t="n"/>
      <c r="S303" s="188" t="n"/>
      <c r="T303" s="188" t="n"/>
      <c r="U303" s="188" t="n"/>
      <c r="V303" s="188" t="n"/>
      <c r="W303" s="188" t="n"/>
      <c r="X303" s="188" t="n"/>
      <c r="Y303" s="188" t="n"/>
      <c r="Z303" s="188" t="n"/>
    </row>
    <row r="304" ht="15.75" customHeight="1" s="673">
      <c r="A304" s="187" t="n"/>
      <c r="B304" s="188" t="n"/>
      <c r="C304" s="188" t="n"/>
      <c r="D304" s="188" t="n"/>
      <c r="E304" s="188" t="n"/>
      <c r="F304" s="188" t="n"/>
      <c r="G304" s="188" t="n"/>
      <c r="H304" s="188" t="n"/>
      <c r="I304" s="188" t="n"/>
      <c r="J304" s="188" t="n"/>
      <c r="K304" s="188" t="n"/>
      <c r="L304" s="188" t="n"/>
      <c r="M304" s="188" t="n"/>
      <c r="N304" s="188" t="n"/>
      <c r="O304" s="188" t="n"/>
      <c r="P304" s="188" t="n"/>
      <c r="Q304" s="188" t="n"/>
      <c r="R304" s="188" t="n"/>
      <c r="S304" s="188" t="n"/>
      <c r="T304" s="188" t="n"/>
      <c r="U304" s="188" t="n"/>
      <c r="V304" s="188" t="n"/>
      <c r="W304" s="188" t="n"/>
      <c r="X304" s="188" t="n"/>
      <c r="Y304" s="188" t="n"/>
      <c r="Z304" s="188" t="n"/>
    </row>
    <row r="305" ht="15.75" customHeight="1" s="673">
      <c r="A305" s="187" t="n"/>
      <c r="B305" s="188" t="n"/>
      <c r="C305" s="188" t="n"/>
      <c r="D305" s="188" t="n"/>
      <c r="E305" s="188" t="n"/>
      <c r="F305" s="188" t="n"/>
      <c r="G305" s="188" t="n"/>
      <c r="H305" s="188" t="n"/>
      <c r="I305" s="188" t="n"/>
      <c r="J305" s="188" t="n"/>
      <c r="K305" s="188" t="n"/>
      <c r="L305" s="188" t="n"/>
      <c r="M305" s="188" t="n"/>
      <c r="N305" s="188" t="n"/>
      <c r="O305" s="188" t="n"/>
      <c r="P305" s="188" t="n"/>
      <c r="Q305" s="188" t="n"/>
      <c r="R305" s="188" t="n"/>
      <c r="S305" s="188" t="n"/>
      <c r="T305" s="188" t="n"/>
      <c r="U305" s="188" t="n"/>
      <c r="V305" s="188" t="n"/>
      <c r="W305" s="188" t="n"/>
      <c r="X305" s="188" t="n"/>
      <c r="Y305" s="188" t="n"/>
      <c r="Z305" s="188" t="n"/>
    </row>
    <row r="306" ht="15.75" customHeight="1" s="673">
      <c r="A306" s="187" t="n"/>
      <c r="B306" s="188" t="n"/>
      <c r="C306" s="188" t="n"/>
      <c r="D306" s="188" t="n"/>
      <c r="E306" s="188" t="n"/>
      <c r="F306" s="188" t="n"/>
      <c r="G306" s="188" t="n"/>
      <c r="H306" s="188" t="n"/>
      <c r="I306" s="188" t="n"/>
      <c r="J306" s="188" t="n"/>
      <c r="K306" s="188" t="n"/>
      <c r="L306" s="188" t="n"/>
      <c r="M306" s="188" t="n"/>
      <c r="N306" s="188" t="n"/>
      <c r="O306" s="188" t="n"/>
      <c r="P306" s="188" t="n"/>
      <c r="Q306" s="188" t="n"/>
      <c r="R306" s="188" t="n"/>
      <c r="S306" s="188" t="n"/>
      <c r="T306" s="188" t="n"/>
      <c r="U306" s="188" t="n"/>
      <c r="V306" s="188" t="n"/>
      <c r="W306" s="188" t="n"/>
      <c r="X306" s="188" t="n"/>
      <c r="Y306" s="188" t="n"/>
      <c r="Z306" s="188" t="n"/>
    </row>
    <row r="307" ht="15.75" customHeight="1" s="673">
      <c r="A307" s="187" t="n"/>
      <c r="B307" s="188" t="n"/>
      <c r="C307" s="188" t="n"/>
      <c r="D307" s="188" t="n"/>
      <c r="E307" s="188" t="n"/>
      <c r="F307" s="188" t="n"/>
      <c r="G307" s="188" t="n"/>
      <c r="H307" s="188" t="n"/>
      <c r="I307" s="188" t="n"/>
      <c r="J307" s="188" t="n"/>
      <c r="K307" s="188" t="n"/>
      <c r="L307" s="188" t="n"/>
      <c r="M307" s="188" t="n"/>
      <c r="N307" s="188" t="n"/>
      <c r="O307" s="188" t="n"/>
      <c r="P307" s="188" t="n"/>
      <c r="Q307" s="188" t="n"/>
      <c r="R307" s="188" t="n"/>
      <c r="S307" s="188" t="n"/>
      <c r="T307" s="188" t="n"/>
      <c r="U307" s="188" t="n"/>
      <c r="V307" s="188" t="n"/>
      <c r="W307" s="188" t="n"/>
      <c r="X307" s="188" t="n"/>
      <c r="Y307" s="188" t="n"/>
      <c r="Z307" s="188" t="n"/>
    </row>
    <row r="308" ht="15.75" customHeight="1" s="673">
      <c r="A308" s="187" t="n"/>
      <c r="B308" s="188" t="n"/>
      <c r="C308" s="188" t="n"/>
      <c r="D308" s="188" t="n"/>
      <c r="E308" s="188" t="n"/>
      <c r="F308" s="188" t="n"/>
      <c r="G308" s="188" t="n"/>
      <c r="H308" s="188" t="n"/>
      <c r="I308" s="188" t="n"/>
      <c r="J308" s="188" t="n"/>
      <c r="K308" s="188" t="n"/>
      <c r="L308" s="188" t="n"/>
      <c r="M308" s="188" t="n"/>
      <c r="N308" s="188" t="n"/>
      <c r="O308" s="188" t="n"/>
      <c r="P308" s="188" t="n"/>
      <c r="Q308" s="188" t="n"/>
      <c r="R308" s="188" t="n"/>
      <c r="S308" s="188" t="n"/>
      <c r="T308" s="188" t="n"/>
      <c r="U308" s="188" t="n"/>
      <c r="V308" s="188" t="n"/>
      <c r="W308" s="188" t="n"/>
      <c r="X308" s="188" t="n"/>
      <c r="Y308" s="188" t="n"/>
      <c r="Z308" s="188" t="n"/>
    </row>
    <row r="309" ht="15.75" customHeight="1" s="673">
      <c r="A309" s="187" t="n"/>
      <c r="B309" s="188" t="n"/>
      <c r="C309" s="188" t="n"/>
      <c r="D309" s="188" t="n"/>
      <c r="E309" s="188" t="n"/>
      <c r="F309" s="188" t="n"/>
      <c r="G309" s="188" t="n"/>
      <c r="H309" s="188" t="n"/>
      <c r="I309" s="188" t="n"/>
      <c r="J309" s="188" t="n"/>
      <c r="K309" s="188" t="n"/>
      <c r="L309" s="188" t="n"/>
      <c r="M309" s="188" t="n"/>
      <c r="N309" s="188" t="n"/>
      <c r="O309" s="188" t="n"/>
      <c r="P309" s="188" t="n"/>
      <c r="Q309" s="188" t="n"/>
      <c r="R309" s="188" t="n"/>
      <c r="S309" s="188" t="n"/>
      <c r="T309" s="188" t="n"/>
      <c r="U309" s="188" t="n"/>
      <c r="V309" s="188" t="n"/>
      <c r="W309" s="188" t="n"/>
      <c r="X309" s="188" t="n"/>
      <c r="Y309" s="188" t="n"/>
      <c r="Z309" s="188" t="n"/>
    </row>
    <row r="310" ht="15.75" customHeight="1" s="673">
      <c r="A310" s="187" t="n"/>
      <c r="B310" s="188" t="n"/>
      <c r="C310" s="188" t="n"/>
      <c r="D310" s="188" t="n"/>
      <c r="E310" s="188" t="n"/>
      <c r="F310" s="188" t="n"/>
      <c r="G310" s="188" t="n"/>
      <c r="H310" s="188" t="n"/>
      <c r="I310" s="188" t="n"/>
      <c r="J310" s="188" t="n"/>
      <c r="K310" s="188" t="n"/>
      <c r="L310" s="188" t="n"/>
      <c r="M310" s="188" t="n"/>
      <c r="N310" s="188" t="n"/>
      <c r="O310" s="188" t="n"/>
      <c r="P310" s="188" t="n"/>
      <c r="Q310" s="188" t="n"/>
      <c r="R310" s="188" t="n"/>
      <c r="S310" s="188" t="n"/>
      <c r="T310" s="188" t="n"/>
      <c r="U310" s="188" t="n"/>
      <c r="V310" s="188" t="n"/>
      <c r="W310" s="188" t="n"/>
      <c r="X310" s="188" t="n"/>
      <c r="Y310" s="188" t="n"/>
      <c r="Z310" s="188" t="n"/>
    </row>
    <row r="311" ht="15.75" customHeight="1" s="673">
      <c r="A311" s="187" t="n"/>
      <c r="B311" s="188" t="n"/>
      <c r="C311" s="188" t="n"/>
      <c r="D311" s="188" t="n"/>
      <c r="E311" s="188" t="n"/>
      <c r="F311" s="188" t="n"/>
      <c r="G311" s="188" t="n"/>
      <c r="H311" s="188" t="n"/>
      <c r="I311" s="188" t="n"/>
      <c r="J311" s="188" t="n"/>
      <c r="K311" s="188" t="n"/>
      <c r="L311" s="188" t="n"/>
      <c r="M311" s="188" t="n"/>
      <c r="N311" s="188" t="n"/>
      <c r="O311" s="188" t="n"/>
      <c r="P311" s="188" t="n"/>
      <c r="Q311" s="188" t="n"/>
      <c r="R311" s="188" t="n"/>
      <c r="S311" s="188" t="n"/>
      <c r="T311" s="188" t="n"/>
      <c r="U311" s="188" t="n"/>
      <c r="V311" s="188" t="n"/>
      <c r="W311" s="188" t="n"/>
      <c r="X311" s="188" t="n"/>
      <c r="Y311" s="188" t="n"/>
      <c r="Z311" s="188" t="n"/>
    </row>
    <row r="312" ht="15.75" customHeight="1" s="673">
      <c r="A312" s="187" t="n"/>
      <c r="B312" s="188" t="n"/>
      <c r="C312" s="188" t="n"/>
      <c r="D312" s="188" t="n"/>
      <c r="E312" s="188" t="n"/>
      <c r="F312" s="188" t="n"/>
      <c r="G312" s="188" t="n"/>
      <c r="H312" s="188" t="n"/>
      <c r="I312" s="188" t="n"/>
      <c r="J312" s="188" t="n"/>
      <c r="K312" s="188" t="n"/>
      <c r="L312" s="188" t="n"/>
      <c r="M312" s="188" t="n"/>
      <c r="N312" s="188" t="n"/>
      <c r="O312" s="188" t="n"/>
      <c r="P312" s="188" t="n"/>
      <c r="Q312" s="188" t="n"/>
      <c r="R312" s="188" t="n"/>
      <c r="S312" s="188" t="n"/>
      <c r="T312" s="188" t="n"/>
      <c r="U312" s="188" t="n"/>
      <c r="V312" s="188" t="n"/>
      <c r="W312" s="188" t="n"/>
      <c r="X312" s="188" t="n"/>
      <c r="Y312" s="188" t="n"/>
      <c r="Z312" s="188" t="n"/>
    </row>
    <row r="313" ht="15.75" customHeight="1" s="673">
      <c r="A313" s="187" t="n"/>
      <c r="B313" s="188" t="n"/>
      <c r="C313" s="188" t="n"/>
      <c r="D313" s="188" t="n"/>
      <c r="E313" s="188" t="n"/>
      <c r="F313" s="188" t="n"/>
      <c r="G313" s="188" t="n"/>
      <c r="H313" s="188" t="n"/>
      <c r="I313" s="188" t="n"/>
      <c r="J313" s="188" t="n"/>
      <c r="K313" s="188" t="n"/>
      <c r="L313" s="188" t="n"/>
      <c r="M313" s="188" t="n"/>
      <c r="N313" s="188" t="n"/>
      <c r="O313" s="188" t="n"/>
      <c r="P313" s="188" t="n"/>
      <c r="Q313" s="188" t="n"/>
      <c r="R313" s="188" t="n"/>
      <c r="S313" s="188" t="n"/>
      <c r="T313" s="188" t="n"/>
      <c r="U313" s="188" t="n"/>
      <c r="V313" s="188" t="n"/>
      <c r="W313" s="188" t="n"/>
      <c r="X313" s="188" t="n"/>
      <c r="Y313" s="188" t="n"/>
      <c r="Z313" s="188" t="n"/>
    </row>
    <row r="314" ht="15.75" customHeight="1" s="673">
      <c r="A314" s="187" t="n"/>
      <c r="B314" s="188" t="n"/>
      <c r="C314" s="188" t="n"/>
      <c r="D314" s="188" t="n"/>
      <c r="E314" s="188" t="n"/>
      <c r="F314" s="188" t="n"/>
      <c r="G314" s="188" t="n"/>
      <c r="H314" s="188" t="n"/>
      <c r="I314" s="188" t="n"/>
      <c r="J314" s="188" t="n"/>
      <c r="K314" s="188" t="n"/>
      <c r="L314" s="188" t="n"/>
      <c r="M314" s="188" t="n"/>
      <c r="N314" s="188" t="n"/>
      <c r="O314" s="188" t="n"/>
      <c r="P314" s="188" t="n"/>
      <c r="Q314" s="188" t="n"/>
      <c r="R314" s="188" t="n"/>
      <c r="S314" s="188" t="n"/>
      <c r="T314" s="188" t="n"/>
      <c r="U314" s="188" t="n"/>
      <c r="V314" s="188" t="n"/>
      <c r="W314" s="188" t="n"/>
      <c r="X314" s="188" t="n"/>
      <c r="Y314" s="188" t="n"/>
      <c r="Z314" s="188" t="n"/>
    </row>
    <row r="315" ht="15.75" customHeight="1" s="673">
      <c r="A315" s="187" t="n"/>
      <c r="B315" s="188" t="n"/>
      <c r="C315" s="188" t="n"/>
      <c r="D315" s="188" t="n"/>
      <c r="E315" s="188" t="n"/>
      <c r="F315" s="188" t="n"/>
      <c r="G315" s="188" t="n"/>
      <c r="H315" s="188" t="n"/>
      <c r="I315" s="188" t="n"/>
      <c r="J315" s="188" t="n"/>
      <c r="K315" s="188" t="n"/>
      <c r="L315" s="188" t="n"/>
      <c r="M315" s="188" t="n"/>
      <c r="N315" s="188" t="n"/>
      <c r="O315" s="188" t="n"/>
      <c r="P315" s="188" t="n"/>
      <c r="Q315" s="188" t="n"/>
      <c r="R315" s="188" t="n"/>
      <c r="S315" s="188" t="n"/>
      <c r="T315" s="188" t="n"/>
      <c r="U315" s="188" t="n"/>
      <c r="V315" s="188" t="n"/>
      <c r="W315" s="188" t="n"/>
      <c r="X315" s="188" t="n"/>
      <c r="Y315" s="188" t="n"/>
      <c r="Z315" s="188" t="n"/>
    </row>
    <row r="316" ht="15.75" customHeight="1" s="673">
      <c r="A316" s="187" t="n"/>
      <c r="B316" s="188" t="n"/>
      <c r="C316" s="188" t="n"/>
      <c r="D316" s="188" t="n"/>
      <c r="E316" s="188" t="n"/>
      <c r="F316" s="188" t="n"/>
      <c r="G316" s="188" t="n"/>
      <c r="H316" s="188" t="n"/>
      <c r="I316" s="188" t="n"/>
      <c r="J316" s="188" t="n"/>
      <c r="K316" s="188" t="n"/>
      <c r="L316" s="188" t="n"/>
      <c r="M316" s="188" t="n"/>
      <c r="N316" s="188" t="n"/>
      <c r="O316" s="188" t="n"/>
      <c r="P316" s="188" t="n"/>
      <c r="Q316" s="188" t="n"/>
      <c r="R316" s="188" t="n"/>
      <c r="S316" s="188" t="n"/>
      <c r="T316" s="188" t="n"/>
      <c r="U316" s="188" t="n"/>
      <c r="V316" s="188" t="n"/>
      <c r="W316" s="188" t="n"/>
      <c r="X316" s="188" t="n"/>
      <c r="Y316" s="188" t="n"/>
      <c r="Z316" s="188" t="n"/>
    </row>
    <row r="317" ht="15.75" customHeight="1" s="673">
      <c r="A317" s="187" t="n"/>
      <c r="B317" s="188" t="n"/>
      <c r="C317" s="188" t="n"/>
      <c r="D317" s="188" t="n"/>
      <c r="E317" s="188" t="n"/>
      <c r="F317" s="188" t="n"/>
      <c r="G317" s="188" t="n"/>
      <c r="H317" s="188" t="n"/>
      <c r="I317" s="188" t="n"/>
      <c r="J317" s="188" t="n"/>
      <c r="K317" s="188" t="n"/>
      <c r="L317" s="188" t="n"/>
      <c r="M317" s="188" t="n"/>
      <c r="N317" s="188" t="n"/>
      <c r="O317" s="188" t="n"/>
      <c r="P317" s="188" t="n"/>
      <c r="Q317" s="188" t="n"/>
      <c r="R317" s="188" t="n"/>
      <c r="S317" s="188" t="n"/>
      <c r="T317" s="188" t="n"/>
      <c r="U317" s="188" t="n"/>
      <c r="V317" s="188" t="n"/>
      <c r="W317" s="188" t="n"/>
      <c r="X317" s="188" t="n"/>
      <c r="Y317" s="188" t="n"/>
      <c r="Z317" s="188" t="n"/>
    </row>
    <row r="318" ht="15.75" customHeight="1" s="673">
      <c r="A318" s="187" t="n"/>
      <c r="B318" s="188" t="n"/>
      <c r="C318" s="188" t="n"/>
      <c r="D318" s="188" t="n"/>
      <c r="E318" s="188" t="n"/>
      <c r="F318" s="188" t="n"/>
      <c r="G318" s="188" t="n"/>
      <c r="H318" s="188" t="n"/>
      <c r="I318" s="188" t="n"/>
      <c r="J318" s="188" t="n"/>
      <c r="K318" s="188" t="n"/>
      <c r="L318" s="188" t="n"/>
      <c r="M318" s="188" t="n"/>
      <c r="N318" s="188" t="n"/>
      <c r="O318" s="188" t="n"/>
      <c r="P318" s="188" t="n"/>
      <c r="Q318" s="188" t="n"/>
      <c r="R318" s="188" t="n"/>
      <c r="S318" s="188" t="n"/>
      <c r="T318" s="188" t="n"/>
      <c r="U318" s="188" t="n"/>
      <c r="V318" s="188" t="n"/>
      <c r="W318" s="188" t="n"/>
      <c r="X318" s="188" t="n"/>
      <c r="Y318" s="188" t="n"/>
      <c r="Z318" s="188" t="n"/>
    </row>
    <row r="319" ht="15.75" customHeight="1" s="673">
      <c r="A319" s="187" t="n"/>
      <c r="B319" s="188" t="n"/>
      <c r="C319" s="188" t="n"/>
      <c r="D319" s="188" t="n"/>
      <c r="E319" s="188" t="n"/>
      <c r="F319" s="188" t="n"/>
      <c r="G319" s="188" t="n"/>
      <c r="H319" s="188" t="n"/>
      <c r="I319" s="188" t="n"/>
      <c r="J319" s="188" t="n"/>
      <c r="K319" s="188" t="n"/>
      <c r="L319" s="188" t="n"/>
      <c r="M319" s="188" t="n"/>
      <c r="N319" s="188" t="n"/>
      <c r="O319" s="188" t="n"/>
      <c r="P319" s="188" t="n"/>
      <c r="Q319" s="188" t="n"/>
      <c r="R319" s="188" t="n"/>
      <c r="S319" s="188" t="n"/>
      <c r="T319" s="188" t="n"/>
      <c r="U319" s="188" t="n"/>
      <c r="V319" s="188" t="n"/>
      <c r="W319" s="188" t="n"/>
      <c r="X319" s="188" t="n"/>
      <c r="Y319" s="188" t="n"/>
      <c r="Z319" s="188" t="n"/>
    </row>
    <row r="320" ht="15.75" customHeight="1" s="673">
      <c r="A320" s="187" t="n"/>
      <c r="B320" s="188" t="n"/>
      <c r="C320" s="188" t="n"/>
      <c r="D320" s="188" t="n"/>
      <c r="E320" s="188" t="n"/>
      <c r="F320" s="188" t="n"/>
      <c r="G320" s="188" t="n"/>
      <c r="H320" s="188" t="n"/>
      <c r="I320" s="188" t="n"/>
      <c r="J320" s="188" t="n"/>
      <c r="K320" s="188" t="n"/>
      <c r="L320" s="188" t="n"/>
      <c r="M320" s="188" t="n"/>
      <c r="N320" s="188" t="n"/>
      <c r="O320" s="188" t="n"/>
      <c r="P320" s="188" t="n"/>
      <c r="Q320" s="188" t="n"/>
      <c r="R320" s="188" t="n"/>
      <c r="S320" s="188" t="n"/>
      <c r="T320" s="188" t="n"/>
      <c r="U320" s="188" t="n"/>
      <c r="V320" s="188" t="n"/>
      <c r="W320" s="188" t="n"/>
      <c r="X320" s="188" t="n"/>
      <c r="Y320" s="188" t="n"/>
      <c r="Z320" s="188" t="n"/>
    </row>
    <row r="321" ht="15.75" customHeight="1" s="673">
      <c r="A321" s="187" t="n"/>
      <c r="B321" s="188" t="n"/>
      <c r="C321" s="188" t="n"/>
      <c r="D321" s="188" t="n"/>
      <c r="E321" s="188" t="n"/>
      <c r="F321" s="188" t="n"/>
      <c r="G321" s="188" t="n"/>
      <c r="H321" s="188" t="n"/>
      <c r="I321" s="188" t="n"/>
      <c r="J321" s="188" t="n"/>
      <c r="K321" s="188" t="n"/>
      <c r="L321" s="188" t="n"/>
      <c r="M321" s="188" t="n"/>
      <c r="N321" s="188" t="n"/>
      <c r="O321" s="188" t="n"/>
      <c r="P321" s="188" t="n"/>
      <c r="Q321" s="188" t="n"/>
      <c r="R321" s="188" t="n"/>
      <c r="S321" s="188" t="n"/>
      <c r="T321" s="188" t="n"/>
      <c r="U321" s="188" t="n"/>
      <c r="V321" s="188" t="n"/>
      <c r="W321" s="188" t="n"/>
      <c r="X321" s="188" t="n"/>
      <c r="Y321" s="188" t="n"/>
      <c r="Z321" s="188" t="n"/>
    </row>
    <row r="322" ht="15.75" customHeight="1" s="673">
      <c r="A322" s="187" t="n"/>
      <c r="B322" s="188" t="n"/>
      <c r="C322" s="188" t="n"/>
      <c r="D322" s="188" t="n"/>
      <c r="E322" s="188" t="n"/>
      <c r="F322" s="188" t="n"/>
      <c r="G322" s="188" t="n"/>
      <c r="H322" s="188" t="n"/>
      <c r="I322" s="188" t="n"/>
      <c r="J322" s="188" t="n"/>
      <c r="K322" s="188" t="n"/>
      <c r="L322" s="188" t="n"/>
      <c r="M322" s="188" t="n"/>
      <c r="N322" s="188" t="n"/>
      <c r="O322" s="188" t="n"/>
      <c r="P322" s="188" t="n"/>
      <c r="Q322" s="188" t="n"/>
      <c r="R322" s="188" t="n"/>
      <c r="S322" s="188" t="n"/>
      <c r="T322" s="188" t="n"/>
      <c r="U322" s="188" t="n"/>
      <c r="V322" s="188" t="n"/>
      <c r="W322" s="188" t="n"/>
      <c r="X322" s="188" t="n"/>
      <c r="Y322" s="188" t="n"/>
      <c r="Z322" s="188" t="n"/>
    </row>
    <row r="323" ht="15.75" customHeight="1" s="673">
      <c r="A323" s="187" t="n"/>
      <c r="B323" s="188" t="n"/>
      <c r="C323" s="188" t="n"/>
      <c r="D323" s="188" t="n"/>
      <c r="E323" s="188" t="n"/>
      <c r="F323" s="188" t="n"/>
      <c r="G323" s="188" t="n"/>
      <c r="H323" s="188" t="n"/>
      <c r="I323" s="188" t="n"/>
      <c r="J323" s="188" t="n"/>
      <c r="K323" s="188" t="n"/>
      <c r="L323" s="188" t="n"/>
      <c r="M323" s="188" t="n"/>
      <c r="N323" s="188" t="n"/>
      <c r="O323" s="188" t="n"/>
      <c r="P323" s="188" t="n"/>
      <c r="Q323" s="188" t="n"/>
      <c r="R323" s="188" t="n"/>
      <c r="S323" s="188" t="n"/>
      <c r="T323" s="188" t="n"/>
      <c r="U323" s="188" t="n"/>
      <c r="V323" s="188" t="n"/>
      <c r="W323" s="188" t="n"/>
      <c r="X323" s="188" t="n"/>
      <c r="Y323" s="188" t="n"/>
      <c r="Z323" s="188" t="n"/>
    </row>
    <row r="324" ht="15.75" customHeight="1" s="673">
      <c r="A324" s="187" t="n"/>
      <c r="B324" s="188" t="n"/>
      <c r="C324" s="188" t="n"/>
      <c r="D324" s="188" t="n"/>
      <c r="E324" s="188" t="n"/>
      <c r="F324" s="188" t="n"/>
      <c r="G324" s="188" t="n"/>
      <c r="H324" s="188" t="n"/>
      <c r="I324" s="188" t="n"/>
      <c r="J324" s="188" t="n"/>
      <c r="K324" s="188" t="n"/>
      <c r="L324" s="188" t="n"/>
      <c r="M324" s="188" t="n"/>
      <c r="N324" s="188" t="n"/>
      <c r="O324" s="188" t="n"/>
      <c r="P324" s="188" t="n"/>
      <c r="Q324" s="188" t="n"/>
      <c r="R324" s="188" t="n"/>
      <c r="S324" s="188" t="n"/>
      <c r="T324" s="188" t="n"/>
      <c r="U324" s="188" t="n"/>
      <c r="V324" s="188" t="n"/>
      <c r="W324" s="188" t="n"/>
      <c r="X324" s="188" t="n"/>
      <c r="Y324" s="188" t="n"/>
      <c r="Z324" s="188" t="n"/>
    </row>
    <row r="325" ht="15.75" customHeight="1" s="673">
      <c r="A325" s="187" t="n"/>
      <c r="B325" s="188" t="n"/>
      <c r="C325" s="188" t="n"/>
      <c r="D325" s="188" t="n"/>
      <c r="E325" s="188" t="n"/>
      <c r="F325" s="188" t="n"/>
      <c r="G325" s="188" t="n"/>
      <c r="H325" s="188" t="n"/>
      <c r="I325" s="188" t="n"/>
      <c r="J325" s="188" t="n"/>
      <c r="K325" s="188" t="n"/>
      <c r="L325" s="188" t="n"/>
      <c r="M325" s="188" t="n"/>
      <c r="N325" s="188" t="n"/>
      <c r="O325" s="188" t="n"/>
      <c r="P325" s="188" t="n"/>
      <c r="Q325" s="188" t="n"/>
      <c r="R325" s="188" t="n"/>
      <c r="S325" s="188" t="n"/>
      <c r="T325" s="188" t="n"/>
      <c r="U325" s="188" t="n"/>
      <c r="V325" s="188" t="n"/>
      <c r="W325" s="188" t="n"/>
      <c r="X325" s="188" t="n"/>
      <c r="Y325" s="188" t="n"/>
      <c r="Z325" s="188" t="n"/>
    </row>
    <row r="326" ht="15.75" customHeight="1" s="673">
      <c r="A326" s="187" t="n"/>
      <c r="B326" s="188" t="n"/>
      <c r="C326" s="188" t="n"/>
      <c r="D326" s="188" t="n"/>
      <c r="E326" s="188" t="n"/>
      <c r="F326" s="188" t="n"/>
      <c r="G326" s="188" t="n"/>
      <c r="H326" s="188" t="n"/>
      <c r="I326" s="188" t="n"/>
      <c r="J326" s="188" t="n"/>
      <c r="K326" s="188" t="n"/>
      <c r="L326" s="188" t="n"/>
      <c r="M326" s="188" t="n"/>
      <c r="N326" s="188" t="n"/>
      <c r="O326" s="188" t="n"/>
      <c r="P326" s="188" t="n"/>
      <c r="Q326" s="188" t="n"/>
      <c r="R326" s="188" t="n"/>
      <c r="S326" s="188" t="n"/>
      <c r="T326" s="188" t="n"/>
      <c r="U326" s="188" t="n"/>
      <c r="V326" s="188" t="n"/>
      <c r="W326" s="188" t="n"/>
      <c r="X326" s="188" t="n"/>
      <c r="Y326" s="188" t="n"/>
      <c r="Z326" s="188" t="n"/>
    </row>
    <row r="327" ht="15.75" customHeight="1" s="673">
      <c r="A327" s="187" t="n"/>
      <c r="B327" s="188" t="n"/>
      <c r="C327" s="188" t="n"/>
      <c r="D327" s="188" t="n"/>
      <c r="E327" s="188" t="n"/>
      <c r="F327" s="188" t="n"/>
      <c r="G327" s="188" t="n"/>
      <c r="H327" s="188" t="n"/>
      <c r="I327" s="188" t="n"/>
      <c r="J327" s="188" t="n"/>
      <c r="K327" s="188" t="n"/>
      <c r="L327" s="188" t="n"/>
      <c r="M327" s="188" t="n"/>
      <c r="N327" s="188" t="n"/>
      <c r="O327" s="188" t="n"/>
      <c r="P327" s="188" t="n"/>
      <c r="Q327" s="188" t="n"/>
      <c r="R327" s="188" t="n"/>
      <c r="S327" s="188" t="n"/>
      <c r="T327" s="188" t="n"/>
      <c r="U327" s="188" t="n"/>
      <c r="V327" s="188" t="n"/>
      <c r="W327" s="188" t="n"/>
      <c r="X327" s="188" t="n"/>
      <c r="Y327" s="188" t="n"/>
      <c r="Z327" s="188" t="n"/>
    </row>
    <row r="328" ht="15.75" customHeight="1" s="673">
      <c r="A328" s="187" t="n"/>
      <c r="B328" s="188" t="n"/>
      <c r="C328" s="188" t="n"/>
      <c r="D328" s="188" t="n"/>
      <c r="E328" s="188" t="n"/>
      <c r="F328" s="188" t="n"/>
      <c r="G328" s="188" t="n"/>
      <c r="H328" s="188" t="n"/>
      <c r="I328" s="188" t="n"/>
      <c r="J328" s="188" t="n"/>
      <c r="K328" s="188" t="n"/>
      <c r="L328" s="188" t="n"/>
      <c r="M328" s="188" t="n"/>
      <c r="N328" s="188" t="n"/>
      <c r="O328" s="188" t="n"/>
      <c r="P328" s="188" t="n"/>
      <c r="Q328" s="188" t="n"/>
      <c r="R328" s="188" t="n"/>
      <c r="S328" s="188" t="n"/>
      <c r="T328" s="188" t="n"/>
      <c r="U328" s="188" t="n"/>
      <c r="V328" s="188" t="n"/>
      <c r="W328" s="188" t="n"/>
      <c r="X328" s="188" t="n"/>
      <c r="Y328" s="188" t="n"/>
      <c r="Z328" s="188" t="n"/>
    </row>
    <row r="329" ht="15.75" customHeight="1" s="673">
      <c r="A329" s="187" t="n"/>
      <c r="B329" s="188" t="n"/>
      <c r="C329" s="188" t="n"/>
      <c r="D329" s="188" t="n"/>
      <c r="E329" s="188" t="n"/>
      <c r="F329" s="188" t="n"/>
      <c r="G329" s="188" t="n"/>
      <c r="H329" s="188" t="n"/>
      <c r="I329" s="188" t="n"/>
      <c r="J329" s="188" t="n"/>
      <c r="K329" s="188" t="n"/>
      <c r="L329" s="188" t="n"/>
      <c r="M329" s="188" t="n"/>
      <c r="N329" s="188" t="n"/>
      <c r="O329" s="188" t="n"/>
      <c r="P329" s="188" t="n"/>
      <c r="Q329" s="188" t="n"/>
      <c r="R329" s="188" t="n"/>
      <c r="S329" s="188" t="n"/>
      <c r="T329" s="188" t="n"/>
      <c r="U329" s="188" t="n"/>
      <c r="V329" s="188" t="n"/>
      <c r="W329" s="188" t="n"/>
      <c r="X329" s="188" t="n"/>
      <c r="Y329" s="188" t="n"/>
      <c r="Z329" s="188" t="n"/>
    </row>
    <row r="330" ht="15.75" customHeight="1" s="673">
      <c r="A330" s="187" t="n"/>
      <c r="B330" s="188" t="n"/>
      <c r="C330" s="188" t="n"/>
      <c r="D330" s="188" t="n"/>
      <c r="E330" s="188" t="n"/>
      <c r="F330" s="188" t="n"/>
      <c r="G330" s="188" t="n"/>
      <c r="H330" s="188" t="n"/>
      <c r="I330" s="188" t="n"/>
      <c r="J330" s="188" t="n"/>
      <c r="K330" s="188" t="n"/>
      <c r="L330" s="188" t="n"/>
      <c r="M330" s="188" t="n"/>
      <c r="N330" s="188" t="n"/>
      <c r="O330" s="188" t="n"/>
      <c r="P330" s="188" t="n"/>
      <c r="Q330" s="188" t="n"/>
      <c r="R330" s="188" t="n"/>
      <c r="S330" s="188" t="n"/>
      <c r="T330" s="188" t="n"/>
      <c r="U330" s="188" t="n"/>
      <c r="V330" s="188" t="n"/>
      <c r="W330" s="188" t="n"/>
      <c r="X330" s="188" t="n"/>
      <c r="Y330" s="188" t="n"/>
      <c r="Z330" s="188" t="n"/>
    </row>
    <row r="331" ht="15.75" customHeight="1" s="673">
      <c r="A331" s="187" t="n"/>
      <c r="B331" s="188" t="n"/>
      <c r="C331" s="188" t="n"/>
      <c r="D331" s="188" t="n"/>
      <c r="E331" s="188" t="n"/>
      <c r="F331" s="188" t="n"/>
      <c r="G331" s="188" t="n"/>
      <c r="H331" s="188" t="n"/>
      <c r="I331" s="188" t="n"/>
      <c r="J331" s="188" t="n"/>
      <c r="K331" s="188" t="n"/>
      <c r="L331" s="188" t="n"/>
      <c r="M331" s="188" t="n"/>
      <c r="N331" s="188" t="n"/>
      <c r="O331" s="188" t="n"/>
      <c r="P331" s="188" t="n"/>
      <c r="Q331" s="188" t="n"/>
      <c r="R331" s="188" t="n"/>
      <c r="S331" s="188" t="n"/>
      <c r="T331" s="188" t="n"/>
      <c r="U331" s="188" t="n"/>
      <c r="V331" s="188" t="n"/>
      <c r="W331" s="188" t="n"/>
      <c r="X331" s="188" t="n"/>
      <c r="Y331" s="188" t="n"/>
      <c r="Z331" s="188" t="n"/>
    </row>
    <row r="332" ht="15.75" customHeight="1" s="673">
      <c r="A332" s="187" t="n"/>
      <c r="B332" s="188" t="n"/>
      <c r="C332" s="188" t="n"/>
      <c r="D332" s="188" t="n"/>
      <c r="E332" s="188" t="n"/>
      <c r="F332" s="188" t="n"/>
      <c r="G332" s="188" t="n"/>
      <c r="H332" s="188" t="n"/>
      <c r="I332" s="188" t="n"/>
      <c r="J332" s="188" t="n"/>
      <c r="K332" s="188" t="n"/>
      <c r="L332" s="188" t="n"/>
      <c r="M332" s="188" t="n"/>
      <c r="N332" s="188" t="n"/>
      <c r="O332" s="188" t="n"/>
      <c r="P332" s="188" t="n"/>
      <c r="Q332" s="188" t="n"/>
      <c r="R332" s="188" t="n"/>
      <c r="S332" s="188" t="n"/>
      <c r="T332" s="188" t="n"/>
      <c r="U332" s="188" t="n"/>
      <c r="V332" s="188" t="n"/>
      <c r="W332" s="188" t="n"/>
      <c r="X332" s="188" t="n"/>
      <c r="Y332" s="188" t="n"/>
      <c r="Z332" s="188" t="n"/>
    </row>
    <row r="333" ht="15.75" customHeight="1" s="673">
      <c r="A333" s="187" t="n"/>
      <c r="B333" s="188" t="n"/>
      <c r="C333" s="188" t="n"/>
      <c r="D333" s="188" t="n"/>
      <c r="E333" s="188" t="n"/>
      <c r="F333" s="188" t="n"/>
      <c r="G333" s="188" t="n"/>
      <c r="H333" s="188" t="n"/>
      <c r="I333" s="188" t="n"/>
      <c r="J333" s="188" t="n"/>
      <c r="K333" s="188" t="n"/>
      <c r="L333" s="188" t="n"/>
      <c r="M333" s="188" t="n"/>
      <c r="N333" s="188" t="n"/>
      <c r="O333" s="188" t="n"/>
      <c r="P333" s="188" t="n"/>
      <c r="Q333" s="188" t="n"/>
      <c r="R333" s="188" t="n"/>
      <c r="S333" s="188" t="n"/>
      <c r="T333" s="188" t="n"/>
      <c r="U333" s="188" t="n"/>
      <c r="V333" s="188" t="n"/>
      <c r="W333" s="188" t="n"/>
      <c r="X333" s="188" t="n"/>
      <c r="Y333" s="188" t="n"/>
      <c r="Z333" s="188" t="n"/>
    </row>
    <row r="334" ht="15.75" customHeight="1" s="673">
      <c r="A334" s="187" t="n"/>
      <c r="B334" s="188" t="n"/>
      <c r="C334" s="188" t="n"/>
      <c r="D334" s="188" t="n"/>
      <c r="E334" s="188" t="n"/>
      <c r="F334" s="188" t="n"/>
      <c r="G334" s="188" t="n"/>
      <c r="H334" s="188" t="n"/>
      <c r="I334" s="188" t="n"/>
      <c r="J334" s="188" t="n"/>
      <c r="K334" s="188" t="n"/>
      <c r="L334" s="188" t="n"/>
      <c r="M334" s="188" t="n"/>
      <c r="N334" s="188" t="n"/>
      <c r="O334" s="188" t="n"/>
      <c r="P334" s="188" t="n"/>
      <c r="Q334" s="188" t="n"/>
      <c r="R334" s="188" t="n"/>
      <c r="S334" s="188" t="n"/>
      <c r="T334" s="188" t="n"/>
      <c r="U334" s="188" t="n"/>
      <c r="V334" s="188" t="n"/>
      <c r="W334" s="188" t="n"/>
      <c r="X334" s="188" t="n"/>
      <c r="Y334" s="188" t="n"/>
      <c r="Z334" s="188" t="n"/>
    </row>
    <row r="335" ht="15.75" customHeight="1" s="673">
      <c r="A335" s="187" t="n"/>
      <c r="B335" s="188" t="n"/>
      <c r="C335" s="188" t="n"/>
      <c r="D335" s="188" t="n"/>
      <c r="E335" s="188" t="n"/>
      <c r="F335" s="188" t="n"/>
      <c r="G335" s="188" t="n"/>
      <c r="H335" s="188" t="n"/>
      <c r="I335" s="188" t="n"/>
      <c r="J335" s="188" t="n"/>
      <c r="K335" s="188" t="n"/>
      <c r="L335" s="188" t="n"/>
      <c r="M335" s="188" t="n"/>
      <c r="N335" s="188" t="n"/>
      <c r="O335" s="188" t="n"/>
      <c r="P335" s="188" t="n"/>
      <c r="Q335" s="188" t="n"/>
      <c r="R335" s="188" t="n"/>
      <c r="S335" s="188" t="n"/>
      <c r="T335" s="188" t="n"/>
      <c r="U335" s="188" t="n"/>
      <c r="V335" s="188" t="n"/>
      <c r="W335" s="188" t="n"/>
      <c r="X335" s="188" t="n"/>
      <c r="Y335" s="188" t="n"/>
      <c r="Z335" s="188" t="n"/>
    </row>
    <row r="336" ht="15.75" customHeight="1" s="673">
      <c r="A336" s="187" t="n"/>
      <c r="B336" s="188" t="n"/>
      <c r="C336" s="188" t="n"/>
      <c r="D336" s="188" t="n"/>
      <c r="E336" s="188" t="n"/>
      <c r="F336" s="188" t="n"/>
      <c r="G336" s="188" t="n"/>
      <c r="H336" s="188" t="n"/>
      <c r="I336" s="188" t="n"/>
      <c r="J336" s="188" t="n"/>
      <c r="K336" s="188" t="n"/>
      <c r="L336" s="188" t="n"/>
      <c r="M336" s="188" t="n"/>
      <c r="N336" s="188" t="n"/>
      <c r="O336" s="188" t="n"/>
      <c r="P336" s="188" t="n"/>
      <c r="Q336" s="188" t="n"/>
      <c r="R336" s="188" t="n"/>
      <c r="S336" s="188" t="n"/>
      <c r="T336" s="188" t="n"/>
      <c r="U336" s="188" t="n"/>
      <c r="V336" s="188" t="n"/>
      <c r="W336" s="188" t="n"/>
      <c r="X336" s="188" t="n"/>
      <c r="Y336" s="188" t="n"/>
      <c r="Z336" s="188" t="n"/>
    </row>
    <row r="337" ht="15.75" customHeight="1" s="673">
      <c r="A337" s="187" t="n"/>
      <c r="B337" s="188" t="n"/>
      <c r="C337" s="188" t="n"/>
      <c r="D337" s="188" t="n"/>
      <c r="E337" s="188" t="n"/>
      <c r="F337" s="188" t="n"/>
      <c r="G337" s="188" t="n"/>
      <c r="H337" s="188" t="n"/>
      <c r="I337" s="188" t="n"/>
      <c r="J337" s="188" t="n"/>
      <c r="K337" s="188" t="n"/>
      <c r="L337" s="188" t="n"/>
      <c r="M337" s="188" t="n"/>
      <c r="N337" s="188" t="n"/>
      <c r="O337" s="188" t="n"/>
      <c r="P337" s="188" t="n"/>
      <c r="Q337" s="188" t="n"/>
      <c r="R337" s="188" t="n"/>
      <c r="S337" s="188" t="n"/>
      <c r="T337" s="188" t="n"/>
      <c r="U337" s="188" t="n"/>
      <c r="V337" s="188" t="n"/>
      <c r="W337" s="188" t="n"/>
      <c r="X337" s="188" t="n"/>
      <c r="Y337" s="188" t="n"/>
      <c r="Z337" s="188" t="n"/>
    </row>
    <row r="338" ht="15.75" customHeight="1" s="673">
      <c r="A338" s="187" t="n"/>
      <c r="B338" s="188" t="n"/>
      <c r="C338" s="188" t="n"/>
      <c r="D338" s="188" t="n"/>
      <c r="E338" s="188" t="n"/>
      <c r="F338" s="188" t="n"/>
      <c r="G338" s="188" t="n"/>
      <c r="H338" s="188" t="n"/>
      <c r="I338" s="188" t="n"/>
      <c r="J338" s="188" t="n"/>
      <c r="K338" s="188" t="n"/>
      <c r="L338" s="188" t="n"/>
      <c r="M338" s="188" t="n"/>
      <c r="N338" s="188" t="n"/>
      <c r="O338" s="188" t="n"/>
      <c r="P338" s="188" t="n"/>
      <c r="Q338" s="188" t="n"/>
      <c r="R338" s="188" t="n"/>
      <c r="S338" s="188" t="n"/>
      <c r="T338" s="188" t="n"/>
      <c r="U338" s="188" t="n"/>
      <c r="V338" s="188" t="n"/>
      <c r="W338" s="188" t="n"/>
      <c r="X338" s="188" t="n"/>
      <c r="Y338" s="188" t="n"/>
      <c r="Z338" s="188" t="n"/>
    </row>
    <row r="339" ht="15.75" customHeight="1" s="673">
      <c r="A339" s="187" t="n"/>
      <c r="B339" s="188" t="n"/>
      <c r="C339" s="188" t="n"/>
      <c r="D339" s="188" t="n"/>
      <c r="E339" s="188" t="n"/>
      <c r="F339" s="188" t="n"/>
      <c r="G339" s="188" t="n"/>
      <c r="H339" s="188" t="n"/>
      <c r="I339" s="188" t="n"/>
      <c r="J339" s="188" t="n"/>
      <c r="K339" s="188" t="n"/>
      <c r="L339" s="188" t="n"/>
      <c r="M339" s="188" t="n"/>
      <c r="N339" s="188" t="n"/>
      <c r="O339" s="188" t="n"/>
      <c r="P339" s="188" t="n"/>
      <c r="Q339" s="188" t="n"/>
      <c r="R339" s="188" t="n"/>
      <c r="S339" s="188" t="n"/>
      <c r="T339" s="188" t="n"/>
      <c r="U339" s="188" t="n"/>
      <c r="V339" s="188" t="n"/>
      <c r="W339" s="188" t="n"/>
      <c r="X339" s="188" t="n"/>
      <c r="Y339" s="188" t="n"/>
      <c r="Z339" s="188" t="n"/>
    </row>
    <row r="340" ht="15.75" customHeight="1" s="673">
      <c r="A340" s="187" t="n"/>
      <c r="B340" s="188" t="n"/>
      <c r="C340" s="188" t="n"/>
      <c r="D340" s="188" t="n"/>
      <c r="E340" s="188" t="n"/>
      <c r="F340" s="188" t="n"/>
      <c r="G340" s="188" t="n"/>
      <c r="H340" s="188" t="n"/>
      <c r="I340" s="188" t="n"/>
      <c r="J340" s="188" t="n"/>
      <c r="K340" s="188" t="n"/>
      <c r="L340" s="188" t="n"/>
      <c r="M340" s="188" t="n"/>
      <c r="N340" s="188" t="n"/>
      <c r="O340" s="188" t="n"/>
      <c r="P340" s="188" t="n"/>
      <c r="Q340" s="188" t="n"/>
      <c r="R340" s="188" t="n"/>
      <c r="S340" s="188" t="n"/>
      <c r="T340" s="188" t="n"/>
      <c r="U340" s="188" t="n"/>
      <c r="V340" s="188" t="n"/>
      <c r="W340" s="188" t="n"/>
      <c r="X340" s="188" t="n"/>
      <c r="Y340" s="188" t="n"/>
      <c r="Z340" s="188" t="n"/>
    </row>
    <row r="341" ht="15.75" customHeight="1" s="673">
      <c r="A341" s="187" t="n"/>
      <c r="B341" s="188" t="n"/>
      <c r="C341" s="188" t="n"/>
      <c r="D341" s="188" t="n"/>
      <c r="E341" s="188" t="n"/>
      <c r="F341" s="188" t="n"/>
      <c r="G341" s="188" t="n"/>
      <c r="H341" s="188" t="n"/>
      <c r="I341" s="188" t="n"/>
      <c r="J341" s="188" t="n"/>
      <c r="K341" s="188" t="n"/>
      <c r="L341" s="188" t="n"/>
      <c r="M341" s="188" t="n"/>
      <c r="N341" s="188" t="n"/>
      <c r="O341" s="188" t="n"/>
      <c r="P341" s="188" t="n"/>
      <c r="Q341" s="188" t="n"/>
      <c r="R341" s="188" t="n"/>
      <c r="S341" s="188" t="n"/>
      <c r="T341" s="188" t="n"/>
      <c r="U341" s="188" t="n"/>
      <c r="V341" s="188" t="n"/>
      <c r="W341" s="188" t="n"/>
      <c r="X341" s="188" t="n"/>
      <c r="Y341" s="188" t="n"/>
      <c r="Z341" s="188" t="n"/>
    </row>
    <row r="342" ht="15.75" customHeight="1" s="673">
      <c r="A342" s="187" t="n"/>
      <c r="B342" s="188" t="n"/>
      <c r="C342" s="188" t="n"/>
      <c r="D342" s="188" t="n"/>
      <c r="E342" s="188" t="n"/>
      <c r="F342" s="188" t="n"/>
      <c r="G342" s="188" t="n"/>
      <c r="H342" s="188" t="n"/>
      <c r="I342" s="188" t="n"/>
      <c r="J342" s="188" t="n"/>
      <c r="K342" s="188" t="n"/>
      <c r="L342" s="188" t="n"/>
      <c r="M342" s="188" t="n"/>
      <c r="N342" s="188" t="n"/>
      <c r="O342" s="188" t="n"/>
      <c r="P342" s="188" t="n"/>
      <c r="Q342" s="188" t="n"/>
      <c r="R342" s="188" t="n"/>
      <c r="S342" s="188" t="n"/>
      <c r="T342" s="188" t="n"/>
      <c r="U342" s="188" t="n"/>
      <c r="V342" s="188" t="n"/>
      <c r="W342" s="188" t="n"/>
      <c r="X342" s="188" t="n"/>
      <c r="Y342" s="188" t="n"/>
      <c r="Z342" s="188" t="n"/>
    </row>
    <row r="343" ht="15.75" customHeight="1" s="673">
      <c r="A343" s="187" t="n"/>
      <c r="B343" s="188" t="n"/>
      <c r="C343" s="188" t="n"/>
      <c r="D343" s="188" t="n"/>
      <c r="E343" s="188" t="n"/>
      <c r="F343" s="188" t="n"/>
      <c r="G343" s="188" t="n"/>
      <c r="H343" s="188" t="n"/>
      <c r="I343" s="188" t="n"/>
      <c r="J343" s="188" t="n"/>
      <c r="K343" s="188" t="n"/>
      <c r="L343" s="188" t="n"/>
      <c r="M343" s="188" t="n"/>
      <c r="N343" s="188" t="n"/>
      <c r="O343" s="188" t="n"/>
      <c r="P343" s="188" t="n"/>
      <c r="Q343" s="188" t="n"/>
      <c r="R343" s="188" t="n"/>
      <c r="S343" s="188" t="n"/>
      <c r="T343" s="188" t="n"/>
      <c r="U343" s="188" t="n"/>
      <c r="V343" s="188" t="n"/>
      <c r="W343" s="188" t="n"/>
      <c r="X343" s="188" t="n"/>
      <c r="Y343" s="188" t="n"/>
      <c r="Z343" s="188" t="n"/>
    </row>
    <row r="344" ht="15.75" customHeight="1" s="673">
      <c r="A344" s="187" t="n"/>
      <c r="B344" s="188" t="n"/>
      <c r="C344" s="188" t="n"/>
      <c r="D344" s="188" t="n"/>
      <c r="E344" s="188" t="n"/>
      <c r="F344" s="188" t="n"/>
      <c r="G344" s="188" t="n"/>
      <c r="H344" s="188" t="n"/>
      <c r="I344" s="188" t="n"/>
      <c r="J344" s="188" t="n"/>
      <c r="K344" s="188" t="n"/>
      <c r="L344" s="188" t="n"/>
      <c r="M344" s="188" t="n"/>
      <c r="N344" s="188" t="n"/>
      <c r="O344" s="188" t="n"/>
      <c r="P344" s="188" t="n"/>
      <c r="Q344" s="188" t="n"/>
      <c r="R344" s="188" t="n"/>
      <c r="S344" s="188" t="n"/>
      <c r="T344" s="188" t="n"/>
      <c r="U344" s="188" t="n"/>
      <c r="V344" s="188" t="n"/>
      <c r="W344" s="188" t="n"/>
      <c r="X344" s="188" t="n"/>
      <c r="Y344" s="188" t="n"/>
      <c r="Z344" s="188" t="n"/>
    </row>
    <row r="345" ht="15.75" customHeight="1" s="673">
      <c r="A345" s="187" t="n"/>
      <c r="B345" s="188" t="n"/>
      <c r="C345" s="188" t="n"/>
      <c r="D345" s="188" t="n"/>
      <c r="E345" s="188" t="n"/>
      <c r="F345" s="188" t="n"/>
      <c r="G345" s="188" t="n"/>
      <c r="H345" s="188" t="n"/>
      <c r="I345" s="188" t="n"/>
      <c r="J345" s="188" t="n"/>
      <c r="K345" s="188" t="n"/>
      <c r="L345" s="188" t="n"/>
      <c r="M345" s="188" t="n"/>
      <c r="N345" s="188" t="n"/>
      <c r="O345" s="188" t="n"/>
      <c r="P345" s="188" t="n"/>
      <c r="Q345" s="188" t="n"/>
      <c r="R345" s="188" t="n"/>
      <c r="S345" s="188" t="n"/>
      <c r="T345" s="188" t="n"/>
      <c r="U345" s="188" t="n"/>
      <c r="V345" s="188" t="n"/>
      <c r="W345" s="188" t="n"/>
      <c r="X345" s="188" t="n"/>
      <c r="Y345" s="188" t="n"/>
      <c r="Z345" s="188" t="n"/>
    </row>
    <row r="346" ht="15.75" customHeight="1" s="673">
      <c r="A346" s="187" t="n"/>
      <c r="B346" s="188" t="n"/>
      <c r="C346" s="188" t="n"/>
      <c r="D346" s="188" t="n"/>
      <c r="E346" s="188" t="n"/>
      <c r="F346" s="188" t="n"/>
      <c r="G346" s="188" t="n"/>
      <c r="H346" s="188" t="n"/>
      <c r="I346" s="188" t="n"/>
      <c r="J346" s="188" t="n"/>
      <c r="K346" s="188" t="n"/>
      <c r="L346" s="188" t="n"/>
      <c r="M346" s="188" t="n"/>
      <c r="N346" s="188" t="n"/>
      <c r="O346" s="188" t="n"/>
      <c r="P346" s="188" t="n"/>
      <c r="Q346" s="188" t="n"/>
      <c r="R346" s="188" t="n"/>
      <c r="S346" s="188" t="n"/>
      <c r="T346" s="188" t="n"/>
      <c r="U346" s="188" t="n"/>
      <c r="V346" s="188" t="n"/>
      <c r="W346" s="188" t="n"/>
      <c r="X346" s="188" t="n"/>
      <c r="Y346" s="188" t="n"/>
      <c r="Z346" s="188" t="n"/>
    </row>
    <row r="347" ht="15.75" customHeight="1" s="673">
      <c r="A347" s="187" t="n"/>
      <c r="B347" s="188" t="n"/>
      <c r="C347" s="188" t="n"/>
      <c r="D347" s="188" t="n"/>
      <c r="E347" s="188" t="n"/>
      <c r="F347" s="188" t="n"/>
      <c r="G347" s="188" t="n"/>
      <c r="H347" s="188" t="n"/>
      <c r="I347" s="188" t="n"/>
      <c r="J347" s="188" t="n"/>
      <c r="K347" s="188" t="n"/>
      <c r="L347" s="188" t="n"/>
      <c r="M347" s="188" t="n"/>
      <c r="N347" s="188" t="n"/>
      <c r="O347" s="188" t="n"/>
      <c r="P347" s="188" t="n"/>
      <c r="Q347" s="188" t="n"/>
      <c r="R347" s="188" t="n"/>
      <c r="S347" s="188" t="n"/>
      <c r="T347" s="188" t="n"/>
      <c r="U347" s="188" t="n"/>
      <c r="V347" s="188" t="n"/>
      <c r="W347" s="188" t="n"/>
      <c r="X347" s="188" t="n"/>
      <c r="Y347" s="188" t="n"/>
      <c r="Z347" s="188" t="n"/>
    </row>
    <row r="348" ht="15.75" customHeight="1" s="673">
      <c r="A348" s="187" t="n"/>
      <c r="B348" s="188" t="n"/>
      <c r="C348" s="188" t="n"/>
      <c r="D348" s="188" t="n"/>
      <c r="E348" s="188" t="n"/>
      <c r="F348" s="188" t="n"/>
      <c r="G348" s="188" t="n"/>
      <c r="H348" s="188" t="n"/>
      <c r="I348" s="188" t="n"/>
      <c r="J348" s="188" t="n"/>
      <c r="K348" s="188" t="n"/>
      <c r="L348" s="188" t="n"/>
      <c r="M348" s="188" t="n"/>
      <c r="N348" s="188" t="n"/>
      <c r="O348" s="188" t="n"/>
      <c r="P348" s="188" t="n"/>
      <c r="Q348" s="188" t="n"/>
      <c r="R348" s="188" t="n"/>
      <c r="S348" s="188" t="n"/>
      <c r="T348" s="188" t="n"/>
      <c r="U348" s="188" t="n"/>
      <c r="V348" s="188" t="n"/>
      <c r="W348" s="188" t="n"/>
      <c r="X348" s="188" t="n"/>
      <c r="Y348" s="188" t="n"/>
      <c r="Z348" s="188" t="n"/>
    </row>
    <row r="349" ht="15.75" customHeight="1" s="673">
      <c r="A349" s="187" t="n"/>
      <c r="B349" s="188" t="n"/>
      <c r="C349" s="188" t="n"/>
      <c r="D349" s="188" t="n"/>
      <c r="E349" s="188" t="n"/>
      <c r="F349" s="188" t="n"/>
      <c r="G349" s="188" t="n"/>
      <c r="H349" s="188" t="n"/>
      <c r="I349" s="188" t="n"/>
      <c r="J349" s="188" t="n"/>
      <c r="K349" s="188" t="n"/>
      <c r="L349" s="188" t="n"/>
      <c r="M349" s="188" t="n"/>
      <c r="N349" s="188" t="n"/>
      <c r="O349" s="188" t="n"/>
      <c r="P349" s="188" t="n"/>
      <c r="Q349" s="188" t="n"/>
      <c r="R349" s="188" t="n"/>
      <c r="S349" s="188" t="n"/>
      <c r="T349" s="188" t="n"/>
      <c r="U349" s="188" t="n"/>
      <c r="V349" s="188" t="n"/>
      <c r="W349" s="188" t="n"/>
      <c r="X349" s="188" t="n"/>
      <c r="Y349" s="188" t="n"/>
      <c r="Z349" s="188" t="n"/>
    </row>
    <row r="350" ht="15.75" customHeight="1" s="673">
      <c r="A350" s="187" t="n"/>
      <c r="B350" s="188" t="n"/>
      <c r="C350" s="188" t="n"/>
      <c r="D350" s="188" t="n"/>
      <c r="E350" s="188" t="n"/>
      <c r="F350" s="188" t="n"/>
      <c r="G350" s="188" t="n"/>
      <c r="H350" s="188" t="n"/>
      <c r="I350" s="188" t="n"/>
      <c r="J350" s="188" t="n"/>
      <c r="K350" s="188" t="n"/>
      <c r="L350" s="188" t="n"/>
      <c r="M350" s="188" t="n"/>
      <c r="N350" s="188" t="n"/>
      <c r="O350" s="188" t="n"/>
      <c r="P350" s="188" t="n"/>
      <c r="Q350" s="188" t="n"/>
      <c r="R350" s="188" t="n"/>
      <c r="S350" s="188" t="n"/>
      <c r="T350" s="188" t="n"/>
      <c r="U350" s="188" t="n"/>
      <c r="V350" s="188" t="n"/>
      <c r="W350" s="188" t="n"/>
      <c r="X350" s="188" t="n"/>
      <c r="Y350" s="188" t="n"/>
      <c r="Z350" s="188" t="n"/>
    </row>
    <row r="351" ht="15.75" customHeight="1" s="673">
      <c r="A351" s="187" t="n"/>
      <c r="B351" s="188" t="n"/>
      <c r="C351" s="188" t="n"/>
      <c r="D351" s="188" t="n"/>
      <c r="E351" s="188" t="n"/>
      <c r="F351" s="188" t="n"/>
      <c r="G351" s="188" t="n"/>
      <c r="H351" s="188" t="n"/>
      <c r="I351" s="188" t="n"/>
      <c r="J351" s="188" t="n"/>
      <c r="K351" s="188" t="n"/>
      <c r="L351" s="188" t="n"/>
      <c r="M351" s="188" t="n"/>
      <c r="N351" s="188" t="n"/>
      <c r="O351" s="188" t="n"/>
      <c r="P351" s="188" t="n"/>
      <c r="Q351" s="188" t="n"/>
      <c r="R351" s="188" t="n"/>
      <c r="S351" s="188" t="n"/>
      <c r="T351" s="188" t="n"/>
      <c r="U351" s="188" t="n"/>
      <c r="V351" s="188" t="n"/>
      <c r="W351" s="188" t="n"/>
      <c r="X351" s="188" t="n"/>
      <c r="Y351" s="188" t="n"/>
      <c r="Z351" s="188" t="n"/>
    </row>
    <row r="352" ht="15.75" customHeight="1" s="673">
      <c r="A352" s="187" t="n"/>
      <c r="B352" s="188" t="n"/>
      <c r="C352" s="188" t="n"/>
      <c r="D352" s="188" t="n"/>
      <c r="E352" s="188" t="n"/>
      <c r="F352" s="188" t="n"/>
      <c r="G352" s="188" t="n"/>
      <c r="H352" s="188" t="n"/>
      <c r="I352" s="188" t="n"/>
      <c r="J352" s="188" t="n"/>
      <c r="K352" s="188" t="n"/>
      <c r="L352" s="188" t="n"/>
      <c r="M352" s="188" t="n"/>
      <c r="N352" s="188" t="n"/>
      <c r="O352" s="188" t="n"/>
      <c r="P352" s="188" t="n"/>
      <c r="Q352" s="188" t="n"/>
      <c r="R352" s="188" t="n"/>
      <c r="S352" s="188" t="n"/>
      <c r="T352" s="188" t="n"/>
      <c r="U352" s="188" t="n"/>
      <c r="V352" s="188" t="n"/>
      <c r="W352" s="188" t="n"/>
      <c r="X352" s="188" t="n"/>
      <c r="Y352" s="188" t="n"/>
      <c r="Z352" s="188" t="n"/>
    </row>
    <row r="353" ht="15.75" customHeight="1" s="673">
      <c r="A353" s="187" t="n"/>
      <c r="B353" s="188" t="n"/>
      <c r="C353" s="188" t="n"/>
      <c r="D353" s="188" t="n"/>
      <c r="E353" s="188" t="n"/>
      <c r="F353" s="188" t="n"/>
      <c r="G353" s="188" t="n"/>
      <c r="H353" s="188" t="n"/>
      <c r="I353" s="188" t="n"/>
      <c r="J353" s="188" t="n"/>
      <c r="K353" s="188" t="n"/>
      <c r="L353" s="188" t="n"/>
      <c r="M353" s="188" t="n"/>
      <c r="N353" s="188" t="n"/>
      <c r="O353" s="188" t="n"/>
      <c r="P353" s="188" t="n"/>
      <c r="Q353" s="188" t="n"/>
      <c r="R353" s="188" t="n"/>
      <c r="S353" s="188" t="n"/>
      <c r="T353" s="188" t="n"/>
      <c r="U353" s="188" t="n"/>
      <c r="V353" s="188" t="n"/>
      <c r="W353" s="188" t="n"/>
      <c r="X353" s="188" t="n"/>
      <c r="Y353" s="188" t="n"/>
      <c r="Z353" s="188" t="n"/>
    </row>
    <row r="354" ht="15.75" customHeight="1" s="673">
      <c r="A354" s="187" t="n"/>
      <c r="B354" s="188" t="n"/>
      <c r="C354" s="188" t="n"/>
      <c r="D354" s="188" t="n"/>
      <c r="E354" s="188" t="n"/>
      <c r="F354" s="188" t="n"/>
      <c r="G354" s="188" t="n"/>
      <c r="H354" s="188" t="n"/>
      <c r="I354" s="188" t="n"/>
      <c r="J354" s="188" t="n"/>
      <c r="K354" s="188" t="n"/>
      <c r="L354" s="188" t="n"/>
      <c r="M354" s="188" t="n"/>
      <c r="N354" s="188" t="n"/>
      <c r="O354" s="188" t="n"/>
      <c r="P354" s="188" t="n"/>
      <c r="Q354" s="188" t="n"/>
      <c r="R354" s="188" t="n"/>
      <c r="S354" s="188" t="n"/>
      <c r="T354" s="188" t="n"/>
      <c r="U354" s="188" t="n"/>
      <c r="V354" s="188" t="n"/>
      <c r="W354" s="188" t="n"/>
      <c r="X354" s="188" t="n"/>
      <c r="Y354" s="188" t="n"/>
      <c r="Z354" s="188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mergeCells count="9">
    <mergeCell ref="B9:E9"/>
    <mergeCell ref="B7:F7"/>
    <mergeCell ref="B65:E65"/>
    <mergeCell ref="B83:E83"/>
    <mergeCell ref="B119:E119"/>
    <mergeCell ref="B29:E29"/>
    <mergeCell ref="B47:E47"/>
    <mergeCell ref="B137:E137"/>
    <mergeCell ref="B101:E101"/>
  </mergeCells>
  <printOptions horizontalCentered="1"/>
  <pageMargins left="0" right="0" top="1.062992125984252" bottom="0.5905511811023623" header="0" footer="0"/>
  <pageSetup orientation="landscape" paperSize="9"/>
  <headerFooter>
    <oddHeader/>
    <oddFooter>&amp;Cwww.safrasecifras.com.br  (53) 3227-1010&amp;R&amp;D &amp;T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FF9999"/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style="673" min="1" max="1"/>
    <col width="46" customWidth="1" style="673" min="2" max="2"/>
    <col width="13.63" customWidth="1" style="673" min="3" max="3"/>
    <col width="14.13" customWidth="1" style="673" min="4" max="4"/>
    <col width="10.75" customWidth="1" style="673" min="5" max="5"/>
    <col width="10.25" customWidth="1" style="673" min="6" max="6"/>
    <col width="11.63" customWidth="1" style="673" min="7" max="7"/>
    <col width="10.25" customWidth="1" style="673" min="8" max="8"/>
    <col width="11.63" customWidth="1" style="673" min="9" max="9"/>
    <col width="12.13" customWidth="1" style="673" min="10" max="10"/>
    <col width="13.5" customWidth="1" style="673" min="11" max="11"/>
    <col width="12.5" customWidth="1" style="673" min="12" max="12"/>
    <col width="14.75" customWidth="1" style="673" min="13" max="13"/>
    <col width="13.88" customWidth="1" style="673" min="14" max="14"/>
    <col width="12.75" customWidth="1" style="673" min="15" max="15"/>
    <col width="8.75" customWidth="1" style="673" min="16" max="26"/>
  </cols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10" t="n"/>
      <c r="B2" s="211" t="inlineStr">
        <is>
          <t xml:space="preserve">RECEITAS E DESPESAS PARCERIA </t>
        </is>
      </c>
      <c r="C2" s="212" t="n"/>
      <c r="D2" s="212" t="n"/>
      <c r="E2" s="212" t="n"/>
      <c r="F2" s="212" t="n"/>
      <c r="G2" s="212" t="n"/>
      <c r="H2" s="212" t="n"/>
      <c r="I2" s="212" t="n"/>
      <c r="J2" s="212" t="n"/>
      <c r="K2" s="212" t="n"/>
      <c r="L2" s="212" t="n"/>
      <c r="M2" s="212" t="n"/>
      <c r="N2" s="212" t="n"/>
      <c r="O2" s="192">
        <f>RECEITAS!I12</f>
        <v/>
      </c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10" t="n"/>
      <c r="B3" s="686">
        <f>RECEITAS!B13</f>
        <v/>
      </c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>
      <c r="A4" s="10" t="n"/>
      <c r="B4" s="215" t="n"/>
      <c r="C4" s="216" t="n"/>
      <c r="D4" s="216" t="n"/>
      <c r="E4" s="216" t="n"/>
      <c r="F4" s="216" t="n"/>
      <c r="G4" s="216" t="n"/>
      <c r="H4" s="216" t="n"/>
      <c r="I4" s="216" t="n"/>
      <c r="J4" s="216" t="n"/>
      <c r="K4" s="216" t="n"/>
      <c r="L4" s="216" t="n"/>
      <c r="M4" s="216" t="n"/>
      <c r="N4" s="216" t="n"/>
      <c r="O4" s="216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>
      <c r="A5" s="10" t="n"/>
      <c r="B5" s="200">
        <f>RECEITAS!I12</f>
        <v/>
      </c>
      <c r="C5" s="217" t="inlineStr">
        <is>
          <t>JANEIRO</t>
        </is>
      </c>
      <c r="D5" s="217" t="inlineStr">
        <is>
          <t>FEVEREIRO</t>
        </is>
      </c>
      <c r="E5" s="217" t="inlineStr">
        <is>
          <t>MARÇO</t>
        </is>
      </c>
      <c r="F5" s="217" t="inlineStr">
        <is>
          <t>ABRIL</t>
        </is>
      </c>
      <c r="G5" s="217" t="inlineStr">
        <is>
          <t>MAIO</t>
        </is>
      </c>
      <c r="H5" s="217" t="inlineStr">
        <is>
          <t>JUNHO</t>
        </is>
      </c>
      <c r="I5" s="217" t="inlineStr">
        <is>
          <t>JULHO</t>
        </is>
      </c>
      <c r="J5" s="217" t="inlineStr">
        <is>
          <t>AGOSTO</t>
        </is>
      </c>
      <c r="K5" s="217" t="inlineStr">
        <is>
          <t>SETEMBRO</t>
        </is>
      </c>
      <c r="L5" s="217" t="inlineStr">
        <is>
          <t>OUTUBRO</t>
        </is>
      </c>
      <c r="M5" s="217" t="inlineStr">
        <is>
          <t>NOVEMBRO</t>
        </is>
      </c>
      <c r="N5" s="217" t="inlineStr">
        <is>
          <t>DEZEMBRO</t>
        </is>
      </c>
      <c r="O5" s="218" t="inlineStr">
        <is>
          <t>TOTAL</t>
        </is>
      </c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>
      <c r="A6" s="10" t="n"/>
      <c r="B6" s="202" t="inlineStr">
        <is>
          <t>RECEITA</t>
        </is>
      </c>
      <c r="C6" s="181">
        <f>SUM(C7:C11)</f>
        <v/>
      </c>
      <c r="D6" s="181">
        <f>SUM(D7:D11)</f>
        <v/>
      </c>
      <c r="E6" s="181">
        <f>SUM(E7:E11)</f>
        <v/>
      </c>
      <c r="F6" s="181">
        <f>SUM(F7:F11)</f>
        <v/>
      </c>
      <c r="G6" s="181">
        <f>SUM(G7:G11)</f>
        <v/>
      </c>
      <c r="H6" s="181">
        <f>SUM(H7:H11)</f>
        <v/>
      </c>
      <c r="I6" s="181">
        <f>SUM(I7:I11)</f>
        <v/>
      </c>
      <c r="J6" s="181">
        <f>SUM(J7:J11)</f>
        <v/>
      </c>
      <c r="K6" s="181">
        <f>SUM(K7:K11)</f>
        <v/>
      </c>
      <c r="L6" s="181">
        <f>SUM(L7:L11)</f>
        <v/>
      </c>
      <c r="M6" s="181">
        <f>SUM(M7:M11)</f>
        <v/>
      </c>
      <c r="N6" s="181">
        <f>SUM(N7:N11)</f>
        <v/>
      </c>
      <c r="O6" s="182">
        <f>SUM(C6:N6)</f>
        <v/>
      </c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>
      <c r="A7" s="10" t="n"/>
      <c r="B7" s="203" t="inlineStr">
        <is>
          <t>SOJA</t>
        </is>
      </c>
      <c r="C7" s="219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186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203" t="inlineStr">
        <is>
          <t>ARROZ COM CASCA</t>
        </is>
      </c>
      <c r="C8" s="219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186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>
      <c r="A9" s="10" t="n"/>
      <c r="B9" s="203" t="inlineStr">
        <is>
          <t>VACA</t>
        </is>
      </c>
      <c r="C9" s="219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186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10" t="n"/>
      <c r="B10" s="203" t="inlineStr">
        <is>
          <t>IMOBILIZADO</t>
        </is>
      </c>
      <c r="C10" s="219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186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10" t="n"/>
      <c r="B11" s="203" t="inlineStr">
        <is>
          <t>OUTRAS</t>
        </is>
      </c>
      <c r="C11" s="219" t="n"/>
      <c r="D11" s="185" t="n"/>
      <c r="E11" s="219" t="n"/>
      <c r="F11" s="219" t="n"/>
      <c r="G11" s="219" t="n"/>
      <c r="H11" s="219" t="n"/>
      <c r="I11" s="219" t="n"/>
      <c r="J11" s="219" t="n"/>
      <c r="K11" s="219" t="n"/>
      <c r="L11" s="185" t="n"/>
      <c r="M11" s="185" t="n"/>
      <c r="N11" s="219" t="n"/>
      <c r="O11" s="186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10" t="n"/>
      <c r="B12" s="204" t="inlineStr">
        <is>
          <t>DESPESAS</t>
        </is>
      </c>
      <c r="C12" s="205">
        <f>SUM(C13:C14)</f>
        <v/>
      </c>
      <c r="D12" s="205">
        <f>SUM(D13:D14)</f>
        <v/>
      </c>
      <c r="E12" s="205">
        <f>SUM(E13:E14)</f>
        <v/>
      </c>
      <c r="F12" s="205">
        <f>SUM(F13:F14)</f>
        <v/>
      </c>
      <c r="G12" s="205">
        <f>SUM(G13:G14)</f>
        <v/>
      </c>
      <c r="H12" s="205">
        <f>SUM(H13:H14)</f>
        <v/>
      </c>
      <c r="I12" s="205">
        <f>SUM(I13:I14)</f>
        <v/>
      </c>
      <c r="J12" s="205">
        <f>SUM(J13:J14)</f>
        <v/>
      </c>
      <c r="K12" s="205">
        <f>SUM(K13:K14)</f>
        <v/>
      </c>
      <c r="L12" s="205">
        <f>SUM(L13:L14)</f>
        <v/>
      </c>
      <c r="M12" s="205">
        <f>SUM(M13:M14)</f>
        <v/>
      </c>
      <c r="N12" s="205">
        <f>SUM(N13:N14)</f>
        <v/>
      </c>
      <c r="O12" s="206">
        <f>SUM(C12:N12)</f>
        <v/>
      </c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10" t="n"/>
      <c r="B13" s="207" t="inlineStr">
        <is>
          <t>IMOBILIZADO</t>
        </is>
      </c>
      <c r="C13" s="219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07">
        <f>SUM(C13:N13)</f>
        <v/>
      </c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10" t="n"/>
      <c r="B14" s="207" t="inlineStr">
        <is>
          <t>CUSTOS</t>
        </is>
      </c>
      <c r="C14" s="219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07">
        <f>SUM(C14:N14)</f>
        <v/>
      </c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10" t="n"/>
      <c r="B15" s="208" t="inlineStr">
        <is>
          <t>RESULTADO</t>
        </is>
      </c>
      <c r="C15" s="209">
        <f>C6-C12</f>
        <v/>
      </c>
      <c r="D15" s="209">
        <f>D6-D12</f>
        <v/>
      </c>
      <c r="E15" s="209">
        <f>E6-E12</f>
        <v/>
      </c>
      <c r="F15" s="209">
        <f>F6-F12</f>
        <v/>
      </c>
      <c r="G15" s="209">
        <f>G6-G12</f>
        <v/>
      </c>
      <c r="H15" s="209">
        <f>H6-H12</f>
        <v/>
      </c>
      <c r="I15" s="209">
        <f>I6-I12</f>
        <v/>
      </c>
      <c r="J15" s="209">
        <f>J6-J12</f>
        <v/>
      </c>
      <c r="K15" s="209">
        <f>K6-K12</f>
        <v/>
      </c>
      <c r="L15" s="209">
        <f>L6-L12</f>
        <v/>
      </c>
      <c r="M15" s="209">
        <f>M6-M12</f>
        <v/>
      </c>
      <c r="N15" s="209">
        <f>N6-N12</f>
        <v/>
      </c>
      <c r="O15" s="210">
        <f>SUM(C15:N15)</f>
        <v/>
      </c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n"/>
      <c r="B16" s="208" t="inlineStr">
        <is>
          <t>ARBITRAMENTO</t>
        </is>
      </c>
      <c r="C16" s="687" t="n"/>
      <c r="D16" s="678" t="n"/>
      <c r="E16" s="678" t="n"/>
      <c r="F16" s="678" t="n"/>
      <c r="G16" s="678" t="n"/>
      <c r="H16" s="678" t="n"/>
      <c r="I16" s="678" t="n"/>
      <c r="J16" s="678" t="n"/>
      <c r="K16" s="678" t="n"/>
      <c r="L16" s="678" t="n"/>
      <c r="M16" s="678" t="n"/>
      <c r="N16" s="676" t="n"/>
      <c r="O16" s="210">
        <f>O6*20%</f>
        <v/>
      </c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10" t="n"/>
      <c r="B17" s="10" t="n"/>
      <c r="C17" s="21" t="n"/>
      <c r="D17" s="221" t="n"/>
      <c r="E17" s="221" t="n"/>
      <c r="F17" s="221" t="n"/>
      <c r="G17" s="221" t="n"/>
      <c r="H17" s="221" t="n"/>
      <c r="I17" s="221" t="n"/>
      <c r="J17" s="221" t="n"/>
      <c r="K17" s="221" t="n"/>
      <c r="L17" s="221" t="n"/>
      <c r="M17" s="221" t="n"/>
      <c r="N17" s="221" t="n"/>
      <c r="O17" s="221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10" t="n"/>
      <c r="B18" s="10" t="n"/>
      <c r="C18" s="221" t="n"/>
      <c r="D18" s="221" t="n"/>
      <c r="E18" s="221" t="n"/>
      <c r="F18" s="221" t="n"/>
      <c r="G18" s="221" t="n"/>
      <c r="H18" s="221" t="n"/>
      <c r="I18" s="221" t="n"/>
      <c r="J18" s="221" t="n"/>
      <c r="K18" s="221" t="n"/>
      <c r="L18" s="221" t="n"/>
      <c r="M18" s="221" t="n"/>
      <c r="N18" s="221" t="n"/>
      <c r="O18" s="221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222" t="n">
        <v>1</v>
      </c>
      <c r="B19" s="688">
        <f>RESULTADO!B28</f>
        <v/>
      </c>
      <c r="C19" s="675" t="n"/>
      <c r="D19" s="675" t="n"/>
      <c r="E19" s="675" t="n"/>
      <c r="F19" s="221" t="n"/>
      <c r="G19" s="221" t="n"/>
      <c r="H19" s="221" t="n"/>
      <c r="I19" s="221" t="n"/>
      <c r="J19" s="221" t="n"/>
      <c r="K19" s="221" t="n"/>
      <c r="L19" s="221" t="n"/>
      <c r="M19" s="221" t="n"/>
      <c r="N19" s="221" t="n"/>
      <c r="O19" s="221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n"/>
      <c r="B20" s="23" t="n"/>
      <c r="C20" s="224">
        <f>RESULTADO!C28</f>
        <v/>
      </c>
      <c r="D20" s="225">
        <f>RESULTADO!D28</f>
        <v/>
      </c>
      <c r="E20" s="221" t="n"/>
      <c r="F20" s="221" t="n"/>
      <c r="G20" s="221" t="n"/>
      <c r="H20" s="221" t="n"/>
      <c r="I20" s="221" t="n"/>
      <c r="J20" s="221" t="n"/>
      <c r="K20" s="221" t="n"/>
      <c r="L20" s="221" t="n"/>
      <c r="M20" s="221" t="n"/>
      <c r="N20" s="221" t="n"/>
      <c r="O20" s="221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.75" customHeight="1" s="673">
      <c r="A21" s="10" t="n"/>
      <c r="B21" s="200">
        <f>$B$5</f>
        <v/>
      </c>
      <c r="C21" s="217" t="inlineStr">
        <is>
          <t>JANEIRO</t>
        </is>
      </c>
      <c r="D21" s="217" t="inlineStr">
        <is>
          <t>FEVEREIRO</t>
        </is>
      </c>
      <c r="E21" s="217" t="inlineStr">
        <is>
          <t>MARÇO</t>
        </is>
      </c>
      <c r="F21" s="217" t="inlineStr">
        <is>
          <t>ABRIL</t>
        </is>
      </c>
      <c r="G21" s="217" t="inlineStr">
        <is>
          <t>MAIO</t>
        </is>
      </c>
      <c r="H21" s="217" t="inlineStr">
        <is>
          <t>JUNHO</t>
        </is>
      </c>
      <c r="I21" s="217" t="inlineStr">
        <is>
          <t>JULHO</t>
        </is>
      </c>
      <c r="J21" s="217" t="inlineStr">
        <is>
          <t>AGOSTO</t>
        </is>
      </c>
      <c r="K21" s="217" t="inlineStr">
        <is>
          <t>SETEMBRO</t>
        </is>
      </c>
      <c r="L21" s="217" t="inlineStr">
        <is>
          <t>OUTUBRO</t>
        </is>
      </c>
      <c r="M21" s="217" t="inlineStr">
        <is>
          <t>NOVEMBRO</t>
        </is>
      </c>
      <c r="N21" s="217" t="inlineStr">
        <is>
          <t>DEZEMBRO</t>
        </is>
      </c>
      <c r="O21" s="218" t="inlineStr">
        <is>
          <t>TOTAL</t>
        </is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.75" customHeight="1" s="673">
      <c r="A22" s="10" t="n"/>
      <c r="B22" s="226" t="inlineStr">
        <is>
          <t>RECEITA</t>
        </is>
      </c>
      <c r="C22" s="181">
        <f>C6*$C$20</f>
        <v/>
      </c>
      <c r="D22" s="181">
        <f>D6*$C$20</f>
        <v/>
      </c>
      <c r="E22" s="181">
        <f>E6*$C$20</f>
        <v/>
      </c>
      <c r="F22" s="181">
        <f>F6*$C$20</f>
        <v/>
      </c>
      <c r="G22" s="181">
        <f>G6*$C$20</f>
        <v/>
      </c>
      <c r="H22" s="181">
        <f>H6*$C$20</f>
        <v/>
      </c>
      <c r="I22" s="181">
        <f>I6*$C$20</f>
        <v/>
      </c>
      <c r="J22" s="181">
        <f>J6*$C$20</f>
        <v/>
      </c>
      <c r="K22" s="181">
        <f>K6*$C$20</f>
        <v/>
      </c>
      <c r="L22" s="181">
        <f>L6*$C$20</f>
        <v/>
      </c>
      <c r="M22" s="181">
        <f>M6*$C$20</f>
        <v/>
      </c>
      <c r="N22" s="181">
        <f>N6*$C$20</f>
        <v/>
      </c>
      <c r="O22" s="182">
        <f>SUM(C22:N22)</f>
        <v/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.75" customHeight="1" s="673">
      <c r="A23" s="10" t="n"/>
      <c r="B23" s="204" t="inlineStr">
        <is>
          <t>DESPESAS</t>
        </is>
      </c>
      <c r="C23" s="205">
        <f>C12*$D$20</f>
        <v/>
      </c>
      <c r="D23" s="205">
        <f>D12*$D$20</f>
        <v/>
      </c>
      <c r="E23" s="205">
        <f>E12*$D$20</f>
        <v/>
      </c>
      <c r="F23" s="205">
        <f>F12*$D$20</f>
        <v/>
      </c>
      <c r="G23" s="205">
        <f>G12*$D$20</f>
        <v/>
      </c>
      <c r="H23" s="205">
        <f>H12*$D$20</f>
        <v/>
      </c>
      <c r="I23" s="205">
        <f>I12*$D$20</f>
        <v/>
      </c>
      <c r="J23" s="205">
        <f>J12*$D$20</f>
        <v/>
      </c>
      <c r="K23" s="205">
        <f>K12*$D$20</f>
        <v/>
      </c>
      <c r="L23" s="205">
        <f>L12*$D$20</f>
        <v/>
      </c>
      <c r="M23" s="205">
        <f>M12*$D$20</f>
        <v/>
      </c>
      <c r="N23" s="205">
        <f>N12*$D$20</f>
        <v/>
      </c>
      <c r="O23" s="206">
        <f>SUM(C23:N23)</f>
        <v/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.75" customHeight="1" s="673">
      <c r="A24" s="10" t="n"/>
      <c r="B24" s="208" t="inlineStr">
        <is>
          <t>RESULTADO</t>
        </is>
      </c>
      <c r="C24" s="209">
        <f>C22-C23</f>
        <v/>
      </c>
      <c r="D24" s="209">
        <f>D22-D23</f>
        <v/>
      </c>
      <c r="E24" s="209">
        <f>E22-E23</f>
        <v/>
      </c>
      <c r="F24" s="209">
        <f>F22-F23</f>
        <v/>
      </c>
      <c r="G24" s="209">
        <f>G22-G23</f>
        <v/>
      </c>
      <c r="H24" s="209">
        <f>H22-H23</f>
        <v/>
      </c>
      <c r="I24" s="209">
        <f>I22-I23</f>
        <v/>
      </c>
      <c r="J24" s="209">
        <f>J22-J23</f>
        <v/>
      </c>
      <c r="K24" s="209">
        <f>K22-K23</f>
        <v/>
      </c>
      <c r="L24" s="209">
        <f>L22-L23</f>
        <v/>
      </c>
      <c r="M24" s="209">
        <f>M22-M23</f>
        <v/>
      </c>
      <c r="N24" s="209">
        <f>N22-N23</f>
        <v/>
      </c>
      <c r="O24" s="210">
        <f>SUM(C24:N24)</f>
        <v/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.75" customHeight="1" s="673">
      <c r="A25" s="10" t="n"/>
      <c r="B25" s="10" t="n"/>
      <c r="C25" s="221" t="n"/>
      <c r="D25" s="221" t="n"/>
      <c r="E25" s="221" t="n"/>
      <c r="F25" s="221" t="n"/>
      <c r="G25" s="221" t="n"/>
      <c r="H25" s="221" t="n"/>
      <c r="I25" s="221" t="n"/>
      <c r="J25" s="221" t="n"/>
      <c r="K25" s="221" t="n"/>
      <c r="L25" s="221" t="n"/>
      <c r="M25" s="221" t="n"/>
      <c r="N25" s="221" t="n"/>
      <c r="O25" s="221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.75" customHeight="1" s="673">
      <c r="A26" s="10" t="n"/>
      <c r="B26" s="10" t="n"/>
      <c r="C26" s="221" t="n"/>
      <c r="D26" s="221" t="n"/>
      <c r="E26" s="221" t="n"/>
      <c r="F26" s="221" t="n"/>
      <c r="G26" s="221" t="n"/>
      <c r="H26" s="221" t="n"/>
      <c r="I26" s="221" t="n"/>
      <c r="J26" s="221" t="n"/>
      <c r="K26" s="221" t="n"/>
      <c r="L26" s="221" t="n"/>
      <c r="M26" s="221" t="n"/>
      <c r="N26" s="221" t="n"/>
      <c r="O26" s="221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.75" customHeight="1" s="673">
      <c r="A27" s="222">
        <f>A19+1</f>
        <v/>
      </c>
      <c r="B27" s="688">
        <f>RESULTADO!B29</f>
        <v/>
      </c>
      <c r="C27" s="675" t="n"/>
      <c r="D27" s="675" t="n"/>
      <c r="E27" s="675" t="n"/>
      <c r="F27" s="221" t="n"/>
      <c r="G27" s="221" t="n"/>
      <c r="H27" s="221" t="n"/>
      <c r="I27" s="221" t="n"/>
      <c r="J27" s="221" t="n"/>
      <c r="K27" s="221" t="n"/>
      <c r="L27" s="221" t="n"/>
      <c r="M27" s="221" t="n"/>
      <c r="N27" s="221" t="n"/>
      <c r="O27" s="221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.75" customHeight="1" s="673">
      <c r="A28" s="10" t="n"/>
      <c r="B28" s="23" t="n"/>
      <c r="C28" s="224">
        <f>RESULTADO!C29</f>
        <v/>
      </c>
      <c r="D28" s="225">
        <f>RESULTADO!D29</f>
        <v/>
      </c>
      <c r="E28" s="221" t="n"/>
      <c r="F28" s="221" t="n"/>
      <c r="G28" s="221" t="n"/>
      <c r="H28" s="221" t="n"/>
      <c r="I28" s="221" t="n"/>
      <c r="J28" s="221" t="n"/>
      <c r="K28" s="221" t="n"/>
      <c r="L28" s="221" t="n"/>
      <c r="M28" s="221" t="n"/>
      <c r="N28" s="221" t="n"/>
      <c r="O28" s="221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.75" customHeight="1" s="673">
      <c r="A29" s="10" t="n"/>
      <c r="B29" s="200">
        <f>$B$5</f>
        <v/>
      </c>
      <c r="C29" s="217" t="inlineStr">
        <is>
          <t>JANEIRO</t>
        </is>
      </c>
      <c r="D29" s="217" t="inlineStr">
        <is>
          <t>FEVEREIRO</t>
        </is>
      </c>
      <c r="E29" s="217" t="inlineStr">
        <is>
          <t>MARÇO</t>
        </is>
      </c>
      <c r="F29" s="217" t="inlineStr">
        <is>
          <t>ABRIL</t>
        </is>
      </c>
      <c r="G29" s="217" t="inlineStr">
        <is>
          <t>MAIO</t>
        </is>
      </c>
      <c r="H29" s="217" t="inlineStr">
        <is>
          <t>JUNHO</t>
        </is>
      </c>
      <c r="I29" s="217" t="inlineStr">
        <is>
          <t>JULHO</t>
        </is>
      </c>
      <c r="J29" s="217" t="inlineStr">
        <is>
          <t>AGOSTO</t>
        </is>
      </c>
      <c r="K29" s="217" t="inlineStr">
        <is>
          <t>SETEMBRO</t>
        </is>
      </c>
      <c r="L29" s="217" t="inlineStr">
        <is>
          <t>OUTUBRO</t>
        </is>
      </c>
      <c r="M29" s="217" t="inlineStr">
        <is>
          <t>NOVEMBRO</t>
        </is>
      </c>
      <c r="N29" s="217" t="inlineStr">
        <is>
          <t>DEZEMBRO</t>
        </is>
      </c>
      <c r="O29" s="218" t="inlineStr">
        <is>
          <t>TOTAL</t>
        </is>
      </c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.75" customHeight="1" s="673">
      <c r="A30" s="10" t="n"/>
      <c r="B30" s="226" t="inlineStr">
        <is>
          <t>RECEITA</t>
        </is>
      </c>
      <c r="C30" s="181">
        <f>C6*$C$28</f>
        <v/>
      </c>
      <c r="D30" s="181">
        <f>D6*$C$28</f>
        <v/>
      </c>
      <c r="E30" s="181">
        <f>E6*$C$28</f>
        <v/>
      </c>
      <c r="F30" s="181">
        <f>F6*$C$28</f>
        <v/>
      </c>
      <c r="G30" s="181">
        <f>G6*$C$28</f>
        <v/>
      </c>
      <c r="H30" s="181">
        <f>H6*$C$28</f>
        <v/>
      </c>
      <c r="I30" s="181">
        <f>I6*$C$28</f>
        <v/>
      </c>
      <c r="J30" s="181">
        <f>J6*$C$28</f>
        <v/>
      </c>
      <c r="K30" s="181">
        <f>K6*$C$28</f>
        <v/>
      </c>
      <c r="L30" s="181">
        <f>L6*$C$28</f>
        <v/>
      </c>
      <c r="M30" s="181">
        <f>M6*$C$28</f>
        <v/>
      </c>
      <c r="N30" s="181">
        <f>N6*$C$28</f>
        <v/>
      </c>
      <c r="O30" s="182">
        <f>SUM(C30:N30)</f>
        <v/>
      </c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.75" customHeight="1" s="673">
      <c r="A31" s="10" t="n"/>
      <c r="B31" s="204" t="inlineStr">
        <is>
          <t>DESPESAS</t>
        </is>
      </c>
      <c r="C31" s="205">
        <f>C12*$D$28</f>
        <v/>
      </c>
      <c r="D31" s="205">
        <f>D12*$D$28</f>
        <v/>
      </c>
      <c r="E31" s="205">
        <f>E12*$D$28</f>
        <v/>
      </c>
      <c r="F31" s="205">
        <f>F12*$D$28</f>
        <v/>
      </c>
      <c r="G31" s="205">
        <f>G12*$D$28</f>
        <v/>
      </c>
      <c r="H31" s="205">
        <f>H12*$D$28</f>
        <v/>
      </c>
      <c r="I31" s="205">
        <f>I12*$D$28</f>
        <v/>
      </c>
      <c r="J31" s="205">
        <f>J12*$D$28</f>
        <v/>
      </c>
      <c r="K31" s="205">
        <f>K12*$D$28</f>
        <v/>
      </c>
      <c r="L31" s="205">
        <f>L12*$D$28</f>
        <v/>
      </c>
      <c r="M31" s="205">
        <f>M12*$D$28</f>
        <v/>
      </c>
      <c r="N31" s="205">
        <f>N12*$D$28</f>
        <v/>
      </c>
      <c r="O31" s="206">
        <f>SUM(C31:N31)</f>
        <v/>
      </c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.75" customHeight="1" s="673">
      <c r="A32" s="10" t="n"/>
      <c r="B32" s="208" t="inlineStr">
        <is>
          <t>RESULTADO</t>
        </is>
      </c>
      <c r="C32" s="209">
        <f>C30-C31</f>
        <v/>
      </c>
      <c r="D32" s="209">
        <f>D30-D31</f>
        <v/>
      </c>
      <c r="E32" s="209">
        <f>E30-E31</f>
        <v/>
      </c>
      <c r="F32" s="209">
        <f>F30-F31</f>
        <v/>
      </c>
      <c r="G32" s="209">
        <f>G30-G31</f>
        <v/>
      </c>
      <c r="H32" s="209">
        <f>H30-H31</f>
        <v/>
      </c>
      <c r="I32" s="209">
        <f>I30-I31</f>
        <v/>
      </c>
      <c r="J32" s="209">
        <f>J30-J31</f>
        <v/>
      </c>
      <c r="K32" s="209">
        <f>K30-K31</f>
        <v/>
      </c>
      <c r="L32" s="209">
        <f>L30-L31</f>
        <v/>
      </c>
      <c r="M32" s="209">
        <f>M30-M31</f>
        <v/>
      </c>
      <c r="N32" s="209">
        <f>N30-N31</f>
        <v/>
      </c>
      <c r="O32" s="210">
        <f>SUM(C32:N32)</f>
        <v/>
      </c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.75" customHeight="1" s="673">
      <c r="A33" s="10" t="n"/>
      <c r="B33" s="10" t="n"/>
      <c r="C33" s="221" t="n"/>
      <c r="D33" s="221" t="n"/>
      <c r="E33" s="221" t="n"/>
      <c r="F33" s="221" t="n"/>
      <c r="G33" s="221" t="n"/>
      <c r="H33" s="221" t="n"/>
      <c r="I33" s="221" t="n"/>
      <c r="J33" s="221" t="n"/>
      <c r="K33" s="221" t="n"/>
      <c r="L33" s="221" t="n"/>
      <c r="M33" s="221" t="n"/>
      <c r="N33" s="221" t="n"/>
      <c r="O33" s="221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.75" customHeight="1" s="673">
      <c r="A34" s="10" t="n"/>
      <c r="B34" s="10" t="n"/>
      <c r="C34" s="221" t="n"/>
      <c r="D34" s="221" t="n"/>
      <c r="E34" s="221" t="n"/>
      <c r="F34" s="221" t="n"/>
      <c r="G34" s="221" t="n"/>
      <c r="H34" s="221" t="n"/>
      <c r="I34" s="221" t="n"/>
      <c r="J34" s="221" t="n"/>
      <c r="K34" s="221" t="n"/>
      <c r="L34" s="221" t="n"/>
      <c r="M34" s="221" t="n"/>
      <c r="N34" s="221" t="n"/>
      <c r="O34" s="221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.75" customHeight="1" s="673">
      <c r="A35" s="222">
        <f>A27+1</f>
        <v/>
      </c>
      <c r="B35" s="688">
        <f>RESULTADO!B30</f>
        <v/>
      </c>
      <c r="C35" s="675" t="n"/>
      <c r="D35" s="675" t="n"/>
      <c r="E35" s="675" t="n"/>
      <c r="F35" s="221" t="n"/>
      <c r="G35" s="221" t="n"/>
      <c r="H35" s="221" t="n"/>
      <c r="I35" s="221" t="n"/>
      <c r="J35" s="221" t="n"/>
      <c r="K35" s="221" t="n"/>
      <c r="L35" s="221" t="n"/>
      <c r="M35" s="221" t="n"/>
      <c r="N35" s="221" t="n"/>
      <c r="O35" s="221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.75" customHeight="1" s="673">
      <c r="A36" s="10" t="n"/>
      <c r="B36" s="23" t="n"/>
      <c r="C36" s="224">
        <f>RESULTADO!C30</f>
        <v/>
      </c>
      <c r="D36" s="225">
        <f>RESULTADO!D30</f>
        <v/>
      </c>
      <c r="E36" s="221" t="n"/>
      <c r="F36" s="221" t="n"/>
      <c r="G36" s="221" t="n"/>
      <c r="H36" s="221" t="n"/>
      <c r="I36" s="221" t="n"/>
      <c r="J36" s="221" t="n"/>
      <c r="K36" s="221" t="n"/>
      <c r="L36" s="221" t="n"/>
      <c r="M36" s="221" t="n"/>
      <c r="N36" s="221" t="n"/>
      <c r="O36" s="221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.75" customHeight="1" s="673">
      <c r="A37" s="10" t="n"/>
      <c r="B37" s="200">
        <f>$B$5</f>
        <v/>
      </c>
      <c r="C37" s="217" t="inlineStr">
        <is>
          <t>JANEIRO</t>
        </is>
      </c>
      <c r="D37" s="217" t="inlineStr">
        <is>
          <t>FEVEREIRO</t>
        </is>
      </c>
      <c r="E37" s="217" t="inlineStr">
        <is>
          <t>MARÇO</t>
        </is>
      </c>
      <c r="F37" s="217" t="inlineStr">
        <is>
          <t>ABRIL</t>
        </is>
      </c>
      <c r="G37" s="217" t="inlineStr">
        <is>
          <t>MAIO</t>
        </is>
      </c>
      <c r="H37" s="217" t="inlineStr">
        <is>
          <t>JUNHO</t>
        </is>
      </c>
      <c r="I37" s="217" t="inlineStr">
        <is>
          <t>JULHO</t>
        </is>
      </c>
      <c r="J37" s="217" t="inlineStr">
        <is>
          <t>AGOSTO</t>
        </is>
      </c>
      <c r="K37" s="217" t="inlineStr">
        <is>
          <t>SETEMBRO</t>
        </is>
      </c>
      <c r="L37" s="217" t="inlineStr">
        <is>
          <t>OUTUBRO</t>
        </is>
      </c>
      <c r="M37" s="217" t="inlineStr">
        <is>
          <t>NOVEMBRO</t>
        </is>
      </c>
      <c r="N37" s="217" t="inlineStr">
        <is>
          <t>DEZEMBRO</t>
        </is>
      </c>
      <c r="O37" s="218" t="inlineStr">
        <is>
          <t>TOTAL</t>
        </is>
      </c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.75" customHeight="1" s="673">
      <c r="A38" s="10" t="n"/>
      <c r="B38" s="226" t="inlineStr">
        <is>
          <t>RECEITA</t>
        </is>
      </c>
      <c r="C38" s="181">
        <f>C6*$C$36</f>
        <v/>
      </c>
      <c r="D38" s="181">
        <f>D6*$C$36</f>
        <v/>
      </c>
      <c r="E38" s="181">
        <f>E6*$C$36</f>
        <v/>
      </c>
      <c r="F38" s="181">
        <f>F6*$C$36</f>
        <v/>
      </c>
      <c r="G38" s="181">
        <f>G6*$C$36</f>
        <v/>
      </c>
      <c r="H38" s="181">
        <f>H6*$C$36</f>
        <v/>
      </c>
      <c r="I38" s="181">
        <f>I6*$C$36</f>
        <v/>
      </c>
      <c r="J38" s="181">
        <f>J6*$C$36</f>
        <v/>
      </c>
      <c r="K38" s="181">
        <f>K6*$C$36</f>
        <v/>
      </c>
      <c r="L38" s="181">
        <f>L6*$C$36</f>
        <v/>
      </c>
      <c r="M38" s="181">
        <f>M6*$C$36</f>
        <v/>
      </c>
      <c r="N38" s="181">
        <f>N6*$C$36</f>
        <v/>
      </c>
      <c r="O38" s="182">
        <f>SUM(C38:N38)</f>
        <v/>
      </c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.75" customHeight="1" s="673">
      <c r="A39" s="10" t="n"/>
      <c r="B39" s="204" t="inlineStr">
        <is>
          <t>DESPESAS</t>
        </is>
      </c>
      <c r="C39" s="205">
        <f>C12*$D$36</f>
        <v/>
      </c>
      <c r="D39" s="205">
        <f>D12*$D$36</f>
        <v/>
      </c>
      <c r="E39" s="205">
        <f>E12*$D$36</f>
        <v/>
      </c>
      <c r="F39" s="205">
        <f>F12*$D$36</f>
        <v/>
      </c>
      <c r="G39" s="205">
        <f>G12*$D$36</f>
        <v/>
      </c>
      <c r="H39" s="205">
        <f>H12*$D$36</f>
        <v/>
      </c>
      <c r="I39" s="205">
        <f>I12*$D$36</f>
        <v/>
      </c>
      <c r="J39" s="205">
        <f>J12*$D$36</f>
        <v/>
      </c>
      <c r="K39" s="205">
        <f>K12*$D$36</f>
        <v/>
      </c>
      <c r="L39" s="205">
        <f>L12*$D$36</f>
        <v/>
      </c>
      <c r="M39" s="205">
        <f>M12*$D$36</f>
        <v/>
      </c>
      <c r="N39" s="205">
        <f>N12*$D$36</f>
        <v/>
      </c>
      <c r="O39" s="206">
        <f>SUM(C39:N39)</f>
        <v/>
      </c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.75" customHeight="1" s="673">
      <c r="A40" s="10" t="n"/>
      <c r="B40" s="208" t="inlineStr">
        <is>
          <t>RESULTADO</t>
        </is>
      </c>
      <c r="C40" s="209">
        <f>C38-C39</f>
        <v/>
      </c>
      <c r="D40" s="209">
        <f>D38-D39</f>
        <v/>
      </c>
      <c r="E40" s="209">
        <f>E38-E39</f>
        <v/>
      </c>
      <c r="F40" s="209">
        <f>F38-F39</f>
        <v/>
      </c>
      <c r="G40" s="209">
        <f>G38-G39</f>
        <v/>
      </c>
      <c r="H40" s="209">
        <f>H38-H39</f>
        <v/>
      </c>
      <c r="I40" s="209">
        <f>I38-I39</f>
        <v/>
      </c>
      <c r="J40" s="209">
        <f>J38-J39</f>
        <v/>
      </c>
      <c r="K40" s="209">
        <f>K38-K39</f>
        <v/>
      </c>
      <c r="L40" s="209">
        <f>L38-L39</f>
        <v/>
      </c>
      <c r="M40" s="209">
        <f>M38-M39</f>
        <v/>
      </c>
      <c r="N40" s="209">
        <f>N38-N39</f>
        <v/>
      </c>
      <c r="O40" s="210">
        <f>SUM(C40:N40)</f>
        <v/>
      </c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.75" customHeight="1" s="673">
      <c r="A41" s="10" t="n"/>
      <c r="B41" s="10" t="n"/>
      <c r="C41" s="221" t="n"/>
      <c r="D41" s="221" t="n"/>
      <c r="E41" s="221" t="n"/>
      <c r="F41" s="221" t="n"/>
      <c r="G41" s="221" t="n"/>
      <c r="H41" s="221" t="n"/>
      <c r="I41" s="221" t="n"/>
      <c r="J41" s="221" t="n"/>
      <c r="K41" s="221" t="n"/>
      <c r="L41" s="221" t="n"/>
      <c r="M41" s="221" t="n"/>
      <c r="N41" s="221" t="n"/>
      <c r="O41" s="221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.75" customHeight="1" s="673">
      <c r="A42" s="10" t="n"/>
      <c r="B42" s="10" t="n"/>
      <c r="C42" s="221" t="n"/>
      <c r="D42" s="221" t="n"/>
      <c r="E42" s="221" t="n"/>
      <c r="F42" s="221" t="n"/>
      <c r="G42" s="221" t="n"/>
      <c r="H42" s="221" t="n"/>
      <c r="I42" s="221" t="n"/>
      <c r="J42" s="221" t="n"/>
      <c r="K42" s="221" t="n"/>
      <c r="L42" s="221" t="n"/>
      <c r="M42" s="221" t="n"/>
      <c r="N42" s="221" t="n"/>
      <c r="O42" s="221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.75" customHeight="1" s="673">
      <c r="A43" s="222">
        <f>A35+1</f>
        <v/>
      </c>
      <c r="B43" s="688">
        <f>RESULTADO!B31</f>
        <v/>
      </c>
      <c r="C43" s="675" t="n"/>
      <c r="D43" s="675" t="n"/>
      <c r="E43" s="675" t="n"/>
      <c r="F43" s="221" t="n"/>
      <c r="G43" s="221" t="n"/>
      <c r="H43" s="221" t="n"/>
      <c r="I43" s="221" t="n"/>
      <c r="J43" s="221" t="n"/>
      <c r="K43" s="221" t="n"/>
      <c r="L43" s="221" t="n"/>
      <c r="M43" s="221" t="n"/>
      <c r="N43" s="221" t="n"/>
      <c r="O43" s="221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.75" customHeight="1" s="673">
      <c r="A44" s="10" t="n"/>
      <c r="B44" s="23" t="n"/>
      <c r="C44" s="224">
        <f>RESULTADO!C31</f>
        <v/>
      </c>
      <c r="D44" s="225">
        <f>RESULTADO!D31</f>
        <v/>
      </c>
      <c r="E44" s="221" t="n"/>
      <c r="F44" s="221" t="n"/>
      <c r="G44" s="221" t="n"/>
      <c r="H44" s="221" t="n"/>
      <c r="I44" s="221" t="n"/>
      <c r="J44" s="221" t="n"/>
      <c r="K44" s="221" t="n"/>
      <c r="L44" s="221" t="n"/>
      <c r="M44" s="221" t="n"/>
      <c r="N44" s="221" t="n"/>
      <c r="O44" s="221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.75" customHeight="1" s="673">
      <c r="A45" s="10" t="n"/>
      <c r="B45" s="200">
        <f>$B$5</f>
        <v/>
      </c>
      <c r="C45" s="217" t="inlineStr">
        <is>
          <t>JANEIRO</t>
        </is>
      </c>
      <c r="D45" s="217" t="inlineStr">
        <is>
          <t>FEVEREIRO</t>
        </is>
      </c>
      <c r="E45" s="217" t="inlineStr">
        <is>
          <t>MARÇO</t>
        </is>
      </c>
      <c r="F45" s="217" t="inlineStr">
        <is>
          <t>ABRIL</t>
        </is>
      </c>
      <c r="G45" s="217" t="inlineStr">
        <is>
          <t>MAIO</t>
        </is>
      </c>
      <c r="H45" s="217" t="inlineStr">
        <is>
          <t>JUNHO</t>
        </is>
      </c>
      <c r="I45" s="217" t="inlineStr">
        <is>
          <t>JULHO</t>
        </is>
      </c>
      <c r="J45" s="217" t="inlineStr">
        <is>
          <t>AGOSTO</t>
        </is>
      </c>
      <c r="K45" s="217" t="inlineStr">
        <is>
          <t>SETEMBRO</t>
        </is>
      </c>
      <c r="L45" s="217" t="inlineStr">
        <is>
          <t>OUTUBRO</t>
        </is>
      </c>
      <c r="M45" s="217" t="inlineStr">
        <is>
          <t>NOVEMBRO</t>
        </is>
      </c>
      <c r="N45" s="217" t="inlineStr">
        <is>
          <t>DEZEMBRO</t>
        </is>
      </c>
      <c r="O45" s="218" t="inlineStr">
        <is>
          <t>TOTAL</t>
        </is>
      </c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.75" customHeight="1" s="673">
      <c r="A46" s="10" t="n"/>
      <c r="B46" s="226" t="inlineStr">
        <is>
          <t>RECEITA</t>
        </is>
      </c>
      <c r="C46" s="181">
        <f>C6*$C$44</f>
        <v/>
      </c>
      <c r="D46" s="181">
        <f>D6*$C$44</f>
        <v/>
      </c>
      <c r="E46" s="181">
        <f>E6*$C$44</f>
        <v/>
      </c>
      <c r="F46" s="181">
        <f>F6*$C$44</f>
        <v/>
      </c>
      <c r="G46" s="181">
        <f>G6*$C$44</f>
        <v/>
      </c>
      <c r="H46" s="181">
        <f>H6*$C$44</f>
        <v/>
      </c>
      <c r="I46" s="181">
        <f>I6*$C$44</f>
        <v/>
      </c>
      <c r="J46" s="181">
        <f>J6*$C$44</f>
        <v/>
      </c>
      <c r="K46" s="181">
        <f>K6*$C$44</f>
        <v/>
      </c>
      <c r="L46" s="181">
        <f>L6*$C$44</f>
        <v/>
      </c>
      <c r="M46" s="181">
        <f>M6*$C$44</f>
        <v/>
      </c>
      <c r="N46" s="181">
        <f>N6*$C$44</f>
        <v/>
      </c>
      <c r="O46" s="182">
        <f>SUM(C46:N46)</f>
        <v/>
      </c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.75" customHeight="1" s="673">
      <c r="A47" s="10" t="n"/>
      <c r="B47" s="204" t="inlineStr">
        <is>
          <t>DESPESAS</t>
        </is>
      </c>
      <c r="C47" s="205">
        <f>C12*$D$44</f>
        <v/>
      </c>
      <c r="D47" s="205">
        <f>D12*$D$44</f>
        <v/>
      </c>
      <c r="E47" s="205">
        <f>E12*$D$44</f>
        <v/>
      </c>
      <c r="F47" s="205">
        <f>F12*$D$44</f>
        <v/>
      </c>
      <c r="G47" s="205">
        <f>G12*$D$44</f>
        <v/>
      </c>
      <c r="H47" s="205">
        <f>H12*$D$44</f>
        <v/>
      </c>
      <c r="I47" s="205">
        <f>I12*$D$44</f>
        <v/>
      </c>
      <c r="J47" s="205">
        <f>J12*$D$44</f>
        <v/>
      </c>
      <c r="K47" s="205">
        <f>K12*$D$44</f>
        <v/>
      </c>
      <c r="L47" s="205">
        <f>L12*$D$44</f>
        <v/>
      </c>
      <c r="M47" s="205">
        <f>M12*$D$44</f>
        <v/>
      </c>
      <c r="N47" s="205">
        <f>N12*$D$44</f>
        <v/>
      </c>
      <c r="O47" s="206">
        <f>SUM(C47:N47)</f>
        <v/>
      </c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.75" customHeight="1" s="673">
      <c r="A48" s="10" t="n"/>
      <c r="B48" s="208" t="inlineStr">
        <is>
          <t>RESULTADO</t>
        </is>
      </c>
      <c r="C48" s="209">
        <f>C46-C47</f>
        <v/>
      </c>
      <c r="D48" s="209">
        <f>D46-D47</f>
        <v/>
      </c>
      <c r="E48" s="209">
        <f>E46-E47</f>
        <v/>
      </c>
      <c r="F48" s="209">
        <f>F46-F47</f>
        <v/>
      </c>
      <c r="G48" s="209">
        <f>G46-G47</f>
        <v/>
      </c>
      <c r="H48" s="209">
        <f>H46-H47</f>
        <v/>
      </c>
      <c r="I48" s="209">
        <f>I46-I47</f>
        <v/>
      </c>
      <c r="J48" s="209">
        <f>J46-J47</f>
        <v/>
      </c>
      <c r="K48" s="209">
        <f>K46-K47</f>
        <v/>
      </c>
      <c r="L48" s="209">
        <f>L46-L47</f>
        <v/>
      </c>
      <c r="M48" s="209">
        <f>M46-M47</f>
        <v/>
      </c>
      <c r="N48" s="209">
        <f>N46-N47</f>
        <v/>
      </c>
      <c r="O48" s="210">
        <f>SUM(C48:N48)</f>
        <v/>
      </c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.75" customHeight="1" s="673">
      <c r="A49" s="10" t="n"/>
      <c r="B49" s="10" t="n"/>
      <c r="C49" s="221" t="n"/>
      <c r="D49" s="221" t="n"/>
      <c r="E49" s="221" t="n"/>
      <c r="F49" s="221" t="n"/>
      <c r="G49" s="221" t="n"/>
      <c r="H49" s="221" t="n"/>
      <c r="I49" s="221" t="n"/>
      <c r="J49" s="221" t="n"/>
      <c r="K49" s="221" t="n"/>
      <c r="L49" s="221" t="n"/>
      <c r="M49" s="221" t="n"/>
      <c r="N49" s="221" t="n"/>
      <c r="O49" s="221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.75" customHeight="1" s="673">
      <c r="A50" s="10" t="n"/>
      <c r="B50" s="10" t="n"/>
      <c r="C50" s="221" t="n"/>
      <c r="D50" s="221" t="n"/>
      <c r="E50" s="221" t="n"/>
      <c r="F50" s="221" t="n"/>
      <c r="G50" s="221" t="n"/>
      <c r="H50" s="221" t="n"/>
      <c r="I50" s="221" t="n"/>
      <c r="J50" s="221" t="n"/>
      <c r="K50" s="221" t="n"/>
      <c r="L50" s="221" t="n"/>
      <c r="M50" s="221" t="n"/>
      <c r="N50" s="221" t="n"/>
      <c r="O50" s="221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.75" customHeight="1" s="673">
      <c r="A51" s="222">
        <f>A43+1</f>
        <v/>
      </c>
      <c r="B51" s="688">
        <f>RESULTADO!B32</f>
        <v/>
      </c>
      <c r="C51" s="675" t="n"/>
      <c r="D51" s="675" t="n"/>
      <c r="E51" s="675" t="n"/>
      <c r="F51" s="221" t="n"/>
      <c r="G51" s="221" t="n"/>
      <c r="H51" s="221" t="n"/>
      <c r="I51" s="221" t="n"/>
      <c r="J51" s="221" t="n"/>
      <c r="K51" s="221" t="n"/>
      <c r="L51" s="221" t="n"/>
      <c r="M51" s="221" t="n"/>
      <c r="N51" s="221" t="n"/>
      <c r="O51" s="221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.75" customHeight="1" s="673">
      <c r="A52" s="10" t="n"/>
      <c r="B52" s="23" t="n"/>
      <c r="C52" s="224">
        <f>RESULTADO!C32</f>
        <v/>
      </c>
      <c r="D52" s="225">
        <f>RESULTADO!D32</f>
        <v/>
      </c>
      <c r="E52" s="221" t="n"/>
      <c r="F52" s="221" t="n"/>
      <c r="G52" s="221" t="n"/>
      <c r="H52" s="221" t="n"/>
      <c r="I52" s="221" t="n"/>
      <c r="J52" s="221" t="n"/>
      <c r="K52" s="221" t="n"/>
      <c r="L52" s="221" t="n"/>
      <c r="M52" s="221" t="n"/>
      <c r="N52" s="221" t="n"/>
      <c r="O52" s="221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.75" customHeight="1" s="673">
      <c r="A53" s="10" t="n"/>
      <c r="B53" s="200">
        <f>$B$5</f>
        <v/>
      </c>
      <c r="C53" s="217" t="inlineStr">
        <is>
          <t>JANEIRO</t>
        </is>
      </c>
      <c r="D53" s="217" t="inlineStr">
        <is>
          <t>FEVEREIRO</t>
        </is>
      </c>
      <c r="E53" s="217" t="inlineStr">
        <is>
          <t>MARÇO</t>
        </is>
      </c>
      <c r="F53" s="217" t="inlineStr">
        <is>
          <t>ABRIL</t>
        </is>
      </c>
      <c r="G53" s="217" t="inlineStr">
        <is>
          <t>MAIO</t>
        </is>
      </c>
      <c r="H53" s="217" t="inlineStr">
        <is>
          <t>JUNHO</t>
        </is>
      </c>
      <c r="I53" s="217" t="inlineStr">
        <is>
          <t>JULHO</t>
        </is>
      </c>
      <c r="J53" s="217" t="inlineStr">
        <is>
          <t>AGOSTO</t>
        </is>
      </c>
      <c r="K53" s="217" t="inlineStr">
        <is>
          <t>SETEMBRO</t>
        </is>
      </c>
      <c r="L53" s="217" t="inlineStr">
        <is>
          <t>OUTUBRO</t>
        </is>
      </c>
      <c r="M53" s="217" t="inlineStr">
        <is>
          <t>NOVEMBRO</t>
        </is>
      </c>
      <c r="N53" s="217" t="inlineStr">
        <is>
          <t>DEZEMBRO</t>
        </is>
      </c>
      <c r="O53" s="218" t="inlineStr">
        <is>
          <t>TOTAL</t>
        </is>
      </c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.75" customHeight="1" s="673">
      <c r="A54" s="10" t="n"/>
      <c r="B54" s="226" t="inlineStr">
        <is>
          <t>RECEITA</t>
        </is>
      </c>
      <c r="C54" s="181">
        <f>C6*$C$52</f>
        <v/>
      </c>
      <c r="D54" s="181">
        <f>D6*$C$52</f>
        <v/>
      </c>
      <c r="E54" s="181">
        <f>E6*$C$52</f>
        <v/>
      </c>
      <c r="F54" s="181">
        <f>F6*$C$52</f>
        <v/>
      </c>
      <c r="G54" s="181">
        <f>G6*$C$52</f>
        <v/>
      </c>
      <c r="H54" s="181">
        <f>H6*$C$52</f>
        <v/>
      </c>
      <c r="I54" s="181">
        <f>I6*$C$52</f>
        <v/>
      </c>
      <c r="J54" s="181">
        <f>J6*$C$52</f>
        <v/>
      </c>
      <c r="K54" s="181">
        <f>K6*$C$52</f>
        <v/>
      </c>
      <c r="L54" s="181">
        <f>L6*$C$52</f>
        <v/>
      </c>
      <c r="M54" s="181">
        <f>M6*$C$52</f>
        <v/>
      </c>
      <c r="N54" s="181">
        <f>N6*$C$52</f>
        <v/>
      </c>
      <c r="O54" s="182">
        <f>SUM(C54:N54)</f>
        <v/>
      </c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.75" customHeight="1" s="673">
      <c r="A55" s="10" t="n"/>
      <c r="B55" s="204" t="inlineStr">
        <is>
          <t>DESPESAS</t>
        </is>
      </c>
      <c r="C55" s="205">
        <f>C12*$D$52</f>
        <v/>
      </c>
      <c r="D55" s="205">
        <f>D12*$D$52</f>
        <v/>
      </c>
      <c r="E55" s="205">
        <f>E12*$D$52</f>
        <v/>
      </c>
      <c r="F55" s="205">
        <f>F12*$D$52</f>
        <v/>
      </c>
      <c r="G55" s="205">
        <f>G12*$D$52</f>
        <v/>
      </c>
      <c r="H55" s="205">
        <f>H12*$D$52</f>
        <v/>
      </c>
      <c r="I55" s="205">
        <f>I12*$D$52</f>
        <v/>
      </c>
      <c r="J55" s="205">
        <f>J12*$D$52</f>
        <v/>
      </c>
      <c r="K55" s="205">
        <f>K12*$D$52</f>
        <v/>
      </c>
      <c r="L55" s="205">
        <f>L12*$D$52</f>
        <v/>
      </c>
      <c r="M55" s="205">
        <f>M12*$D$52</f>
        <v/>
      </c>
      <c r="N55" s="205">
        <f>N12*$D$52</f>
        <v/>
      </c>
      <c r="O55" s="206">
        <f>SUM(C55:N55)</f>
        <v/>
      </c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.75" customHeight="1" s="673">
      <c r="A56" s="10" t="n"/>
      <c r="B56" s="208" t="inlineStr">
        <is>
          <t>RESULTADO</t>
        </is>
      </c>
      <c r="C56" s="209">
        <f>C54-C55</f>
        <v/>
      </c>
      <c r="D56" s="209">
        <f>D54-D55</f>
        <v/>
      </c>
      <c r="E56" s="209">
        <f>E54-E55</f>
        <v/>
      </c>
      <c r="F56" s="209">
        <f>F54-F55</f>
        <v/>
      </c>
      <c r="G56" s="209">
        <f>G54-G55</f>
        <v/>
      </c>
      <c r="H56" s="209">
        <f>H54-H55</f>
        <v/>
      </c>
      <c r="I56" s="209">
        <f>I54-I55</f>
        <v/>
      </c>
      <c r="J56" s="209">
        <f>J54-J55</f>
        <v/>
      </c>
      <c r="K56" s="209">
        <f>K54-K55</f>
        <v/>
      </c>
      <c r="L56" s="209">
        <f>L54-L55</f>
        <v/>
      </c>
      <c r="M56" s="209">
        <f>M54-M55</f>
        <v/>
      </c>
      <c r="N56" s="209">
        <f>N54-N55</f>
        <v/>
      </c>
      <c r="O56" s="210">
        <f>SUM(C56:N56)</f>
        <v/>
      </c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.75" customHeight="1" s="673">
      <c r="A57" s="10" t="n"/>
      <c r="B57" s="10" t="n"/>
      <c r="C57" s="221" t="n"/>
      <c r="D57" s="221" t="n"/>
      <c r="E57" s="221" t="n"/>
      <c r="F57" s="221" t="n"/>
      <c r="G57" s="221" t="n"/>
      <c r="H57" s="221" t="n"/>
      <c r="I57" s="221" t="n"/>
      <c r="J57" s="221" t="n"/>
      <c r="K57" s="221" t="n"/>
      <c r="L57" s="221" t="n"/>
      <c r="M57" s="221" t="n"/>
      <c r="N57" s="221" t="n"/>
      <c r="O57" s="221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.75" customHeight="1" s="673">
      <c r="A58" s="10" t="n"/>
      <c r="B58" s="10" t="n"/>
      <c r="C58" s="221" t="n"/>
      <c r="D58" s="221" t="n"/>
      <c r="E58" s="221" t="n"/>
      <c r="F58" s="221" t="n"/>
      <c r="G58" s="221" t="n"/>
      <c r="H58" s="221" t="n"/>
      <c r="I58" s="221" t="n"/>
      <c r="J58" s="221" t="n"/>
      <c r="K58" s="221" t="n"/>
      <c r="L58" s="221" t="n"/>
      <c r="M58" s="221" t="n"/>
      <c r="N58" s="221" t="n"/>
      <c r="O58" s="221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.75" customHeight="1" s="673">
      <c r="A59" s="222">
        <f>A51+1</f>
        <v/>
      </c>
      <c r="B59" s="688">
        <f>RESULTADO!B33</f>
        <v/>
      </c>
      <c r="C59" s="675" t="n"/>
      <c r="D59" s="675" t="n"/>
      <c r="E59" s="675" t="n"/>
      <c r="F59" s="221" t="n"/>
      <c r="G59" s="221" t="n"/>
      <c r="H59" s="221" t="n"/>
      <c r="I59" s="221" t="n"/>
      <c r="J59" s="221" t="n"/>
      <c r="K59" s="221" t="n"/>
      <c r="L59" s="221" t="n"/>
      <c r="M59" s="221" t="n"/>
      <c r="N59" s="221" t="n"/>
      <c r="O59" s="221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.75" customHeight="1" s="673">
      <c r="A60" s="10" t="n"/>
      <c r="B60" s="23" t="n"/>
      <c r="C60" s="224">
        <f>RESULTADO!C33</f>
        <v/>
      </c>
      <c r="D60" s="225">
        <f>RESULTADO!D33</f>
        <v/>
      </c>
      <c r="E60" s="221" t="n"/>
      <c r="F60" s="221" t="n"/>
      <c r="G60" s="221" t="n"/>
      <c r="H60" s="221" t="n"/>
      <c r="I60" s="221" t="n"/>
      <c r="J60" s="221" t="n"/>
      <c r="K60" s="221" t="n"/>
      <c r="L60" s="221" t="n"/>
      <c r="M60" s="221" t="n"/>
      <c r="N60" s="221" t="n"/>
      <c r="O60" s="221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.75" customHeight="1" s="673">
      <c r="A61" s="10" t="n"/>
      <c r="B61" s="200">
        <f>$B$5</f>
        <v/>
      </c>
      <c r="C61" s="217" t="inlineStr">
        <is>
          <t>JANEIRO</t>
        </is>
      </c>
      <c r="D61" s="217" t="inlineStr">
        <is>
          <t>FEVEREIRO</t>
        </is>
      </c>
      <c r="E61" s="217" t="inlineStr">
        <is>
          <t>MARÇO</t>
        </is>
      </c>
      <c r="F61" s="217" t="inlineStr">
        <is>
          <t>ABRIL</t>
        </is>
      </c>
      <c r="G61" s="217" t="inlineStr">
        <is>
          <t>MAIO</t>
        </is>
      </c>
      <c r="H61" s="217" t="inlineStr">
        <is>
          <t>JUNHO</t>
        </is>
      </c>
      <c r="I61" s="217" t="inlineStr">
        <is>
          <t>JULHO</t>
        </is>
      </c>
      <c r="J61" s="217" t="inlineStr">
        <is>
          <t>AGOSTO</t>
        </is>
      </c>
      <c r="K61" s="217" t="inlineStr">
        <is>
          <t>SETEMBRO</t>
        </is>
      </c>
      <c r="L61" s="217" t="inlineStr">
        <is>
          <t>OUTUBRO</t>
        </is>
      </c>
      <c r="M61" s="217" t="inlineStr">
        <is>
          <t>NOVEMBRO</t>
        </is>
      </c>
      <c r="N61" s="217" t="inlineStr">
        <is>
          <t>DEZEMBRO</t>
        </is>
      </c>
      <c r="O61" s="218" t="inlineStr">
        <is>
          <t>TOTAL</t>
        </is>
      </c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.75" customHeight="1" s="673">
      <c r="A62" s="10" t="n"/>
      <c r="B62" s="226" t="inlineStr">
        <is>
          <t>RECEITA</t>
        </is>
      </c>
      <c r="C62" s="181">
        <f>C6*$C$60</f>
        <v/>
      </c>
      <c r="D62" s="181">
        <f>D6*$C$60</f>
        <v/>
      </c>
      <c r="E62" s="181">
        <f>E6*$C$60</f>
        <v/>
      </c>
      <c r="F62" s="181">
        <f>F6*$C$60</f>
        <v/>
      </c>
      <c r="G62" s="181">
        <f>G6*$C$60</f>
        <v/>
      </c>
      <c r="H62" s="181">
        <f>H6*$C$60</f>
        <v/>
      </c>
      <c r="I62" s="181">
        <f>I6*$C$60</f>
        <v/>
      </c>
      <c r="J62" s="181">
        <f>J6*$C$60</f>
        <v/>
      </c>
      <c r="K62" s="181">
        <f>K6*$C$60</f>
        <v/>
      </c>
      <c r="L62" s="181">
        <f>L6*$C$60</f>
        <v/>
      </c>
      <c r="M62" s="181">
        <f>M6*$C$60</f>
        <v/>
      </c>
      <c r="N62" s="181">
        <f>N6*$C$60</f>
        <v/>
      </c>
      <c r="O62" s="182">
        <f>SUM(C62:N62)</f>
        <v/>
      </c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.75" customHeight="1" s="673">
      <c r="A63" s="10" t="n"/>
      <c r="B63" s="204" t="inlineStr">
        <is>
          <t>DESPESAS</t>
        </is>
      </c>
      <c r="C63" s="205">
        <f>C12*$D$60</f>
        <v/>
      </c>
      <c r="D63" s="205">
        <f>D12*$D$60</f>
        <v/>
      </c>
      <c r="E63" s="205">
        <f>E12*$D$60</f>
        <v/>
      </c>
      <c r="F63" s="205">
        <f>F12*$D$60</f>
        <v/>
      </c>
      <c r="G63" s="205">
        <f>G12*$D$60</f>
        <v/>
      </c>
      <c r="H63" s="205">
        <f>H12*$D$60</f>
        <v/>
      </c>
      <c r="I63" s="205">
        <f>I12*$D$60</f>
        <v/>
      </c>
      <c r="J63" s="205">
        <f>J12*$D$60</f>
        <v/>
      </c>
      <c r="K63" s="205">
        <f>K12*$D$60</f>
        <v/>
      </c>
      <c r="L63" s="205">
        <f>L12*$D$60</f>
        <v/>
      </c>
      <c r="M63" s="205">
        <f>M12*$D$60</f>
        <v/>
      </c>
      <c r="N63" s="205">
        <f>N12*$D$60</f>
        <v/>
      </c>
      <c r="O63" s="206">
        <f>SUM(C63:N63)</f>
        <v/>
      </c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.75" customHeight="1" s="673">
      <c r="A64" s="10" t="n"/>
      <c r="B64" s="208" t="inlineStr">
        <is>
          <t>RESULTADO</t>
        </is>
      </c>
      <c r="C64" s="209">
        <f>C62-C63</f>
        <v/>
      </c>
      <c r="D64" s="209">
        <f>D62-D63</f>
        <v/>
      </c>
      <c r="E64" s="209">
        <f>E62-E63</f>
        <v/>
      </c>
      <c r="F64" s="209">
        <f>F62-F63</f>
        <v/>
      </c>
      <c r="G64" s="209">
        <f>G62-G63</f>
        <v/>
      </c>
      <c r="H64" s="209">
        <f>H62-H63</f>
        <v/>
      </c>
      <c r="I64" s="209">
        <f>I62-I63</f>
        <v/>
      </c>
      <c r="J64" s="209">
        <f>J62-J63</f>
        <v/>
      </c>
      <c r="K64" s="209">
        <f>K62-K63</f>
        <v/>
      </c>
      <c r="L64" s="209">
        <f>L62-L63</f>
        <v/>
      </c>
      <c r="M64" s="209">
        <f>M62-M63</f>
        <v/>
      </c>
      <c r="N64" s="209">
        <f>N62-N63</f>
        <v/>
      </c>
      <c r="O64" s="210">
        <f>SUM(C64:N64)</f>
        <v/>
      </c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.75" customHeight="1" s="673">
      <c r="A65" s="10" t="n"/>
      <c r="B65" s="10" t="n"/>
      <c r="C65" s="221" t="n"/>
      <c r="D65" s="221" t="n"/>
      <c r="E65" s="221" t="n"/>
      <c r="F65" s="221" t="n"/>
      <c r="G65" s="221" t="n"/>
      <c r="H65" s="221" t="n"/>
      <c r="I65" s="221" t="n"/>
      <c r="J65" s="221" t="n"/>
      <c r="K65" s="221" t="n"/>
      <c r="L65" s="221" t="n"/>
      <c r="M65" s="221" t="n"/>
      <c r="N65" s="221" t="n"/>
      <c r="O65" s="221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.75" customHeight="1" s="673">
      <c r="A66" s="10" t="n"/>
      <c r="B66" s="10" t="n"/>
      <c r="C66" s="221" t="n"/>
      <c r="D66" s="221" t="n"/>
      <c r="E66" s="221" t="n"/>
      <c r="F66" s="221" t="n"/>
      <c r="G66" s="221" t="n"/>
      <c r="H66" s="221" t="n"/>
      <c r="I66" s="221" t="n"/>
      <c r="J66" s="221" t="n"/>
      <c r="K66" s="221" t="n"/>
      <c r="L66" s="221" t="n"/>
      <c r="M66" s="221" t="n"/>
      <c r="N66" s="221" t="n"/>
      <c r="O66" s="221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.75" customHeight="1" s="673">
      <c r="A67" s="222">
        <f>A59+1</f>
        <v/>
      </c>
      <c r="B67" s="688">
        <f>RESULTADO!B34</f>
        <v/>
      </c>
      <c r="C67" s="675" t="n"/>
      <c r="D67" s="675" t="n"/>
      <c r="E67" s="675" t="n"/>
      <c r="F67" s="221" t="n"/>
      <c r="G67" s="221" t="n"/>
      <c r="H67" s="221" t="n"/>
      <c r="I67" s="221" t="n"/>
      <c r="J67" s="221" t="n"/>
      <c r="K67" s="221" t="n"/>
      <c r="L67" s="221" t="n"/>
      <c r="M67" s="221" t="n"/>
      <c r="N67" s="221" t="n"/>
      <c r="O67" s="221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.75" customHeight="1" s="673">
      <c r="A68" s="10" t="n"/>
      <c r="B68" s="23" t="n"/>
      <c r="C68" s="224">
        <f>RESULTADO!C34</f>
        <v/>
      </c>
      <c r="D68" s="225">
        <f>RESULTADO!D34</f>
        <v/>
      </c>
      <c r="E68" s="221" t="n"/>
      <c r="F68" s="221" t="n"/>
      <c r="G68" s="221" t="n"/>
      <c r="H68" s="221" t="n"/>
      <c r="I68" s="221" t="n"/>
      <c r="J68" s="221" t="n"/>
      <c r="K68" s="221" t="n"/>
      <c r="L68" s="221" t="n"/>
      <c r="M68" s="221" t="n"/>
      <c r="N68" s="221" t="n"/>
      <c r="O68" s="221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.75" customHeight="1" s="673">
      <c r="A69" s="10" t="n"/>
      <c r="B69" s="200">
        <f>$B$5</f>
        <v/>
      </c>
      <c r="C69" s="217" t="inlineStr">
        <is>
          <t>JANEIRO</t>
        </is>
      </c>
      <c r="D69" s="217" t="inlineStr">
        <is>
          <t>FEVEREIRO</t>
        </is>
      </c>
      <c r="E69" s="217" t="inlineStr">
        <is>
          <t>MARÇO</t>
        </is>
      </c>
      <c r="F69" s="217" t="inlineStr">
        <is>
          <t>ABRIL</t>
        </is>
      </c>
      <c r="G69" s="217" t="inlineStr">
        <is>
          <t>MAIO</t>
        </is>
      </c>
      <c r="H69" s="217" t="inlineStr">
        <is>
          <t>JUNHO</t>
        </is>
      </c>
      <c r="I69" s="217" t="inlineStr">
        <is>
          <t>JULHO</t>
        </is>
      </c>
      <c r="J69" s="217" t="inlineStr">
        <is>
          <t>AGOSTO</t>
        </is>
      </c>
      <c r="K69" s="217" t="inlineStr">
        <is>
          <t>SETEMBRO</t>
        </is>
      </c>
      <c r="L69" s="217" t="inlineStr">
        <is>
          <t>OUTUBRO</t>
        </is>
      </c>
      <c r="M69" s="217" t="inlineStr">
        <is>
          <t>NOVEMBRO</t>
        </is>
      </c>
      <c r="N69" s="217" t="inlineStr">
        <is>
          <t>DEZEMBRO</t>
        </is>
      </c>
      <c r="O69" s="218" t="inlineStr">
        <is>
          <t>TOTAL</t>
        </is>
      </c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.75" customHeight="1" s="673">
      <c r="A70" s="10" t="n"/>
      <c r="B70" s="226" t="inlineStr">
        <is>
          <t>RECEITA</t>
        </is>
      </c>
      <c r="C70" s="181">
        <f>C6*$C$68</f>
        <v/>
      </c>
      <c r="D70" s="181">
        <f>D6*$C$68</f>
        <v/>
      </c>
      <c r="E70" s="181">
        <f>E6*$C$68</f>
        <v/>
      </c>
      <c r="F70" s="181">
        <f>F6*$C$68</f>
        <v/>
      </c>
      <c r="G70" s="181">
        <f>G6*$C$68</f>
        <v/>
      </c>
      <c r="H70" s="181">
        <f>H6*$C$68</f>
        <v/>
      </c>
      <c r="I70" s="181">
        <f>I6*$C$68</f>
        <v/>
      </c>
      <c r="J70" s="181">
        <f>J6*$C$68</f>
        <v/>
      </c>
      <c r="K70" s="181">
        <f>K6*$C$68</f>
        <v/>
      </c>
      <c r="L70" s="181">
        <f>L6*$C$68</f>
        <v/>
      </c>
      <c r="M70" s="181">
        <f>M6*$C$68</f>
        <v/>
      </c>
      <c r="N70" s="181">
        <f>N6*$C$68</f>
        <v/>
      </c>
      <c r="O70" s="182">
        <f>SUM(C70:N70)</f>
        <v/>
      </c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.75" customHeight="1" s="673">
      <c r="A71" s="10" t="n"/>
      <c r="B71" s="204" t="inlineStr">
        <is>
          <t>DESPESAS</t>
        </is>
      </c>
      <c r="C71" s="205">
        <f>C12*$D$68</f>
        <v/>
      </c>
      <c r="D71" s="205">
        <f>D12*$D$68</f>
        <v/>
      </c>
      <c r="E71" s="205">
        <f>E12*$D$68</f>
        <v/>
      </c>
      <c r="F71" s="205">
        <f>F12*$D$68</f>
        <v/>
      </c>
      <c r="G71" s="205">
        <f>G12*$D$68</f>
        <v/>
      </c>
      <c r="H71" s="205">
        <f>H12*$D$68</f>
        <v/>
      </c>
      <c r="I71" s="205">
        <f>I12*$D$68</f>
        <v/>
      </c>
      <c r="J71" s="205">
        <f>J12*$D$68</f>
        <v/>
      </c>
      <c r="K71" s="205">
        <f>K12*$D$68</f>
        <v/>
      </c>
      <c r="L71" s="205">
        <f>L12*$D$68</f>
        <v/>
      </c>
      <c r="M71" s="205">
        <f>M12*$D$68</f>
        <v/>
      </c>
      <c r="N71" s="205">
        <f>N12*$D$68</f>
        <v/>
      </c>
      <c r="O71" s="206">
        <f>SUM(C71:N71)</f>
        <v/>
      </c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.75" customHeight="1" s="673">
      <c r="A72" s="10" t="n"/>
      <c r="B72" s="208" t="inlineStr">
        <is>
          <t>RESULTADO</t>
        </is>
      </c>
      <c r="C72" s="209">
        <f>C70-C71</f>
        <v/>
      </c>
      <c r="D72" s="209">
        <f>D70-D71</f>
        <v/>
      </c>
      <c r="E72" s="209">
        <f>E70-E71</f>
        <v/>
      </c>
      <c r="F72" s="209">
        <f>F70-F71</f>
        <v/>
      </c>
      <c r="G72" s="209">
        <f>G70-G71</f>
        <v/>
      </c>
      <c r="H72" s="209">
        <f>H70-H71</f>
        <v/>
      </c>
      <c r="I72" s="209">
        <f>I70-I71</f>
        <v/>
      </c>
      <c r="J72" s="209">
        <f>J70-J71</f>
        <v/>
      </c>
      <c r="K72" s="209">
        <f>K70-K71</f>
        <v/>
      </c>
      <c r="L72" s="209">
        <f>L70-L71</f>
        <v/>
      </c>
      <c r="M72" s="209">
        <f>M70-M71</f>
        <v/>
      </c>
      <c r="N72" s="209">
        <f>N70-N71</f>
        <v/>
      </c>
      <c r="O72" s="210">
        <f>SUM(C72:N72)</f>
        <v/>
      </c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.75" customHeight="1" s="673">
      <c r="A73" s="10" t="n"/>
      <c r="B73" s="10" t="n"/>
      <c r="C73" s="221" t="n"/>
      <c r="D73" s="221" t="n"/>
      <c r="E73" s="221" t="n"/>
      <c r="F73" s="221" t="n"/>
      <c r="G73" s="221" t="n"/>
      <c r="H73" s="221" t="n"/>
      <c r="I73" s="221" t="n"/>
      <c r="J73" s="221" t="n"/>
      <c r="K73" s="221" t="n"/>
      <c r="L73" s="221" t="n"/>
      <c r="M73" s="221" t="n"/>
      <c r="N73" s="221" t="n"/>
      <c r="O73" s="221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.75" customHeight="1" s="673">
      <c r="A74" s="10" t="n"/>
      <c r="B74" s="10" t="n"/>
      <c r="C74" s="221" t="n"/>
      <c r="D74" s="221" t="n"/>
      <c r="E74" s="221" t="n"/>
      <c r="F74" s="221" t="n"/>
      <c r="G74" s="221" t="n"/>
      <c r="H74" s="221" t="n"/>
      <c r="I74" s="221" t="n"/>
      <c r="J74" s="221" t="n"/>
      <c r="K74" s="221" t="n"/>
      <c r="L74" s="221" t="n"/>
      <c r="M74" s="221" t="n"/>
      <c r="N74" s="221" t="n"/>
      <c r="O74" s="221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.75" customHeight="1" s="673">
      <c r="A75" s="222">
        <f>A67+1</f>
        <v/>
      </c>
      <c r="B75" s="688">
        <f>RESULTADO!B35</f>
        <v/>
      </c>
      <c r="C75" s="675" t="n"/>
      <c r="D75" s="675" t="n"/>
      <c r="E75" s="675" t="n"/>
      <c r="F75" s="221" t="n"/>
      <c r="G75" s="221" t="n"/>
      <c r="H75" s="221" t="n"/>
      <c r="I75" s="221" t="n"/>
      <c r="J75" s="221" t="n"/>
      <c r="K75" s="221" t="n"/>
      <c r="L75" s="221" t="n"/>
      <c r="M75" s="221" t="n"/>
      <c r="N75" s="221" t="n"/>
      <c r="O75" s="221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.75" customHeight="1" s="673">
      <c r="A76" s="10" t="n"/>
      <c r="B76" s="23" t="n"/>
      <c r="C76" s="224">
        <f>RESULTADO!C35</f>
        <v/>
      </c>
      <c r="D76" s="225">
        <f>RESULTADO!D35</f>
        <v/>
      </c>
      <c r="E76" s="221" t="n"/>
      <c r="F76" s="221" t="n"/>
      <c r="G76" s="221" t="n"/>
      <c r="H76" s="221" t="n"/>
      <c r="I76" s="221" t="n"/>
      <c r="J76" s="221" t="n"/>
      <c r="K76" s="221" t="n"/>
      <c r="L76" s="221" t="n"/>
      <c r="M76" s="221" t="n"/>
      <c r="N76" s="221" t="n"/>
      <c r="O76" s="221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.75" customHeight="1" s="673">
      <c r="A77" s="10" t="n"/>
      <c r="B77" s="200">
        <f>$B$5</f>
        <v/>
      </c>
      <c r="C77" s="217" t="inlineStr">
        <is>
          <t>JANEIRO</t>
        </is>
      </c>
      <c r="D77" s="217" t="inlineStr">
        <is>
          <t>FEVEREIRO</t>
        </is>
      </c>
      <c r="E77" s="217" t="inlineStr">
        <is>
          <t>MARÇO</t>
        </is>
      </c>
      <c r="F77" s="217" t="inlineStr">
        <is>
          <t>ABRIL</t>
        </is>
      </c>
      <c r="G77" s="217" t="inlineStr">
        <is>
          <t>MAIO</t>
        </is>
      </c>
      <c r="H77" s="217" t="inlineStr">
        <is>
          <t>JUNHO</t>
        </is>
      </c>
      <c r="I77" s="217" t="inlineStr">
        <is>
          <t>JULHO</t>
        </is>
      </c>
      <c r="J77" s="217" t="inlineStr">
        <is>
          <t>AGOSTO</t>
        </is>
      </c>
      <c r="K77" s="217" t="inlineStr">
        <is>
          <t>SETEMBRO</t>
        </is>
      </c>
      <c r="L77" s="217" t="inlineStr">
        <is>
          <t>OUTUBRO</t>
        </is>
      </c>
      <c r="M77" s="217" t="inlineStr">
        <is>
          <t>NOVEMBRO</t>
        </is>
      </c>
      <c r="N77" s="217" t="inlineStr">
        <is>
          <t>DEZEMBRO</t>
        </is>
      </c>
      <c r="O77" s="218" t="inlineStr">
        <is>
          <t>TOTAL</t>
        </is>
      </c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.75" customHeight="1" s="673">
      <c r="A78" s="10" t="n"/>
      <c r="B78" s="226" t="inlineStr">
        <is>
          <t>RECEITA</t>
        </is>
      </c>
      <c r="C78" s="181">
        <f>C6*$C$76</f>
        <v/>
      </c>
      <c r="D78" s="181">
        <f>D6*$C$76</f>
        <v/>
      </c>
      <c r="E78" s="181">
        <f>E6*$C$76</f>
        <v/>
      </c>
      <c r="F78" s="181">
        <f>F6*$C$76</f>
        <v/>
      </c>
      <c r="G78" s="181">
        <f>G6*$C$76</f>
        <v/>
      </c>
      <c r="H78" s="181">
        <f>H6*$C$76</f>
        <v/>
      </c>
      <c r="I78" s="181">
        <f>I6*$C$76</f>
        <v/>
      </c>
      <c r="J78" s="181">
        <f>J6*$C$76</f>
        <v/>
      </c>
      <c r="K78" s="181">
        <f>K6*$C$76</f>
        <v/>
      </c>
      <c r="L78" s="181">
        <f>L6*$C$76</f>
        <v/>
      </c>
      <c r="M78" s="181">
        <f>M6*$C$76</f>
        <v/>
      </c>
      <c r="N78" s="181">
        <f>N6*$C$76</f>
        <v/>
      </c>
      <c r="O78" s="182">
        <f>SUM(C78:N78)</f>
        <v/>
      </c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.75" customHeight="1" s="673">
      <c r="A79" s="10" t="n"/>
      <c r="B79" s="204" t="inlineStr">
        <is>
          <t>DESPESAS</t>
        </is>
      </c>
      <c r="C79" s="205">
        <f>C12*$D$76</f>
        <v/>
      </c>
      <c r="D79" s="205">
        <f>D12*$D$76</f>
        <v/>
      </c>
      <c r="E79" s="205">
        <f>E12*$D$76</f>
        <v/>
      </c>
      <c r="F79" s="205">
        <f>F12*$D$76</f>
        <v/>
      </c>
      <c r="G79" s="205">
        <f>G12*$D$76</f>
        <v/>
      </c>
      <c r="H79" s="205">
        <f>H12*$D$76</f>
        <v/>
      </c>
      <c r="I79" s="205">
        <f>I12*$D$76</f>
        <v/>
      </c>
      <c r="J79" s="205">
        <f>J12*$D$76</f>
        <v/>
      </c>
      <c r="K79" s="205">
        <f>K12*$D$76</f>
        <v/>
      </c>
      <c r="L79" s="205">
        <f>L12*$D$76</f>
        <v/>
      </c>
      <c r="M79" s="205">
        <f>M12*$D$76</f>
        <v/>
      </c>
      <c r="N79" s="205">
        <f>N12*$D$76</f>
        <v/>
      </c>
      <c r="O79" s="206">
        <f>SUM(C79:N79)</f>
        <v/>
      </c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.75" customHeight="1" s="673">
      <c r="A80" s="10" t="n"/>
      <c r="B80" s="208" t="inlineStr">
        <is>
          <t>RESULTADO</t>
        </is>
      </c>
      <c r="C80" s="209">
        <f>C78-C79</f>
        <v/>
      </c>
      <c r="D80" s="209">
        <f>D78-D79</f>
        <v/>
      </c>
      <c r="E80" s="209">
        <f>E78-E79</f>
        <v/>
      </c>
      <c r="F80" s="209">
        <f>F78-F79</f>
        <v/>
      </c>
      <c r="G80" s="209">
        <f>G78-G79</f>
        <v/>
      </c>
      <c r="H80" s="209">
        <f>H78-H79</f>
        <v/>
      </c>
      <c r="I80" s="209">
        <f>I78-I79</f>
        <v/>
      </c>
      <c r="J80" s="209">
        <f>J78-J79</f>
        <v/>
      </c>
      <c r="K80" s="209">
        <f>K78-K79</f>
        <v/>
      </c>
      <c r="L80" s="209">
        <f>L78-L79</f>
        <v/>
      </c>
      <c r="M80" s="209">
        <f>M78-M79</f>
        <v/>
      </c>
      <c r="N80" s="209">
        <f>N78-N79</f>
        <v/>
      </c>
      <c r="O80" s="210">
        <f>SUM(C80:N80)</f>
        <v/>
      </c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.75" customHeight="1" s="673">
      <c r="A81" s="10" t="n"/>
      <c r="B81" s="10" t="n"/>
      <c r="C81" s="221" t="n"/>
      <c r="D81" s="221" t="n"/>
      <c r="E81" s="221" t="n"/>
      <c r="F81" s="221" t="n"/>
      <c r="G81" s="221" t="n"/>
      <c r="H81" s="221" t="n"/>
      <c r="I81" s="221" t="n"/>
      <c r="J81" s="221" t="n"/>
      <c r="K81" s="221" t="n"/>
      <c r="L81" s="221" t="n"/>
      <c r="M81" s="221" t="n"/>
      <c r="N81" s="221" t="n"/>
      <c r="O81" s="221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.75" customHeight="1" s="673">
      <c r="A82" s="10" t="n"/>
      <c r="B82" s="10" t="n"/>
      <c r="C82" s="221" t="n"/>
      <c r="D82" s="221" t="n"/>
      <c r="E82" s="221" t="n"/>
      <c r="F82" s="221" t="n"/>
      <c r="G82" s="221" t="n"/>
      <c r="H82" s="221" t="n"/>
      <c r="I82" s="221" t="n"/>
      <c r="J82" s="221" t="n"/>
      <c r="K82" s="221" t="n"/>
      <c r="L82" s="221" t="n"/>
      <c r="M82" s="221" t="n"/>
      <c r="N82" s="221" t="n"/>
      <c r="O82" s="221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.75" customHeight="1" s="67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.75" customHeight="1" s="673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.75" customHeight="1" s="673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.75" customHeight="1" s="673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.75" customHeight="1" s="673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.75" customHeight="1" s="673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.75" customHeight="1" s="673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.75" customHeight="1" s="673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.75" customHeight="1" s="67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.75" customHeight="1" s="67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.75" customHeight="1" s="67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.75" customHeight="1" s="67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.75" customHeight="1" s="67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.75" customHeight="1" s="67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.75" customHeight="1" s="67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.75" customHeight="1" s="67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.75" customHeight="1" s="67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.75" customHeight="1" s="67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.75" customHeight="1" s="67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.75" customHeight="1" s="67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.75" customHeight="1" s="67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.75" customHeight="1" s="67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.75" customHeight="1" s="67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.75" customHeight="1" s="67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.75" customHeight="1" s="67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.75" customHeight="1" s="67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.75" customHeight="1" s="67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.75" customHeight="1" s="67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.75" customHeight="1" s="67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.75" customHeight="1" s="67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.75" customHeight="1" s="67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.75" customHeight="1" s="67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.75" customHeight="1" s="67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.75" customHeight="1" s="67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.75" customHeight="1" s="67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.75" customHeight="1" s="67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.75" customHeight="1" s="67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.75" customHeight="1" s="67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.75" customHeight="1" s="67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.75" customHeight="1" s="67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.75" customHeight="1" s="67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.75" customHeight="1" s="67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.75" customHeight="1" s="67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.75" customHeight="1" s="67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.75" customHeight="1" s="67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.75" customHeight="1" s="67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.75" customHeight="1" s="67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.75" customHeight="1" s="67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.75" customHeight="1" s="67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.75" customHeight="1" s="67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.75" customHeight="1" s="67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.75" customHeight="1" s="67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.75" customHeight="1" s="67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.75" customHeight="1" s="67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.75" customHeight="1" s="67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.75" customHeight="1" s="67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.75" customHeight="1" s="67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.75" customHeight="1" s="67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.75" customHeight="1" s="67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.75" customHeight="1" s="67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.75" customHeight="1" s="67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.75" customHeight="1" s="67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.75" customHeight="1" s="67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.75" customHeight="1" s="67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.75" customHeight="1" s="67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.75" customHeight="1" s="67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.75" customHeight="1" s="67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.75" customHeight="1" s="67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.75" customHeight="1" s="67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.75" customHeight="1" s="67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.75" customHeight="1" s="67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.75" customHeight="1" s="67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.75" customHeight="1" s="67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.75" customHeight="1" s="67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.75" customHeight="1" s="67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.75" customHeight="1" s="67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.75" customHeight="1" s="67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.75" customHeight="1" s="67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.75" customHeight="1" s="67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.75" customHeight="1" s="67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.75" customHeight="1" s="67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.75" customHeight="1" s="67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.75" customHeight="1" s="67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.75" customHeight="1" s="67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.75" customHeight="1" s="67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.75" customHeight="1" s="67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.75" customHeight="1" s="67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.75" customHeight="1" s="67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.75" customHeight="1" s="67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.75" customHeight="1" s="67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.75" customHeight="1" s="6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.75" customHeight="1" s="67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.75" customHeight="1" s="67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.75" customHeight="1" s="67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.75" customHeight="1" s="67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.75" customHeight="1" s="67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.75" customHeight="1" s="67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.75" customHeight="1" s="67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.75" customHeight="1" s="67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.75" customHeight="1" s="67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.75" customHeight="1" s="67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.75" customHeight="1" s="67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.75" customHeight="1" s="67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.75" customHeight="1" s="67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.75" customHeight="1" s="67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.75" customHeight="1" s="67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.75" customHeight="1" s="67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.75" customHeight="1" s="67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.75" customHeight="1" s="67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.75" customHeight="1" s="67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.75" customHeight="1" s="67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.75" customHeight="1" s="67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.75" customHeight="1" s="67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.75" customHeight="1" s="67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.75" customHeight="1" s="67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.75" customHeight="1" s="67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.75" customHeight="1" s="67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.75" customHeight="1" s="67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  <row r="201" ht="15.75" customHeight="1" s="673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</row>
    <row r="202" ht="15.75" customHeight="1" s="673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</row>
    <row r="203" ht="15.75" customHeight="1" s="67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</row>
    <row r="204" ht="15.75" customHeight="1" s="673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</row>
    <row r="205" ht="15.75" customHeight="1" s="673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</row>
    <row r="206" ht="15.75" customHeight="1" s="673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</row>
    <row r="207" ht="15.75" customHeight="1" s="673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</row>
    <row r="208" ht="15.75" customHeight="1" s="673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</row>
    <row r="209" ht="15.75" customHeight="1" s="673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</row>
    <row r="210" ht="15.75" customHeight="1" s="673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</row>
    <row r="211" ht="15.75" customHeight="1" s="673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</row>
    <row r="212" ht="15.75" customHeight="1" s="673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</row>
    <row r="213" ht="15.75" customHeight="1" s="67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</row>
    <row r="214" ht="15.75" customHeight="1" s="673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</row>
    <row r="215" ht="15.75" customHeight="1" s="673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</row>
    <row r="216" ht="15.75" customHeight="1" s="673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</row>
    <row r="217" ht="15.75" customHeight="1" s="673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</row>
    <row r="218" ht="15.75" customHeight="1" s="673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</row>
    <row r="219" ht="15.75" customHeight="1" s="673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</row>
    <row r="220" ht="15.75" customHeight="1" s="673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</row>
    <row r="221" ht="15.75" customHeight="1" s="673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</row>
    <row r="222" ht="15.75" customHeight="1" s="673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</row>
    <row r="223" ht="15.75" customHeight="1" s="67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</row>
    <row r="224" ht="15.75" customHeight="1" s="673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</row>
    <row r="225" ht="15.75" customHeight="1" s="673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</row>
    <row r="226" ht="15.75" customHeight="1" s="673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</row>
    <row r="227" ht="15.75" customHeight="1" s="673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</row>
    <row r="228" ht="15.75" customHeight="1" s="673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</row>
    <row r="229" ht="15.75" customHeight="1" s="673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</row>
    <row r="230" ht="15.75" customHeight="1" s="673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</row>
    <row r="231" ht="15.75" customHeight="1" s="673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</row>
    <row r="232" ht="15.75" customHeight="1" s="673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</row>
    <row r="233" ht="15.75" customHeight="1" s="67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</row>
    <row r="234" ht="15.75" customHeight="1" s="673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</row>
    <row r="235" ht="15.75" customHeight="1" s="673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</row>
    <row r="236" ht="15.75" customHeight="1" s="673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</row>
    <row r="237" ht="15.75" customHeight="1" s="673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</row>
    <row r="238" ht="15.75" customHeight="1" s="673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</row>
    <row r="239" ht="15.75" customHeight="1" s="673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</row>
    <row r="240" ht="15.75" customHeight="1" s="673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</row>
    <row r="241" ht="15.75" customHeight="1" s="673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</row>
    <row r="242" ht="15.75" customHeight="1" s="673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</row>
    <row r="243" ht="15.75" customHeight="1" s="67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</row>
    <row r="244" ht="15.75" customHeight="1" s="673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</row>
    <row r="245" ht="15.75" customHeight="1" s="673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</row>
    <row r="246" ht="15.75" customHeight="1" s="673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</row>
    <row r="247" ht="15.75" customHeight="1" s="673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</row>
    <row r="248" ht="15.75" customHeight="1" s="673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</row>
    <row r="249" ht="15.75" customHeight="1" s="673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</row>
    <row r="250" ht="15.75" customHeight="1" s="673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</row>
    <row r="251" ht="15.75" customHeight="1" s="673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</row>
    <row r="252" ht="15.75" customHeight="1" s="673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</row>
    <row r="253" ht="15.75" customHeight="1" s="67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</row>
    <row r="254" ht="15.75" customHeight="1" s="673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</row>
    <row r="255" ht="15.75" customHeight="1" s="673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</row>
    <row r="256" ht="15.75" customHeight="1" s="673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</row>
    <row r="257" ht="15.75" customHeight="1" s="673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</row>
    <row r="258" ht="15.75" customHeight="1" s="673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</row>
    <row r="259" ht="15.75" customHeight="1" s="673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</row>
    <row r="260" ht="15.75" customHeight="1" s="673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</row>
    <row r="261" ht="15.75" customHeight="1" s="673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</row>
    <row r="262" ht="15.75" customHeight="1" s="673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</row>
    <row r="263" ht="15.75" customHeight="1" s="67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</row>
    <row r="264" ht="15.75" customHeight="1" s="673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</row>
    <row r="265" ht="15.75" customHeight="1" s="673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</row>
    <row r="266" ht="15.75" customHeight="1" s="673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</row>
    <row r="267" ht="15.75" customHeight="1" s="673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</row>
    <row r="268" ht="15.75" customHeight="1" s="673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</row>
    <row r="269" ht="15.75" customHeight="1" s="673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</row>
    <row r="270" ht="15.75" customHeight="1" s="673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</row>
    <row r="271" ht="15.75" customHeight="1" s="673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</row>
    <row r="272" ht="15.75" customHeight="1" s="673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</row>
    <row r="273" ht="15.75" customHeight="1" s="6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</row>
    <row r="274" ht="15.75" customHeight="1" s="673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</row>
    <row r="275" ht="15.75" customHeight="1" s="673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</row>
    <row r="276" ht="15.75" customHeight="1" s="673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</row>
    <row r="277" ht="15.75" customHeight="1" s="673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</row>
    <row r="278" ht="15.75" customHeight="1" s="673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</row>
    <row r="279" ht="15.75" customHeight="1" s="673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</row>
    <row r="280" ht="15.75" customHeight="1" s="673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mergeCells count="10">
    <mergeCell ref="B27:E27"/>
    <mergeCell ref="C16:N16"/>
    <mergeCell ref="B35:E35"/>
    <mergeCell ref="B43:E43"/>
    <mergeCell ref="B75:E75"/>
    <mergeCell ref="B3:F3"/>
    <mergeCell ref="B59:E59"/>
    <mergeCell ref="B19:E19"/>
    <mergeCell ref="B51:E51"/>
    <mergeCell ref="B67:E67"/>
  </mergeCells>
  <conditionalFormatting sqref="B7:B10">
    <cfRule type="cellIs" priority="1" operator="equal" dxfId="1" stopIfTrue="1">
      <formula>"ARBITRAMENTO"</formula>
    </cfRule>
  </conditionalFormatting>
  <dataValidations count="1">
    <dataValidation sqref="B7:B9" showDropDown="0" showInputMessage="0" showErrorMessage="0" allowBlank="1" type="list">
      <formula1>'BANCO DE DADOS'!$B$29:$B$41</formula1>
    </dataValidation>
  </dataValidations>
  <printOptions horizontalCentered="1"/>
  <pageMargins left="0" right="0" top="1.062992125984252" bottom="0.5905511811023623" header="0" footer="0"/>
  <pageSetup orientation="landscape" paperSize="9"/>
  <headerFooter>
    <oddHeader/>
    <oddFooter>&amp;Cwww.safrasecifras.com.br  (53) 3227-1010&amp;R&amp;D &amp;T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3.63" customWidth="1" style="673" min="1" max="1"/>
    <col width="58.5" customWidth="1" style="673" min="2" max="2"/>
    <col width="12.13" customWidth="1" style="673" min="3" max="3"/>
    <col width="16.75" customWidth="1" style="673" min="4" max="4"/>
    <col width="17.63" customWidth="1" style="673" min="5" max="6"/>
    <col width="20.88" customWidth="1" style="673" min="7" max="7"/>
    <col width="5.63" customWidth="1" style="673" min="8" max="8"/>
    <col hidden="1" width="11.63" customWidth="1" style="673" min="9" max="9"/>
    <col width="8.880000000000001" customWidth="1" style="673" min="10" max="18"/>
    <col width="8.630000000000001" customWidth="1" style="673" min="19" max="26"/>
  </cols>
  <sheetData>
    <row r="1" hidden="1" s="673">
      <c r="A1" s="52" t="n"/>
      <c r="B1" s="52" t="n"/>
      <c r="C1" s="52" t="n"/>
      <c r="D1" s="52" t="n"/>
      <c r="E1" s="52" t="n"/>
      <c r="F1" s="52" t="n"/>
      <c r="G1" s="52" t="n"/>
      <c r="H1" s="131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</row>
    <row r="2" hidden="1" s="673">
      <c r="A2" s="69" t="n"/>
      <c r="B2" s="131" t="n"/>
      <c r="C2" s="131" t="n"/>
      <c r="D2" s="131" t="n"/>
      <c r="E2" s="227" t="inlineStr">
        <is>
          <t>PREJUÍZO À COMPENSAR</t>
        </is>
      </c>
      <c r="F2" s="131" t="n"/>
      <c r="G2" s="131" t="n"/>
      <c r="H2" s="131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  <c r="Z2" s="69" t="n"/>
    </row>
    <row r="3" hidden="1" s="673">
      <c r="A3" s="69" t="n"/>
      <c r="B3" s="131" t="n"/>
      <c r="C3" s="131" t="n"/>
      <c r="D3" s="131">
        <f>ABS(E28)</f>
        <v/>
      </c>
      <c r="E3" s="228">
        <f>-D3</f>
        <v/>
      </c>
      <c r="F3" s="131" t="n"/>
      <c r="G3" s="131" t="n"/>
      <c r="H3" s="131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</row>
    <row r="4" hidden="1" s="673">
      <c r="A4" s="69" t="n"/>
      <c r="B4" s="131" t="n"/>
      <c r="C4" s="131" t="n"/>
      <c r="D4" s="131">
        <f>ABS(E29)</f>
        <v/>
      </c>
      <c r="E4" s="228">
        <f>-D4</f>
        <v/>
      </c>
      <c r="F4" s="131" t="n"/>
      <c r="G4" s="131" t="n"/>
      <c r="H4" s="131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</row>
    <row r="5" hidden="1" s="673">
      <c r="A5" s="69" t="n"/>
      <c r="B5" s="131" t="n"/>
      <c r="C5" s="131" t="n"/>
      <c r="D5" s="131">
        <f>ABS(E30)</f>
        <v/>
      </c>
      <c r="E5" s="228">
        <f>-D5</f>
        <v/>
      </c>
      <c r="F5" s="131" t="n"/>
      <c r="G5" s="131" t="n"/>
      <c r="H5" s="131" t="n"/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</row>
    <row r="6" hidden="1" s="673">
      <c r="A6" s="69" t="n"/>
      <c r="B6" s="131" t="n"/>
      <c r="C6" s="131" t="n"/>
      <c r="D6" s="131">
        <f>ABS(E31)</f>
        <v/>
      </c>
      <c r="E6" s="228">
        <f>-D6</f>
        <v/>
      </c>
      <c r="F6" s="131" t="n"/>
      <c r="G6" s="131" t="n"/>
      <c r="H6" s="131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</row>
    <row r="7" hidden="1" s="673">
      <c r="A7" s="69" t="n"/>
      <c r="B7" s="131" t="n"/>
      <c r="C7" s="131" t="n"/>
      <c r="D7" s="131">
        <f>ABS(E32)</f>
        <v/>
      </c>
      <c r="E7" s="228">
        <f>-D7</f>
        <v/>
      </c>
      <c r="F7" s="131" t="n"/>
      <c r="G7" s="131" t="n"/>
      <c r="H7" s="131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</row>
    <row r="8" hidden="1" s="673">
      <c r="A8" s="69" t="n"/>
      <c r="B8" s="131" t="n"/>
      <c r="C8" s="131" t="n"/>
      <c r="D8" s="131">
        <f>ABS(E33)</f>
        <v/>
      </c>
      <c r="E8" s="228">
        <f>-D8</f>
        <v/>
      </c>
      <c r="F8" s="131" t="n"/>
      <c r="G8" s="131" t="n"/>
      <c r="H8" s="131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</row>
    <row r="9" hidden="1" s="673">
      <c r="A9" s="69" t="n"/>
      <c r="B9" s="131" t="n"/>
      <c r="C9" s="131" t="n"/>
      <c r="D9" s="131">
        <f>ABS(E34)</f>
        <v/>
      </c>
      <c r="E9" s="228">
        <f>-D9</f>
        <v/>
      </c>
      <c r="F9" s="131" t="n"/>
      <c r="G9" s="131" t="n"/>
      <c r="H9" s="131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69" t="n"/>
    </row>
    <row r="10" hidden="1" s="673">
      <c r="A10" s="69" t="n"/>
      <c r="B10" s="131" t="n"/>
      <c r="C10" s="131" t="n"/>
      <c r="D10" s="131">
        <f>ABS(E35)</f>
        <v/>
      </c>
      <c r="E10" s="228">
        <f>-D10</f>
        <v/>
      </c>
      <c r="F10" s="131" t="n"/>
      <c r="G10" s="131" t="n"/>
      <c r="H10" s="131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 hidden="1" s="673">
      <c r="A11" s="69" t="n"/>
      <c r="B11" s="131" t="n"/>
      <c r="C11" s="131" t="n"/>
      <c r="D11" s="131" t="n"/>
      <c r="E11" s="229">
        <f>SUM(E3:E7)</f>
        <v/>
      </c>
      <c r="F11" s="131" t="n"/>
      <c r="G11" s="131" t="n"/>
      <c r="H11" s="131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</row>
    <row r="12" hidden="1" s="673">
      <c r="A12" s="52" t="n"/>
      <c r="B12" s="52" t="n"/>
      <c r="C12" s="52" t="n"/>
      <c r="D12" s="52" t="n"/>
      <c r="E12" s="52" t="n"/>
      <c r="F12" s="52" t="n"/>
      <c r="G12" s="52" t="n"/>
      <c r="H12" s="131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</row>
    <row r="13" hidden="1" s="673">
      <c r="A13" s="52" t="n"/>
      <c r="B13" s="52" t="n"/>
      <c r="C13" s="52" t="n"/>
      <c r="D13" s="52" t="n"/>
      <c r="E13" s="52" t="n"/>
      <c r="F13" s="52" t="n"/>
      <c r="G13" s="52" t="n"/>
      <c r="H13" s="131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</row>
    <row r="14" hidden="1" s="673">
      <c r="A14" s="52" t="n"/>
      <c r="B14" s="52" t="n"/>
      <c r="C14" s="52" t="n"/>
      <c r="D14" s="52" t="n"/>
      <c r="E14" s="52" t="n"/>
      <c r="F14" s="52" t="n"/>
      <c r="G14" s="52" t="n"/>
      <c r="H14" s="131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</row>
    <row r="15" hidden="1" s="673">
      <c r="A15" s="52" t="n"/>
      <c r="B15" s="52" t="n"/>
      <c r="C15" s="52" t="n"/>
      <c r="D15" s="52" t="n"/>
      <c r="E15" s="52" t="n"/>
      <c r="F15" s="52" t="n"/>
      <c r="G15" s="52" t="n"/>
      <c r="H15" s="131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</row>
    <row r="16">
      <c r="A16" s="52" t="n"/>
      <c r="B16" s="131" t="n"/>
      <c r="C16" s="131" t="n"/>
      <c r="D16" s="131" t="n"/>
      <c r="E16" s="131" t="n"/>
      <c r="F16" s="131" t="n"/>
      <c r="G16" s="131" t="n"/>
      <c r="H16" s="131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</row>
    <row r="17">
      <c r="A17" s="52" t="n"/>
      <c r="B17" s="73" t="inlineStr">
        <is>
          <t>CALCIR - RESULTADO</t>
        </is>
      </c>
      <c r="C17" s="73" t="n"/>
      <c r="D17" s="74" t="n"/>
      <c r="E17" s="74" t="n"/>
      <c r="F17" s="74" t="n"/>
      <c r="G17" s="73">
        <f>RECEITAS!I12</f>
        <v/>
      </c>
      <c r="H17" s="151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69" t="n"/>
      <c r="T17" s="69" t="n"/>
      <c r="U17" s="69" t="n"/>
      <c r="V17" s="69" t="n"/>
      <c r="W17" s="69" t="n"/>
      <c r="X17" s="69" t="n"/>
      <c r="Y17" s="69" t="n"/>
      <c r="Z17" s="69" t="n"/>
    </row>
    <row r="18">
      <c r="A18" s="52" t="n"/>
      <c r="B18" s="230">
        <f>RECEITAS!B13</f>
        <v/>
      </c>
      <c r="C18" s="76" t="n"/>
      <c r="D18" s="231" t="n"/>
      <c r="E18" s="231" t="n"/>
      <c r="F18" s="232" t="inlineStr">
        <is>
          <t>Período Inicial</t>
        </is>
      </c>
      <c r="G18" s="232" t="inlineStr">
        <is>
          <t>Período Final</t>
        </is>
      </c>
      <c r="H18" s="151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69" t="n"/>
      <c r="T18" s="69" t="n"/>
      <c r="U18" s="69" t="n"/>
      <c r="V18" s="69" t="n"/>
      <c r="W18" s="69" t="n"/>
      <c r="X18" s="69" t="n"/>
      <c r="Y18" s="69" t="n"/>
      <c r="Z18" s="69" t="n"/>
    </row>
    <row r="19">
      <c r="A19" s="52" t="n"/>
      <c r="B19" s="90" t="n"/>
      <c r="C19" s="90" t="n"/>
      <c r="D19" s="85" t="n"/>
      <c r="E19" s="85" t="n"/>
      <c r="F19" s="87">
        <f>RECEITAS!H14</f>
        <v/>
      </c>
      <c r="G19" s="87">
        <f>RECEITAS!I14</f>
        <v/>
      </c>
      <c r="H19" s="156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69" t="n"/>
      <c r="T19" s="69" t="n"/>
      <c r="U19" s="69" t="n"/>
      <c r="V19" s="69" t="n"/>
      <c r="W19" s="69" t="n"/>
      <c r="X19" s="69" t="n"/>
      <c r="Y19" s="69" t="n"/>
      <c r="Z19" s="69" t="n"/>
    </row>
    <row r="20">
      <c r="A20" s="52" t="n"/>
      <c r="B20" s="89" t="n"/>
      <c r="C20" s="89" t="n"/>
      <c r="D20" s="89" t="n"/>
      <c r="E20" s="89" t="n"/>
      <c r="F20" s="89" t="n"/>
      <c r="G20" s="89" t="n"/>
      <c r="H20" s="88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69" t="n"/>
      <c r="T20" s="69" t="n"/>
      <c r="U20" s="69" t="n"/>
      <c r="V20" s="69" t="n"/>
      <c r="W20" s="69" t="n"/>
      <c r="X20" s="69" t="n"/>
      <c r="Y20" s="69" t="n"/>
      <c r="Z20" s="69" t="n"/>
    </row>
    <row r="21" ht="15.75" customHeight="1" s="673">
      <c r="A21" s="52" t="n"/>
      <c r="B21" s="233" t="inlineStr">
        <is>
          <t>RESUMO PF</t>
        </is>
      </c>
      <c r="C21" s="234" t="n"/>
      <c r="D21" s="235" t="inlineStr">
        <is>
          <t>REALIZADO</t>
        </is>
      </c>
      <c r="E21" s="235" t="inlineStr">
        <is>
          <t>PROJETADO</t>
        </is>
      </c>
      <c r="F21" s="236">
        <f>G17</f>
        <v/>
      </c>
      <c r="G21" s="236">
        <f>F21-1</f>
        <v/>
      </c>
      <c r="H21" s="159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69" t="n"/>
      <c r="T21" s="69" t="n"/>
      <c r="U21" s="69" t="n"/>
      <c r="V21" s="69" t="n"/>
      <c r="W21" s="69" t="n"/>
      <c r="X21" s="69" t="n"/>
      <c r="Y21" s="69" t="n"/>
      <c r="Z21" s="69" t="n"/>
    </row>
    <row r="22" ht="15.75" customHeight="1" s="673">
      <c r="A22" s="52" t="n"/>
      <c r="B22" s="93" t="inlineStr">
        <is>
          <t>RECEITAS TOTAIS</t>
        </is>
      </c>
      <c r="C22" s="93" t="n"/>
      <c r="D22" s="237">
        <f>RECEITAS!G63</f>
        <v/>
      </c>
      <c r="E22" s="237">
        <f>RECEITAS!H63</f>
        <v/>
      </c>
      <c r="F22" s="238">
        <f>D22+E22</f>
        <v/>
      </c>
      <c r="G22" s="237">
        <f>RECEITAS!I46</f>
        <v/>
      </c>
      <c r="H22" s="159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69" t="n"/>
      <c r="T22" s="69" t="n"/>
      <c r="U22" s="69" t="n"/>
      <c r="V22" s="69" t="n"/>
      <c r="W22" s="69" t="n"/>
      <c r="X22" s="69" t="n"/>
      <c r="Y22" s="69" t="n"/>
      <c r="Z22" s="69" t="n"/>
    </row>
    <row r="23" ht="15.75" customHeight="1" s="673">
      <c r="A23" s="52" t="n"/>
      <c r="B23" s="239" t="inlineStr">
        <is>
          <t>DESPESAS TOTAIS</t>
        </is>
      </c>
      <c r="C23" s="239" t="n"/>
      <c r="D23" s="240">
        <f>DESPESAS!D44+SUMIF(DESPESAS!D48:D54,"pf",DESPESAS!E48:E54)</f>
        <v/>
      </c>
      <c r="E23" s="240">
        <f>DESPESAS!E44+SUMIF(DESPESAS!D48:D54,"pf",DESPESAS!F48:F54)</f>
        <v/>
      </c>
      <c r="F23" s="241">
        <f>D23+E23</f>
        <v/>
      </c>
      <c r="G23" s="240">
        <f>DESPESAS!G44+DESPESAS!G57</f>
        <v/>
      </c>
      <c r="H23" s="159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69" t="n"/>
      <c r="T23" s="69" t="n"/>
      <c r="U23" s="69" t="n"/>
      <c r="V23" s="69" t="n"/>
      <c r="W23" s="69" t="n"/>
      <c r="X23" s="69" t="n"/>
      <c r="Y23" s="69" t="n"/>
      <c r="Z23" s="69" t="n"/>
    </row>
    <row r="24" ht="15.75" customHeight="1" s="673">
      <c r="A24" s="52" t="n"/>
      <c r="B24" s="242" t="inlineStr">
        <is>
          <t>RESULTADO</t>
        </is>
      </c>
      <c r="C24" s="242" t="n"/>
      <c r="D24" s="243">
        <f>D22-D23</f>
        <v/>
      </c>
      <c r="E24" s="243">
        <f>E22-E23</f>
        <v/>
      </c>
      <c r="F24" s="243">
        <f>F22-F23</f>
        <v/>
      </c>
      <c r="G24" s="243">
        <f>G22-G23</f>
        <v/>
      </c>
      <c r="H24" s="159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69" t="n"/>
      <c r="T24" s="69" t="n"/>
      <c r="U24" s="69" t="n"/>
      <c r="V24" s="69" t="n"/>
      <c r="W24" s="69" t="n"/>
      <c r="X24" s="69" t="n"/>
      <c r="Y24" s="69" t="n"/>
      <c r="Z24" s="69" t="n"/>
    </row>
    <row r="25" ht="15.75" customHeight="1" s="673">
      <c r="A25" s="52" t="n"/>
      <c r="B25" s="244" t="n"/>
      <c r="C25" s="244" t="n"/>
      <c r="D25" s="245" t="n"/>
      <c r="E25" s="245" t="n"/>
      <c r="F25" s="245" t="n"/>
      <c r="G25" s="245" t="n"/>
      <c r="H25" s="159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69" t="n"/>
      <c r="T25" s="69" t="n"/>
      <c r="U25" s="69" t="n"/>
      <c r="V25" s="69" t="n"/>
      <c r="W25" s="69" t="n"/>
      <c r="X25" s="69" t="n"/>
      <c r="Y25" s="69" t="n"/>
      <c r="Z25" s="69" t="n"/>
    </row>
    <row r="26" ht="15.75" customHeight="1" s="673">
      <c r="A26" s="52" t="n"/>
      <c r="B26" s="246" t="inlineStr">
        <is>
          <t>ESTRUTURA DE EXPLORAÇÃO / RESULTADO</t>
        </is>
      </c>
      <c r="C26" s="247" t="n"/>
      <c r="D26" s="247" t="n"/>
      <c r="E26" s="247" t="n"/>
      <c r="F26" s="247" t="n"/>
      <c r="G26" s="247" t="n"/>
      <c r="H26" s="131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69" t="n"/>
      <c r="T26" s="69" t="n"/>
      <c r="U26" s="69" t="n"/>
      <c r="V26" s="69" t="n"/>
      <c r="W26" s="69" t="n"/>
      <c r="X26" s="69" t="n"/>
      <c r="Y26" s="69" t="n"/>
      <c r="Z26" s="69" t="n"/>
    </row>
    <row r="27" ht="15.75" customHeight="1" s="673">
      <c r="A27" s="52" t="n"/>
      <c r="B27" s="248" t="inlineStr">
        <is>
          <t>PARCEIROS</t>
        </is>
      </c>
      <c r="C27" s="248" t="inlineStr">
        <is>
          <t>% RECEITA</t>
        </is>
      </c>
      <c r="D27" s="248" t="inlineStr">
        <is>
          <t>% DESPESAS</t>
        </is>
      </c>
      <c r="E27" s="248" t="inlineStr">
        <is>
          <t>PREJUÍZO A 
COMPENSAR</t>
        </is>
      </c>
      <c r="F27" s="248" t="inlineStr">
        <is>
          <t>IRPF 
CALCULADO</t>
        </is>
      </c>
      <c r="G27" s="248" t="inlineStr">
        <is>
          <t>PREJUÍZO 
ACUMULADO</t>
        </is>
      </c>
      <c r="H27" s="159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69" t="n"/>
      <c r="T27" s="69" t="n"/>
      <c r="U27" s="69" t="n"/>
      <c r="V27" s="69" t="n"/>
      <c r="W27" s="69" t="n"/>
      <c r="X27" s="69" t="n"/>
      <c r="Y27" s="69" t="n"/>
      <c r="Z27" s="69" t="n"/>
    </row>
    <row r="28" ht="15.75" customHeight="1" s="673">
      <c r="A28" s="52" t="n"/>
      <c r="B28" s="249" t="inlineStr">
        <is>
          <t>PARCEIRO A</t>
        </is>
      </c>
      <c r="C28" s="250" t="n">
        <v>0.3333</v>
      </c>
      <c r="D28" s="250">
        <f>C28</f>
        <v/>
      </c>
      <c r="E28" s="251" t="n">
        <v>167185.35</v>
      </c>
      <c r="F28" s="252">
        <f>'RESULTADO DETALHADO'!J25</f>
        <v/>
      </c>
      <c r="G28" s="253">
        <f>ABS(IF('RESULTADO DETALHADO'!J20&lt;0,'RESULTADO DETALHADO'!J20,0))</f>
        <v/>
      </c>
      <c r="H28" s="159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69" t="n"/>
      <c r="T28" s="69" t="n"/>
      <c r="U28" s="69" t="n"/>
      <c r="V28" s="69" t="n"/>
      <c r="W28" s="69" t="n"/>
      <c r="X28" s="69" t="n"/>
      <c r="Y28" s="69" t="n"/>
      <c r="Z28" s="69" t="n"/>
    </row>
    <row r="29" ht="15.75" customHeight="1" s="673">
      <c r="A29" s="52" t="n"/>
      <c r="B29" s="249" t="inlineStr">
        <is>
          <t>PARCEIRO B</t>
        </is>
      </c>
      <c r="C29" s="250" t="n">
        <v>0.3333</v>
      </c>
      <c r="D29" s="250">
        <f>C29</f>
        <v/>
      </c>
      <c r="E29" s="251" t="n">
        <v>167186.34</v>
      </c>
      <c r="F29" s="252">
        <f>'RESULTADO DETALHADO'!J34</f>
        <v/>
      </c>
      <c r="G29" s="253">
        <f>ABS(IF('RESULTADO DETALHADO'!J29&lt;0,'RESULTADO DETALHADO'!J29,0))</f>
        <v/>
      </c>
      <c r="H29" s="159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69" t="n"/>
      <c r="T29" s="69" t="n"/>
      <c r="U29" s="69" t="n"/>
      <c r="V29" s="69" t="n"/>
      <c r="W29" s="69" t="n"/>
      <c r="X29" s="69" t="n"/>
      <c r="Y29" s="69" t="n"/>
      <c r="Z29" s="69" t="n"/>
    </row>
    <row r="30" ht="15.75" customHeight="1" s="673">
      <c r="A30" s="52" t="n"/>
      <c r="B30" s="249" t="inlineStr">
        <is>
          <t>PARCEIRO C</t>
        </is>
      </c>
      <c r="C30" s="250" t="n">
        <v>0.3334</v>
      </c>
      <c r="D30" s="250">
        <f>C30</f>
        <v/>
      </c>
      <c r="E30" s="251" t="n">
        <v>189254.39</v>
      </c>
      <c r="F30" s="252">
        <f>'RESULTADO DETALHADO'!J43</f>
        <v/>
      </c>
      <c r="G30" s="253">
        <f>ABS(IF('RESULTADO DETALHADO'!J38&lt;0,'RESULTADO DETALHADO'!J38,0))</f>
        <v/>
      </c>
      <c r="H30" s="254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69" t="n"/>
      <c r="T30" s="69" t="n"/>
      <c r="U30" s="69" t="n"/>
      <c r="V30" s="69" t="n"/>
      <c r="W30" s="69" t="n"/>
      <c r="X30" s="69" t="n"/>
      <c r="Y30" s="69" t="n"/>
      <c r="Z30" s="69" t="n"/>
    </row>
    <row r="31" ht="15.75" customHeight="1" s="673">
      <c r="A31" s="52" t="n"/>
      <c r="B31" s="249" t="n"/>
      <c r="C31" s="250" t="n"/>
      <c r="D31" s="250">
        <f>C31</f>
        <v/>
      </c>
      <c r="E31" s="255" t="n"/>
      <c r="F31" s="252">
        <f>'RESULTADO DETALHADO'!J52</f>
        <v/>
      </c>
      <c r="G31" s="253">
        <f>ABS(IF('RESULTADO DETALHADO'!J47&lt;0,'RESULTADO DETALHADO'!J47,0))</f>
        <v/>
      </c>
      <c r="H31" s="159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69" t="n"/>
      <c r="T31" s="69" t="n"/>
      <c r="U31" s="69" t="n"/>
      <c r="V31" s="69" t="n"/>
      <c r="W31" s="69" t="n"/>
      <c r="X31" s="69" t="n"/>
      <c r="Y31" s="69" t="n"/>
      <c r="Z31" s="69" t="n"/>
    </row>
    <row r="32" ht="15.75" customHeight="1" s="673">
      <c r="A32" s="52" t="n"/>
      <c r="B32" s="249" t="n"/>
      <c r="C32" s="250" t="n"/>
      <c r="D32" s="250">
        <f>C32</f>
        <v/>
      </c>
      <c r="E32" s="255" t="n"/>
      <c r="F32" s="252">
        <f>'RESULTADO DETALHADO'!J61</f>
        <v/>
      </c>
      <c r="G32" s="253">
        <f>ABS(IF('RESULTADO DETALHADO'!J56&lt;0,'RESULTADO DETALHADO'!J56,0))</f>
        <v/>
      </c>
      <c r="H32" s="159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69" t="n"/>
      <c r="T32" s="69" t="n"/>
      <c r="U32" s="69" t="n"/>
      <c r="V32" s="69" t="n"/>
      <c r="W32" s="69" t="n"/>
      <c r="X32" s="69" t="n"/>
      <c r="Y32" s="69" t="n"/>
      <c r="Z32" s="69" t="n"/>
    </row>
    <row r="33" ht="15.75" customHeight="1" s="673">
      <c r="A33" s="52" t="n"/>
      <c r="B33" s="249" t="n"/>
      <c r="C33" s="250" t="n"/>
      <c r="D33" s="250">
        <f>C33</f>
        <v/>
      </c>
      <c r="E33" s="255" t="n"/>
      <c r="F33" s="252">
        <f>'RESULTADO DETALHADO'!J70</f>
        <v/>
      </c>
      <c r="G33" s="253">
        <f>ABS(IF('RESULTADO DETALHADO'!J65&lt;0,'RESULTADO DETALHADO'!J65,0))</f>
        <v/>
      </c>
      <c r="H33" s="159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69" t="n"/>
      <c r="T33" s="69" t="n"/>
      <c r="U33" s="69" t="n"/>
      <c r="V33" s="69" t="n"/>
      <c r="W33" s="69" t="n"/>
      <c r="X33" s="69" t="n"/>
      <c r="Y33" s="69" t="n"/>
      <c r="Z33" s="69" t="n"/>
    </row>
    <row r="34" ht="15.75" customHeight="1" s="673">
      <c r="A34" s="52" t="n"/>
      <c r="B34" s="249" t="n"/>
      <c r="C34" s="250" t="n"/>
      <c r="D34" s="250">
        <f>C34</f>
        <v/>
      </c>
      <c r="E34" s="255" t="n"/>
      <c r="F34" s="252">
        <f>'RESULTADO DETALHADO'!J79</f>
        <v/>
      </c>
      <c r="G34" s="253">
        <f>ABS(IF('RESULTADO DETALHADO'!J74&lt;0,'RESULTADO DETALHADO'!J74,0))</f>
        <v/>
      </c>
      <c r="H34" s="159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69" t="n"/>
      <c r="T34" s="69" t="n"/>
      <c r="U34" s="69" t="n"/>
      <c r="V34" s="69" t="n"/>
      <c r="W34" s="69" t="n"/>
      <c r="X34" s="69" t="n"/>
      <c r="Y34" s="69" t="n"/>
      <c r="Z34" s="69" t="n"/>
    </row>
    <row r="35" ht="15.75" customHeight="1" s="673">
      <c r="A35" s="52" t="n"/>
      <c r="B35" s="249" t="n"/>
      <c r="C35" s="250" t="n"/>
      <c r="D35" s="250">
        <f>C35</f>
        <v/>
      </c>
      <c r="E35" s="255" t="n"/>
      <c r="F35" s="252">
        <f>'RESULTADO DETALHADO'!J88</f>
        <v/>
      </c>
      <c r="G35" s="253">
        <f>ABS(IF('RESULTADO DETALHADO'!J83&lt;0,'RESULTADO DETALHADO'!J83,0))</f>
        <v/>
      </c>
      <c r="H35" s="159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69" t="n"/>
      <c r="T35" s="69" t="n"/>
      <c r="U35" s="69" t="n"/>
      <c r="V35" s="69" t="n"/>
      <c r="W35" s="69" t="n"/>
      <c r="X35" s="69" t="n"/>
      <c r="Y35" s="69" t="n"/>
      <c r="Z35" s="69" t="n"/>
    </row>
    <row r="36" ht="15.75" customHeight="1" s="673">
      <c r="A36" s="52" t="n"/>
      <c r="B36" s="256" t="n"/>
      <c r="C36" s="257">
        <f>SUM(C28:C35)</f>
        <v/>
      </c>
      <c r="D36" s="257">
        <f>SUM(D28:D35)</f>
        <v/>
      </c>
      <c r="E36" s="258">
        <f>SUM(E28:E32)</f>
        <v/>
      </c>
      <c r="F36" s="258">
        <f>SUM(F28:F34)</f>
        <v/>
      </c>
      <c r="G36" s="258">
        <f>SUM(G28:G34)</f>
        <v/>
      </c>
      <c r="H36" s="159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69" t="n"/>
      <c r="T36" s="69" t="n"/>
      <c r="U36" s="69" t="n"/>
      <c r="V36" s="69" t="n"/>
      <c r="W36" s="69" t="n"/>
      <c r="X36" s="69" t="n"/>
      <c r="Y36" s="69" t="n"/>
      <c r="Z36" s="69" t="n"/>
    </row>
    <row r="37" ht="15.75" customHeight="1" s="673">
      <c r="A37" s="52" t="n"/>
      <c r="B37" s="247" t="n"/>
      <c r="C37" s="247" t="n"/>
      <c r="D37" s="247" t="n"/>
      <c r="E37" s="247" t="n"/>
      <c r="F37" s="247" t="n"/>
      <c r="G37" s="247" t="n"/>
      <c r="H37" s="131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69" t="n"/>
      <c r="T37" s="69" t="n"/>
      <c r="U37" s="69" t="n"/>
      <c r="V37" s="69" t="n"/>
      <c r="W37" s="69" t="n"/>
      <c r="X37" s="69" t="n"/>
      <c r="Y37" s="69" t="n"/>
      <c r="Z37" s="69" t="n"/>
    </row>
    <row r="38" ht="15.75" customHeight="1" s="673">
      <c r="A38" s="52" t="n"/>
      <c r="B38" s="259" t="inlineStr">
        <is>
          <t>PESSOA JURÍDICA</t>
        </is>
      </c>
      <c r="C38" s="247" t="n"/>
      <c r="D38" s="247" t="n"/>
      <c r="E38" s="247" t="n"/>
      <c r="F38" s="247" t="n"/>
      <c r="G38" s="247" t="n"/>
      <c r="H38" s="131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69" t="n"/>
      <c r="T38" s="69" t="n"/>
      <c r="U38" s="69" t="n"/>
      <c r="V38" s="69" t="n"/>
      <c r="W38" s="69" t="n"/>
      <c r="X38" s="69" t="n"/>
      <c r="Y38" s="69" t="n"/>
      <c r="Z38" s="69" t="n"/>
    </row>
    <row r="39" ht="15.75" customHeight="1" s="673">
      <c r="A39" s="52" t="n"/>
      <c r="B39" s="93" t="inlineStr">
        <is>
          <t>RECEITAS TOTAIS</t>
        </is>
      </c>
      <c r="C39" s="93" t="n"/>
      <c r="D39" s="93" t="n"/>
      <c r="E39" s="93" t="n"/>
      <c r="F39" s="93" t="n"/>
      <c r="G39" s="260">
        <f>RECEITAS!I64</f>
        <v/>
      </c>
      <c r="H39" s="159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69" t="n"/>
      <c r="T39" s="69" t="n"/>
      <c r="U39" s="69" t="n"/>
      <c r="V39" s="69" t="n"/>
      <c r="W39" s="69" t="n"/>
      <c r="X39" s="69" t="n"/>
      <c r="Y39" s="69" t="n"/>
      <c r="Z39" s="69" t="n"/>
    </row>
    <row r="40" ht="15.75" customHeight="1" s="673">
      <c r="A40" s="52" t="n"/>
      <c r="B40" s="689" t="inlineStr">
        <is>
          <t>DESPESAS TOTAIS</t>
        </is>
      </c>
      <c r="C40" s="678" t="n"/>
      <c r="D40" s="678" t="n"/>
      <c r="E40" s="678" t="n"/>
      <c r="F40" s="676" t="n"/>
      <c r="G40" s="262">
        <f>DESPESAS!G59</f>
        <v/>
      </c>
      <c r="H40" s="159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69" t="n"/>
      <c r="T40" s="69" t="n"/>
      <c r="U40" s="69" t="n"/>
      <c r="V40" s="69" t="n"/>
      <c r="W40" s="69" t="n"/>
      <c r="X40" s="69" t="n"/>
      <c r="Y40" s="69" t="n"/>
      <c r="Z40" s="69" t="n"/>
    </row>
    <row r="41" ht="15.75" customHeight="1" s="673">
      <c r="A41" s="52" t="n"/>
      <c r="B41" s="158" t="n"/>
      <c r="C41" s="158" t="n"/>
      <c r="D41" s="158" t="n"/>
      <c r="E41" s="158" t="n"/>
      <c r="F41" s="158" t="n"/>
      <c r="G41" s="128" t="n"/>
      <c r="H41" s="131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69" t="n"/>
      <c r="T41" s="69" t="n"/>
      <c r="U41" s="69" t="n"/>
      <c r="V41" s="69" t="n"/>
      <c r="W41" s="69" t="n"/>
      <c r="X41" s="69" t="n"/>
      <c r="Y41" s="69" t="n"/>
      <c r="Z41" s="69" t="n"/>
    </row>
    <row r="42" ht="15.75" customHeight="1" s="673">
      <c r="A42" s="52" t="n"/>
      <c r="B42" s="263" t="inlineStr">
        <is>
          <t>IMPOSTOS PJ</t>
        </is>
      </c>
      <c r="C42" s="264" t="n"/>
      <c r="D42" s="264" t="n"/>
      <c r="E42" s="265" t="n"/>
      <c r="F42" s="265" t="n"/>
      <c r="G42" s="88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69" t="n"/>
      <c r="T42" s="69" t="n"/>
      <c r="U42" s="69" t="n"/>
      <c r="V42" s="69" t="n"/>
      <c r="W42" s="69" t="n"/>
      <c r="X42" s="69" t="n"/>
      <c r="Y42" s="69" t="n"/>
      <c r="Z42" s="69" t="n"/>
    </row>
    <row r="43" ht="15.75" customHeight="1" s="673">
      <c r="A43" s="52" t="n"/>
      <c r="B43" s="266" t="inlineStr">
        <is>
          <t>IMPOSTOS</t>
        </is>
      </c>
      <c r="C43" s="267" t="n"/>
      <c r="D43" s="267" t="inlineStr">
        <is>
          <t>FUNRURAL*</t>
        </is>
      </c>
      <c r="E43" s="267" t="inlineStr">
        <is>
          <t>IRPJ/CSLL</t>
        </is>
      </c>
      <c r="F43" s="267" t="inlineStr">
        <is>
          <t>TOTAL</t>
        </is>
      </c>
      <c r="G43" s="88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69" t="n"/>
      <c r="T43" s="69" t="n"/>
      <c r="U43" s="69" t="n"/>
      <c r="V43" s="69" t="n"/>
      <c r="W43" s="69" t="n"/>
      <c r="X43" s="69" t="n"/>
      <c r="Y43" s="69" t="n"/>
      <c r="Z43" s="69" t="n"/>
    </row>
    <row r="44" ht="15.75" customHeight="1" s="673">
      <c r="A44" s="52" t="n"/>
      <c r="B44" s="268" t="inlineStr">
        <is>
          <t>2024 - PJ</t>
        </is>
      </c>
      <c r="C44" s="269" t="n"/>
      <c r="D44" s="270">
        <f>PJ!G28</f>
        <v/>
      </c>
      <c r="E44" s="270">
        <f>'Cálculo Imposto PJ'!K21+'Cálculo Imposto PJ'!N21</f>
        <v/>
      </c>
      <c r="F44" s="271">
        <f>D44+E44</f>
        <v/>
      </c>
      <c r="G44" s="88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69" t="n"/>
      <c r="T44" s="69" t="n"/>
      <c r="U44" s="69" t="n"/>
      <c r="V44" s="69" t="n"/>
      <c r="W44" s="69" t="n"/>
      <c r="X44" s="69" t="n"/>
      <c r="Y44" s="69" t="n"/>
      <c r="Z44" s="69" t="n"/>
    </row>
    <row r="45" ht="15.75" customHeight="1" s="673">
      <c r="A45" s="52" t="n"/>
      <c r="B45" s="690">
        <f>B42</f>
        <v/>
      </c>
      <c r="C45" s="678" t="n"/>
      <c r="D45" s="676" t="n"/>
      <c r="E45" s="271" t="n"/>
      <c r="F45" s="271">
        <f>SUM(F44)</f>
        <v/>
      </c>
      <c r="G45" s="88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69" t="n"/>
      <c r="T45" s="69" t="n"/>
      <c r="U45" s="69" t="n"/>
      <c r="V45" s="69" t="n"/>
      <c r="W45" s="69" t="n"/>
      <c r="X45" s="69" t="n"/>
      <c r="Y45" s="69" t="n"/>
      <c r="Z45" s="69" t="n"/>
    </row>
    <row r="46" ht="15.75" customHeight="1" s="673">
      <c r="A46" s="69" t="n"/>
      <c r="B46" s="691">
        <f>IF(RECEITAS!G14="FOLHA DE PAGAMENTO","Não tem cobrança de Funrural devido a opção de contribuição previdenciaria ser por Folha de Pagamento","")</f>
        <v/>
      </c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69" t="n"/>
      <c r="T46" s="69" t="n"/>
      <c r="U46" s="69" t="n"/>
      <c r="V46" s="69" t="n"/>
      <c r="W46" s="69" t="n"/>
      <c r="X46" s="69" t="n"/>
      <c r="Y46" s="69" t="n"/>
      <c r="Z46" s="69" t="n"/>
    </row>
    <row r="47" ht="15.75" customHeight="1" s="673">
      <c r="A47" s="69" t="n"/>
      <c r="B47" s="75" t="n"/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69" t="n"/>
      <c r="T47" s="69" t="n"/>
      <c r="U47" s="69" t="n"/>
      <c r="V47" s="69" t="n"/>
      <c r="W47" s="69" t="n"/>
      <c r="X47" s="69" t="n"/>
      <c r="Y47" s="69" t="n"/>
      <c r="Z47" s="69" t="n"/>
    </row>
    <row r="48" ht="15.75" customHeight="1" s="673">
      <c r="A48" s="69" t="n"/>
      <c r="B48" s="274" t="inlineStr">
        <is>
          <t>IMPOSTO INDIVIDUAL</t>
        </is>
      </c>
      <c r="C48" s="247" t="n"/>
      <c r="D48" s="247" t="n"/>
      <c r="E48" s="247" t="n"/>
      <c r="F48" s="247" t="n"/>
      <c r="G48" s="247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69" t="n"/>
      <c r="T48" s="69" t="n"/>
      <c r="U48" s="69" t="n"/>
      <c r="V48" s="69" t="n"/>
      <c r="W48" s="69" t="n"/>
      <c r="X48" s="69" t="n"/>
      <c r="Y48" s="69" t="n"/>
      <c r="Z48" s="69" t="n"/>
    </row>
    <row r="49" ht="15.75" customHeight="1" s="673">
      <c r="A49" s="83" t="n"/>
      <c r="B49" s="275" t="inlineStr">
        <is>
          <t>PARCEIROS</t>
        </is>
      </c>
      <c r="C49" s="275" t="inlineStr">
        <is>
          <t>PERCENTUAL</t>
        </is>
      </c>
      <c r="D49" s="276">
        <f> "PREJUÍZO A COMPENSAR " &amp;  G17-1</f>
        <v/>
      </c>
      <c r="E49" s="275">
        <f> "RECEITA
 " &amp;  G17</f>
        <v/>
      </c>
      <c r="F49" s="275">
        <f> "DESPESA
 " &amp;  G17</f>
        <v/>
      </c>
      <c r="G49" s="276">
        <f> "PREJUÍZO ACUMULADO 
PARA " &amp;  G17+1</f>
        <v/>
      </c>
      <c r="H49" s="88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69" t="n"/>
      <c r="T49" s="69" t="n"/>
      <c r="U49" s="69" t="n"/>
      <c r="V49" s="69" t="n"/>
      <c r="W49" s="69" t="n"/>
      <c r="X49" s="69" t="n"/>
      <c r="Y49" s="69" t="n"/>
      <c r="Z49" s="69" t="n"/>
    </row>
    <row r="50" ht="15.75" customHeight="1" s="673">
      <c r="A50" s="83" t="n"/>
      <c r="B50" s="249">
        <f>B28</f>
        <v/>
      </c>
      <c r="C50" s="250">
        <f>C28</f>
        <v/>
      </c>
      <c r="D50" s="255">
        <f>E28</f>
        <v/>
      </c>
      <c r="E50" s="277">
        <f>$F$22*C50</f>
        <v/>
      </c>
      <c r="F50" s="277">
        <f>$F$23*C50</f>
        <v/>
      </c>
      <c r="G50" s="253">
        <f>G28</f>
        <v/>
      </c>
      <c r="H50" s="88" t="n"/>
      <c r="I50" s="278">
        <f>IF(D50&gt;=(E50-F50),E50-F50,D50)</f>
        <v/>
      </c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69" t="n"/>
      <c r="T50" s="69" t="n"/>
      <c r="U50" s="69" t="n"/>
      <c r="V50" s="69" t="n"/>
      <c r="W50" s="69" t="n"/>
      <c r="X50" s="69" t="n"/>
      <c r="Y50" s="69" t="n"/>
      <c r="Z50" s="69" t="n"/>
    </row>
    <row r="51" ht="15.75" customHeight="1" s="673">
      <c r="A51" s="83" t="n"/>
      <c r="B51" s="249">
        <f>B29</f>
        <v/>
      </c>
      <c r="C51" s="250">
        <f>C29</f>
        <v/>
      </c>
      <c r="D51" s="255">
        <f>E29</f>
        <v/>
      </c>
      <c r="E51" s="277">
        <f>$F$22*C51</f>
        <v/>
      </c>
      <c r="F51" s="277">
        <f>$F$23*C51</f>
        <v/>
      </c>
      <c r="G51" s="253">
        <f>G29</f>
        <v/>
      </c>
      <c r="H51" s="88" t="n"/>
      <c r="I51" s="278">
        <f>IF(D51&gt;=(E51-F51),E51-F51,D51)</f>
        <v/>
      </c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69" t="n"/>
      <c r="T51" s="69" t="n"/>
      <c r="U51" s="69" t="n"/>
      <c r="V51" s="69" t="n"/>
      <c r="W51" s="69" t="n"/>
      <c r="X51" s="69" t="n"/>
      <c r="Y51" s="69" t="n"/>
      <c r="Z51" s="69" t="n"/>
    </row>
    <row r="52" ht="15.75" customHeight="1" s="673">
      <c r="A52" s="83" t="n"/>
      <c r="B52" s="249">
        <f>B30</f>
        <v/>
      </c>
      <c r="C52" s="250">
        <f>C30</f>
        <v/>
      </c>
      <c r="D52" s="255">
        <f>E30</f>
        <v/>
      </c>
      <c r="E52" s="277">
        <f>$F$22*C52</f>
        <v/>
      </c>
      <c r="F52" s="277">
        <f>$F$23*C52</f>
        <v/>
      </c>
      <c r="G52" s="253">
        <f>G30</f>
        <v/>
      </c>
      <c r="H52" s="88" t="n"/>
      <c r="I52" s="278">
        <f>IF(D52&gt;=(E52-F52),E52-F52,D52)</f>
        <v/>
      </c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69" t="n"/>
      <c r="T52" s="69" t="n"/>
      <c r="U52" s="69" t="n"/>
      <c r="V52" s="69" t="n"/>
      <c r="W52" s="69" t="n"/>
      <c r="X52" s="69" t="n"/>
      <c r="Y52" s="69" t="n"/>
      <c r="Z52" s="69" t="n"/>
    </row>
    <row r="53" ht="15.75" customHeight="1" s="673">
      <c r="A53" s="83" t="n"/>
      <c r="B53" s="249">
        <f>B31</f>
        <v/>
      </c>
      <c r="C53" s="250">
        <f>C31</f>
        <v/>
      </c>
      <c r="D53" s="255">
        <f>E31</f>
        <v/>
      </c>
      <c r="E53" s="277">
        <f>$F$22*C53</f>
        <v/>
      </c>
      <c r="F53" s="277">
        <f>$F$23*C53</f>
        <v/>
      </c>
      <c r="G53" s="253">
        <f>G31</f>
        <v/>
      </c>
      <c r="H53" s="159" t="n"/>
      <c r="I53" s="278">
        <f>IF(D53&gt;=(E53-F53),E53-F53,D53)</f>
        <v/>
      </c>
      <c r="J53" s="69" t="n"/>
      <c r="K53" s="69" t="n"/>
      <c r="L53" s="69" t="n"/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  <c r="Z53" s="69" t="n"/>
    </row>
    <row r="54" ht="15.75" customHeight="1" s="673">
      <c r="A54" s="83" t="n"/>
      <c r="B54" s="249">
        <f>B32</f>
        <v/>
      </c>
      <c r="C54" s="250">
        <f>C32</f>
        <v/>
      </c>
      <c r="D54" s="255" t="n"/>
      <c r="E54" s="277">
        <f>$F$22*C54</f>
        <v/>
      </c>
      <c r="F54" s="277">
        <f>$F$23*C54</f>
        <v/>
      </c>
      <c r="G54" s="253">
        <f>G32</f>
        <v/>
      </c>
      <c r="H54" s="88" t="n"/>
      <c r="I54" s="278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69" t="n"/>
      <c r="T54" s="69" t="n"/>
      <c r="U54" s="69" t="n"/>
      <c r="V54" s="69" t="n"/>
      <c r="W54" s="69" t="n"/>
      <c r="X54" s="69" t="n"/>
      <c r="Y54" s="69" t="n"/>
      <c r="Z54" s="69" t="n"/>
    </row>
    <row r="55" ht="15.75" customHeight="1" s="673">
      <c r="A55" s="83" t="n"/>
      <c r="B55" s="249">
        <f>B33</f>
        <v/>
      </c>
      <c r="C55" s="250">
        <f>C33</f>
        <v/>
      </c>
      <c r="D55" s="255" t="n"/>
      <c r="E55" s="277">
        <f>$F$22*C55</f>
        <v/>
      </c>
      <c r="F55" s="277">
        <f>$F$23*C55</f>
        <v/>
      </c>
      <c r="G55" s="253">
        <f>G33</f>
        <v/>
      </c>
      <c r="H55" s="88" t="n"/>
      <c r="I55" s="278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69" t="n"/>
      <c r="T55" s="69" t="n"/>
      <c r="U55" s="69" t="n"/>
      <c r="V55" s="69" t="n"/>
      <c r="W55" s="69" t="n"/>
      <c r="X55" s="69" t="n"/>
      <c r="Y55" s="69" t="n"/>
      <c r="Z55" s="69" t="n"/>
    </row>
    <row r="56" ht="15.75" customHeight="1" s="673">
      <c r="A56" s="83" t="n"/>
      <c r="B56" s="249">
        <f>B34</f>
        <v/>
      </c>
      <c r="C56" s="250">
        <f>C32</f>
        <v/>
      </c>
      <c r="D56" s="255">
        <f>E32</f>
        <v/>
      </c>
      <c r="E56" s="277">
        <f>$F$22*C56</f>
        <v/>
      </c>
      <c r="F56" s="277">
        <f>$F$23*C56</f>
        <v/>
      </c>
      <c r="G56" s="253">
        <f>G34</f>
        <v/>
      </c>
      <c r="H56" s="88" t="n"/>
      <c r="I56" s="278">
        <f>IF(D56&gt;=(E56-F56),E56-F56,D56)</f>
        <v/>
      </c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69" t="n"/>
      <c r="T56" s="69" t="n"/>
      <c r="U56" s="69" t="n"/>
      <c r="V56" s="69" t="n"/>
      <c r="W56" s="69" t="n"/>
      <c r="X56" s="69" t="n"/>
      <c r="Y56" s="69" t="n"/>
      <c r="Z56" s="69" t="n"/>
    </row>
    <row r="57" ht="15.75" customHeight="1" s="673">
      <c r="A57" s="83" t="n"/>
      <c r="B57" s="249">
        <f>B35</f>
        <v/>
      </c>
      <c r="C57" s="250">
        <f>C33</f>
        <v/>
      </c>
      <c r="D57" s="255">
        <f>E33</f>
        <v/>
      </c>
      <c r="E57" s="277">
        <f>$F$22*C57</f>
        <v/>
      </c>
      <c r="F57" s="277">
        <f>$F$23*C57</f>
        <v/>
      </c>
      <c r="G57" s="253">
        <f>G35</f>
        <v/>
      </c>
      <c r="H57" s="88" t="n"/>
      <c r="I57" s="278">
        <f>IF(D57&gt;=(E57-F57),E57-F57,D57)</f>
        <v/>
      </c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69" t="n"/>
      <c r="T57" s="69" t="n"/>
      <c r="U57" s="69" t="n"/>
      <c r="V57" s="69" t="n"/>
      <c r="W57" s="69" t="n"/>
      <c r="X57" s="69" t="n"/>
      <c r="Y57" s="69" t="n"/>
      <c r="Z57" s="69" t="n"/>
    </row>
    <row r="58" ht="15.75" customHeight="1" s="673">
      <c r="A58" s="83" t="n"/>
      <c r="B58" s="279" t="n"/>
      <c r="C58" s="280" t="n"/>
      <c r="D58" s="280" t="n"/>
      <c r="E58" s="281" t="n"/>
      <c r="F58" s="281" t="n"/>
      <c r="G58" s="280">
        <f>SUM(G50:G57)</f>
        <v/>
      </c>
      <c r="H58" s="88" t="n"/>
      <c r="I58" s="278">
        <f>SUM(I50:I57)</f>
        <v/>
      </c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69" t="n"/>
      <c r="T58" s="69" t="n"/>
      <c r="U58" s="69" t="n"/>
      <c r="V58" s="69" t="n"/>
      <c r="W58" s="69" t="n"/>
      <c r="X58" s="69" t="n"/>
      <c r="Y58" s="69" t="n"/>
      <c r="Z58" s="69" t="n"/>
    </row>
    <row r="59" ht="15.75" customHeight="1" s="673">
      <c r="A59" s="69" t="n"/>
      <c r="B59" s="128" t="n"/>
      <c r="C59" s="128" t="n"/>
      <c r="D59" s="128" t="n"/>
      <c r="E59" s="128" t="n"/>
      <c r="F59" s="128" t="n"/>
      <c r="G59" s="128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69" t="n"/>
      <c r="T59" s="69" t="n"/>
      <c r="U59" s="69" t="n"/>
      <c r="V59" s="69" t="n"/>
      <c r="W59" s="69" t="n"/>
      <c r="X59" s="69" t="n"/>
      <c r="Y59" s="69" t="n"/>
      <c r="Z59" s="69" t="n"/>
    </row>
    <row r="60" ht="15.75" customHeight="1" s="673">
      <c r="A60" s="69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69" t="n"/>
      <c r="T60" s="69" t="n"/>
      <c r="U60" s="69" t="n"/>
      <c r="V60" s="69" t="n"/>
      <c r="W60" s="69" t="n"/>
      <c r="X60" s="69" t="n"/>
      <c r="Y60" s="69" t="n"/>
      <c r="Z60" s="69" t="n"/>
    </row>
    <row r="61" ht="15.75" customHeight="1" s="673">
      <c r="A61" s="69" t="n"/>
      <c r="B61" s="75" t="n"/>
      <c r="C61" s="75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69" t="n"/>
      <c r="T61" s="69" t="n"/>
      <c r="U61" s="69" t="n"/>
      <c r="V61" s="69" t="n"/>
      <c r="W61" s="69" t="n"/>
      <c r="X61" s="69" t="n"/>
      <c r="Y61" s="69" t="n"/>
      <c r="Z61" s="69" t="n"/>
    </row>
    <row r="62" ht="15.75" customHeight="1" s="673">
      <c r="A62" s="69" t="n"/>
      <c r="B62" s="282" t="inlineStr">
        <is>
          <t>Renda Global Ajustada</t>
        </is>
      </c>
      <c r="C62" s="75" t="n"/>
      <c r="D62" s="75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69" t="n"/>
      <c r="T62" s="69" t="n"/>
      <c r="U62" s="69" t="n"/>
      <c r="V62" s="69" t="n"/>
      <c r="W62" s="69" t="n"/>
      <c r="X62" s="69" t="n"/>
      <c r="Y62" s="69" t="n"/>
      <c r="Z62" s="69" t="n"/>
    </row>
    <row r="63" ht="15.75" customHeight="1" s="673">
      <c r="A63" s="69" t="n"/>
      <c r="B63" s="283">
        <f>SUM(Total_Salários_Particular, Total_Aluguéis_Particular, Total_Dividendos_Particular, Total_Aplicações_Tributáveis, Resultado_Positivo_Rural_PF)</f>
        <v/>
      </c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69" t="n"/>
      <c r="T63" s="69" t="n"/>
      <c r="U63" s="69" t="n"/>
      <c r="V63" s="69" t="n"/>
      <c r="W63" s="69" t="n"/>
      <c r="X63" s="69" t="n"/>
      <c r="Y63" s="69" t="n"/>
      <c r="Z63" s="69" t="n"/>
    </row>
    <row r="64" ht="15.75" customHeight="1" s="673">
      <c r="A64" s="69" t="n"/>
      <c r="B64" s="75" t="n"/>
      <c r="C64" s="75" t="n"/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69" t="n"/>
      <c r="T64" s="69" t="n"/>
      <c r="U64" s="69" t="n"/>
      <c r="V64" s="69" t="n"/>
      <c r="W64" s="69" t="n"/>
      <c r="X64" s="69" t="n"/>
      <c r="Y64" s="69" t="n"/>
      <c r="Z64" s="69" t="n"/>
    </row>
    <row r="65" ht="15.75" customHeight="1" s="673">
      <c r="A65" s="69" t="n"/>
      <c r="B65" s="75" t="n"/>
      <c r="C65" s="75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69" t="n"/>
      <c r="T65" s="69" t="n"/>
      <c r="U65" s="69" t="n"/>
      <c r="V65" s="69" t="n"/>
      <c r="W65" s="69" t="n"/>
      <c r="X65" s="69" t="n"/>
      <c r="Y65" s="69" t="n"/>
      <c r="Z65" s="69" t="n"/>
    </row>
    <row r="66" ht="15.75" customHeight="1" s="673">
      <c r="A66" s="69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69" t="n"/>
      <c r="T66" s="69" t="n"/>
      <c r="U66" s="69" t="n"/>
      <c r="V66" s="69" t="n"/>
      <c r="W66" s="69" t="n"/>
      <c r="X66" s="69" t="n"/>
      <c r="Y66" s="69" t="n"/>
      <c r="Z66" s="69" t="n"/>
    </row>
    <row r="67" ht="15.75" customHeight="1" s="673">
      <c r="A67" s="69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69" t="n"/>
      <c r="T67" s="69" t="n"/>
      <c r="U67" s="69" t="n"/>
      <c r="V67" s="69" t="n"/>
      <c r="W67" s="69" t="n"/>
      <c r="X67" s="69" t="n"/>
      <c r="Y67" s="69" t="n"/>
      <c r="Z67" s="69" t="n"/>
    </row>
    <row r="68" ht="15.75" customHeight="1" s="673">
      <c r="A68" s="69" t="n"/>
      <c r="B68" s="75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69" t="n"/>
      <c r="T68" s="69" t="n"/>
      <c r="U68" s="69" t="n"/>
      <c r="V68" s="69" t="n"/>
      <c r="W68" s="69" t="n"/>
      <c r="X68" s="69" t="n"/>
      <c r="Y68" s="69" t="n"/>
      <c r="Z68" s="69" t="n"/>
    </row>
    <row r="69" ht="15.75" customHeight="1" s="673">
      <c r="A69" s="69" t="n"/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69" t="n"/>
      <c r="T69" s="69" t="n"/>
      <c r="U69" s="69" t="n"/>
      <c r="V69" s="69" t="n"/>
      <c r="W69" s="69" t="n"/>
      <c r="X69" s="69" t="n"/>
      <c r="Y69" s="69" t="n"/>
      <c r="Z69" s="69" t="n"/>
    </row>
    <row r="70" ht="15.75" customHeight="1" s="673">
      <c r="A70" s="69" t="n"/>
      <c r="B70" s="75" t="n"/>
      <c r="C70" s="75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69" t="n"/>
      <c r="T70" s="69" t="n"/>
      <c r="U70" s="69" t="n"/>
      <c r="V70" s="69" t="n"/>
      <c r="W70" s="69" t="n"/>
      <c r="X70" s="69" t="n"/>
      <c r="Y70" s="69" t="n"/>
      <c r="Z70" s="69" t="n"/>
    </row>
    <row r="71" ht="15.75" customHeight="1" s="673">
      <c r="A71" s="69" t="n"/>
      <c r="B71" s="75" t="n"/>
      <c r="C71" s="75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69" t="n"/>
      <c r="T71" s="69" t="n"/>
      <c r="U71" s="69" t="n"/>
      <c r="V71" s="69" t="n"/>
      <c r="W71" s="69" t="n"/>
      <c r="X71" s="69" t="n"/>
      <c r="Y71" s="69" t="n"/>
      <c r="Z71" s="69" t="n"/>
    </row>
    <row r="72" ht="15.75" customHeight="1" s="673">
      <c r="A72" s="69" t="n"/>
      <c r="B72" s="75" t="n"/>
      <c r="C72" s="75" t="n"/>
      <c r="D72" s="75" t="n"/>
      <c r="E72" s="75" t="n"/>
      <c r="F72" s="75" t="n"/>
      <c r="G72" s="75" t="n"/>
      <c r="H72" s="75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69" t="n"/>
      <c r="T72" s="69" t="n"/>
      <c r="U72" s="69" t="n"/>
      <c r="V72" s="69" t="n"/>
      <c r="W72" s="69" t="n"/>
      <c r="X72" s="69" t="n"/>
      <c r="Y72" s="69" t="n"/>
      <c r="Z72" s="69" t="n"/>
    </row>
    <row r="73" ht="15.75" customHeight="1" s="673">
      <c r="A73" s="69" t="n"/>
      <c r="B73" s="75" t="n"/>
      <c r="C73" s="75" t="n"/>
      <c r="D73" s="75" t="n"/>
      <c r="E73" s="75" t="n"/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69" t="n"/>
      <c r="T73" s="69" t="n"/>
      <c r="U73" s="69" t="n"/>
      <c r="V73" s="69" t="n"/>
      <c r="W73" s="69" t="n"/>
      <c r="X73" s="69" t="n"/>
      <c r="Y73" s="69" t="n"/>
      <c r="Z73" s="69" t="n"/>
    </row>
    <row r="74" ht="15.75" customHeight="1" s="673">
      <c r="A74" s="69" t="n"/>
      <c r="B74" s="75" t="n"/>
      <c r="C74" s="75" t="n"/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69" t="n"/>
      <c r="T74" s="69" t="n"/>
      <c r="U74" s="69" t="n"/>
      <c r="V74" s="69" t="n"/>
      <c r="W74" s="69" t="n"/>
      <c r="X74" s="69" t="n"/>
      <c r="Y74" s="69" t="n"/>
      <c r="Z74" s="69" t="n"/>
    </row>
    <row r="75" ht="15.75" customHeight="1" s="673">
      <c r="A75" s="69" t="n"/>
      <c r="B75" s="75" t="n"/>
      <c r="C75" s="75" t="n"/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69" t="n"/>
      <c r="T75" s="69" t="n"/>
      <c r="U75" s="69" t="n"/>
      <c r="V75" s="69" t="n"/>
      <c r="W75" s="69" t="n"/>
      <c r="X75" s="69" t="n"/>
      <c r="Y75" s="69" t="n"/>
      <c r="Z75" s="69" t="n"/>
    </row>
    <row r="76" ht="15.75" customHeight="1" s="673">
      <c r="A76" s="69" t="n"/>
      <c r="B76" s="75" t="n"/>
      <c r="C76" s="75" t="n"/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69" t="n"/>
      <c r="T76" s="69" t="n"/>
      <c r="U76" s="69" t="n"/>
      <c r="V76" s="69" t="n"/>
      <c r="W76" s="69" t="n"/>
      <c r="X76" s="69" t="n"/>
      <c r="Y76" s="69" t="n"/>
      <c r="Z76" s="69" t="n"/>
    </row>
    <row r="77" ht="15.75" customHeight="1" s="673">
      <c r="A77" s="69" t="n"/>
      <c r="B77" s="75" t="n"/>
      <c r="C77" s="75" t="n"/>
      <c r="D77" s="75" t="n"/>
      <c r="E77" s="75" t="n"/>
      <c r="F77" s="75" t="n"/>
      <c r="G77" s="75" t="n"/>
      <c r="H77" s="75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69" t="n"/>
      <c r="T77" s="69" t="n"/>
      <c r="U77" s="69" t="n"/>
      <c r="V77" s="69" t="n"/>
      <c r="W77" s="69" t="n"/>
      <c r="X77" s="69" t="n"/>
      <c r="Y77" s="69" t="n"/>
      <c r="Z77" s="69" t="n"/>
    </row>
    <row r="78" ht="15.75" customHeight="1" s="673">
      <c r="A78" s="69" t="n"/>
      <c r="B78" s="75" t="n"/>
      <c r="C78" s="75" t="n"/>
      <c r="D78" s="75" t="n"/>
      <c r="E78" s="75" t="n"/>
      <c r="F78" s="75" t="n"/>
      <c r="G78" s="75" t="n"/>
      <c r="H78" s="75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69" t="n"/>
      <c r="T78" s="69" t="n"/>
      <c r="U78" s="69" t="n"/>
      <c r="V78" s="69" t="n"/>
      <c r="W78" s="69" t="n"/>
      <c r="X78" s="69" t="n"/>
      <c r="Y78" s="69" t="n"/>
      <c r="Z78" s="69" t="n"/>
    </row>
    <row r="79" ht="15.75" customHeight="1" s="673">
      <c r="A79" s="69" t="n"/>
      <c r="B79" s="75" t="n"/>
      <c r="C79" s="75" t="n"/>
      <c r="D79" s="75" t="n"/>
      <c r="E79" s="75" t="n"/>
      <c r="F79" s="75" t="n"/>
      <c r="G79" s="75" t="n"/>
      <c r="H79" s="75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69" t="n"/>
      <c r="T79" s="69" t="n"/>
      <c r="U79" s="69" t="n"/>
      <c r="V79" s="69" t="n"/>
      <c r="W79" s="69" t="n"/>
      <c r="X79" s="69" t="n"/>
      <c r="Y79" s="69" t="n"/>
      <c r="Z79" s="69" t="n"/>
    </row>
    <row r="80" ht="15.75" customHeight="1" s="673">
      <c r="A80" s="69" t="n"/>
      <c r="B80" s="75" t="n"/>
      <c r="C80" s="75" t="n"/>
      <c r="D80" s="75" t="n"/>
      <c r="E80" s="75" t="n"/>
      <c r="F80" s="75" t="n"/>
      <c r="G80" s="75" t="n"/>
      <c r="H80" s="75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69" t="n"/>
      <c r="T80" s="69" t="n"/>
      <c r="U80" s="69" t="n"/>
      <c r="V80" s="69" t="n"/>
      <c r="W80" s="69" t="n"/>
      <c r="X80" s="69" t="n"/>
      <c r="Y80" s="69" t="n"/>
      <c r="Z80" s="69" t="n"/>
    </row>
    <row r="81" ht="15.75" customHeight="1" s="673">
      <c r="A81" s="69" t="n"/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69" t="n"/>
      <c r="T81" s="69" t="n"/>
      <c r="U81" s="69" t="n"/>
      <c r="V81" s="69" t="n"/>
      <c r="W81" s="69" t="n"/>
      <c r="X81" s="69" t="n"/>
      <c r="Y81" s="69" t="n"/>
      <c r="Z81" s="69" t="n"/>
    </row>
    <row r="82" ht="15.75" customHeight="1" s="673">
      <c r="A82" s="69" t="n"/>
      <c r="B82" s="75" t="n"/>
      <c r="C82" s="75" t="n"/>
      <c r="D82" s="75" t="n"/>
      <c r="E82" s="75" t="n"/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69" t="n"/>
      <c r="T82" s="69" t="n"/>
      <c r="U82" s="69" t="n"/>
      <c r="V82" s="69" t="n"/>
      <c r="W82" s="69" t="n"/>
      <c r="X82" s="69" t="n"/>
      <c r="Y82" s="69" t="n"/>
      <c r="Z82" s="69" t="n"/>
    </row>
    <row r="83" ht="15.75" customHeight="1" s="673">
      <c r="A83" s="69" t="n"/>
      <c r="B83" s="75" t="n"/>
      <c r="C83" s="75" t="n"/>
      <c r="D83" s="75" t="n"/>
      <c r="E83" s="75" t="n"/>
      <c r="F83" s="75" t="n"/>
      <c r="G83" s="75" t="n"/>
      <c r="H83" s="129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69" t="n"/>
      <c r="T83" s="69" t="n"/>
      <c r="U83" s="69" t="n"/>
      <c r="V83" s="69" t="n"/>
      <c r="W83" s="69" t="n"/>
      <c r="X83" s="69" t="n"/>
      <c r="Y83" s="69" t="n"/>
      <c r="Z83" s="69" t="n"/>
    </row>
    <row r="84" ht="15.75" customHeight="1" s="673">
      <c r="A84" s="69" t="n"/>
      <c r="B84" s="75" t="n"/>
      <c r="C84" s="75" t="n"/>
      <c r="D84" s="75" t="n"/>
      <c r="E84" s="75" t="n"/>
      <c r="F84" s="75" t="n"/>
      <c r="G84" s="75" t="n"/>
      <c r="H84" s="129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69" t="n"/>
      <c r="T84" s="69" t="n"/>
      <c r="U84" s="69" t="n"/>
      <c r="V84" s="69" t="n"/>
      <c r="W84" s="69" t="n"/>
      <c r="X84" s="69" t="n"/>
      <c r="Y84" s="69" t="n"/>
      <c r="Z84" s="69" t="n"/>
    </row>
    <row r="85" ht="15.75" customHeight="1" s="673">
      <c r="A85" s="69" t="n"/>
      <c r="B85" s="75" t="n"/>
      <c r="C85" s="75" t="n"/>
      <c r="D85" s="75" t="n"/>
      <c r="E85" s="75" t="n"/>
      <c r="F85" s="75" t="n"/>
      <c r="G85" s="75" t="n"/>
      <c r="H85" s="129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69" t="n"/>
      <c r="T85" s="69" t="n"/>
      <c r="U85" s="69" t="n"/>
      <c r="V85" s="69" t="n"/>
      <c r="W85" s="69" t="n"/>
      <c r="X85" s="69" t="n"/>
      <c r="Y85" s="69" t="n"/>
      <c r="Z85" s="69" t="n"/>
    </row>
    <row r="86" ht="15.75" customHeight="1" s="673">
      <c r="A86" s="69" t="n"/>
      <c r="B86" s="75" t="n"/>
      <c r="C86" s="75" t="n"/>
      <c r="D86" s="75" t="n"/>
      <c r="E86" s="75" t="n"/>
      <c r="F86" s="75" t="n"/>
      <c r="G86" s="75" t="n"/>
      <c r="H86" s="129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69" t="n"/>
      <c r="T86" s="69" t="n"/>
      <c r="U86" s="69" t="n"/>
      <c r="V86" s="69" t="n"/>
      <c r="W86" s="69" t="n"/>
      <c r="X86" s="69" t="n"/>
      <c r="Y86" s="69" t="n"/>
      <c r="Z86" s="69" t="n"/>
    </row>
    <row r="87" ht="15.75" customHeight="1" s="673">
      <c r="A87" s="69" t="n"/>
      <c r="B87" s="75" t="n"/>
      <c r="C87" s="75" t="n"/>
      <c r="D87" s="75" t="n"/>
      <c r="E87" s="75" t="n"/>
      <c r="F87" s="75" t="n"/>
      <c r="G87" s="75" t="n"/>
      <c r="H87" s="129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69" t="n"/>
      <c r="T87" s="69" t="n"/>
      <c r="U87" s="69" t="n"/>
      <c r="V87" s="69" t="n"/>
      <c r="W87" s="69" t="n"/>
      <c r="X87" s="69" t="n"/>
      <c r="Y87" s="69" t="n"/>
      <c r="Z87" s="69" t="n"/>
    </row>
    <row r="88" ht="15.75" customHeight="1" s="673">
      <c r="A88" s="69" t="n"/>
      <c r="B88" s="75" t="n"/>
      <c r="C88" s="75" t="n"/>
      <c r="D88" s="75" t="n"/>
      <c r="E88" s="75" t="n"/>
      <c r="F88" s="75" t="n"/>
      <c r="G88" s="75" t="n"/>
      <c r="H88" s="129" t="n"/>
      <c r="I88" s="75" t="n"/>
      <c r="J88" s="75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69" t="n"/>
      <c r="T88" s="69" t="n"/>
      <c r="U88" s="69" t="n"/>
      <c r="V88" s="69" t="n"/>
      <c r="W88" s="69" t="n"/>
      <c r="X88" s="69" t="n"/>
      <c r="Y88" s="69" t="n"/>
      <c r="Z88" s="69" t="n"/>
    </row>
    <row r="89" ht="15.75" customHeight="1" s="673">
      <c r="A89" s="69" t="n"/>
      <c r="B89" s="75" t="n"/>
      <c r="C89" s="75" t="n"/>
      <c r="D89" s="75" t="n"/>
      <c r="E89" s="75" t="n"/>
      <c r="F89" s="75" t="n"/>
      <c r="G89" s="75" t="n"/>
      <c r="H89" s="129" t="n"/>
      <c r="I89" s="75" t="n"/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69" t="n"/>
      <c r="T89" s="69" t="n"/>
      <c r="U89" s="69" t="n"/>
      <c r="V89" s="69" t="n"/>
      <c r="W89" s="69" t="n"/>
      <c r="X89" s="69" t="n"/>
      <c r="Y89" s="69" t="n"/>
      <c r="Z89" s="69" t="n"/>
    </row>
    <row r="90" ht="15.75" customHeight="1" s="673">
      <c r="A90" s="69" t="n"/>
      <c r="B90" s="75" t="n"/>
      <c r="C90" s="75" t="n"/>
      <c r="D90" s="75" t="n"/>
      <c r="E90" s="75" t="n"/>
      <c r="F90" s="75" t="n"/>
      <c r="G90" s="75" t="n"/>
      <c r="H90" s="129" t="n"/>
      <c r="I90" s="75" t="n"/>
      <c r="J90" s="75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69" t="n"/>
      <c r="T90" s="69" t="n"/>
      <c r="U90" s="69" t="n"/>
      <c r="V90" s="69" t="n"/>
      <c r="W90" s="69" t="n"/>
      <c r="X90" s="69" t="n"/>
      <c r="Y90" s="69" t="n"/>
      <c r="Z90" s="69" t="n"/>
    </row>
    <row r="91" ht="15.75" customHeight="1" s="673">
      <c r="A91" s="69" t="n"/>
      <c r="B91" s="129" t="n"/>
      <c r="C91" s="129" t="n"/>
      <c r="D91" s="129" t="n"/>
      <c r="E91" s="129" t="n"/>
      <c r="F91" s="129" t="n"/>
      <c r="G91" s="75" t="n"/>
      <c r="H91" s="129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69" t="n"/>
      <c r="T91" s="69" t="n"/>
      <c r="U91" s="69" t="n"/>
      <c r="V91" s="69" t="n"/>
      <c r="W91" s="69" t="n"/>
      <c r="X91" s="69" t="n"/>
      <c r="Y91" s="69" t="n"/>
      <c r="Z91" s="69" t="n"/>
    </row>
    <row r="92" ht="15.75" customHeight="1" s="673">
      <c r="A92" s="69" t="n"/>
      <c r="B92" s="129" t="n"/>
      <c r="C92" s="129" t="n"/>
      <c r="D92" s="129" t="n"/>
      <c r="E92" s="129" t="n"/>
      <c r="F92" s="129" t="n"/>
      <c r="G92" s="75" t="n"/>
      <c r="H92" s="129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69" t="n"/>
      <c r="T92" s="69" t="n"/>
      <c r="U92" s="69" t="n"/>
      <c r="V92" s="69" t="n"/>
      <c r="W92" s="69" t="n"/>
      <c r="X92" s="69" t="n"/>
      <c r="Y92" s="69" t="n"/>
      <c r="Z92" s="69" t="n"/>
    </row>
    <row r="93" ht="15.75" customHeight="1" s="673">
      <c r="A93" s="69" t="n"/>
      <c r="B93" s="129" t="n"/>
      <c r="C93" s="129" t="n"/>
      <c r="D93" s="129" t="n"/>
      <c r="E93" s="129" t="n"/>
      <c r="F93" s="129" t="n"/>
      <c r="G93" s="75" t="n"/>
      <c r="H93" s="129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69" t="n"/>
      <c r="T93" s="69" t="n"/>
      <c r="U93" s="69" t="n"/>
      <c r="V93" s="69" t="n"/>
      <c r="W93" s="69" t="n"/>
      <c r="X93" s="69" t="n"/>
      <c r="Y93" s="69" t="n"/>
      <c r="Z93" s="69" t="n"/>
    </row>
    <row r="94" ht="15.75" customHeight="1" s="673">
      <c r="A94" s="69" t="n"/>
      <c r="B94" s="129" t="n"/>
      <c r="C94" s="129" t="n"/>
      <c r="D94" s="129" t="n"/>
      <c r="E94" s="129" t="n"/>
      <c r="F94" s="129" t="n"/>
      <c r="G94" s="75" t="n"/>
      <c r="H94" s="129" t="n"/>
      <c r="I94" s="75" t="n"/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69" t="n"/>
      <c r="T94" s="69" t="n"/>
      <c r="U94" s="69" t="n"/>
      <c r="V94" s="69" t="n"/>
      <c r="W94" s="69" t="n"/>
      <c r="X94" s="69" t="n"/>
      <c r="Y94" s="69" t="n"/>
      <c r="Z94" s="69" t="n"/>
    </row>
    <row r="95" ht="15.75" customHeight="1" s="673">
      <c r="A95" s="69" t="n"/>
      <c r="B95" s="129" t="n"/>
      <c r="C95" s="129" t="n"/>
      <c r="D95" s="129" t="n"/>
      <c r="E95" s="129" t="n"/>
      <c r="F95" s="129" t="n"/>
      <c r="G95" s="75" t="n"/>
      <c r="H95" s="130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</row>
    <row r="96" ht="15.75" customHeight="1" s="673">
      <c r="A96" s="69" t="n"/>
      <c r="B96" s="129" t="n"/>
      <c r="C96" s="129" t="n"/>
      <c r="D96" s="129" t="n"/>
      <c r="E96" s="129" t="n"/>
      <c r="F96" s="129" t="n"/>
      <c r="G96" s="75" t="n"/>
      <c r="H96" s="130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</row>
    <row r="97" ht="15.75" customHeight="1" s="673">
      <c r="A97" s="69" t="n"/>
      <c r="B97" s="129" t="n"/>
      <c r="C97" s="129" t="n"/>
      <c r="D97" s="129" t="n"/>
      <c r="E97" s="129" t="n"/>
      <c r="F97" s="129" t="n"/>
      <c r="G97" s="75" t="n"/>
      <c r="H97" s="130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</row>
    <row r="98" ht="15.75" customHeight="1" s="673">
      <c r="A98" s="69" t="n"/>
      <c r="B98" s="129" t="n"/>
      <c r="C98" s="129" t="n"/>
      <c r="D98" s="129" t="n"/>
      <c r="E98" s="129" t="n"/>
      <c r="F98" s="129" t="n"/>
      <c r="G98" s="129" t="n"/>
      <c r="H98" s="130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</row>
    <row r="99" ht="15.75" customHeight="1" s="673">
      <c r="A99" s="69" t="n"/>
      <c r="B99" s="130" t="n"/>
      <c r="C99" s="130" t="n"/>
      <c r="D99" s="130" t="n"/>
      <c r="E99" s="130" t="n"/>
      <c r="F99" s="130" t="n"/>
      <c r="G99" s="129" t="n"/>
      <c r="H99" s="130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</row>
    <row r="100" ht="15.75" customHeight="1" s="673">
      <c r="A100" s="69" t="n"/>
      <c r="B100" s="130" t="n"/>
      <c r="C100" s="130" t="n"/>
      <c r="D100" s="130" t="n"/>
      <c r="E100" s="130" t="n"/>
      <c r="F100" s="130" t="n"/>
      <c r="G100" s="129" t="n"/>
      <c r="H100" s="130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</row>
    <row r="101" ht="15.75" customHeight="1" s="673">
      <c r="A101" s="69" t="n"/>
      <c r="B101" s="130" t="n"/>
      <c r="C101" s="130" t="n"/>
      <c r="D101" s="130" t="n"/>
      <c r="E101" s="130" t="n"/>
      <c r="F101" s="130" t="n"/>
      <c r="G101" s="129" t="n"/>
      <c r="H101" s="130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</row>
    <row r="102" ht="15.75" customHeight="1" s="673">
      <c r="A102" s="69" t="n"/>
      <c r="B102" s="130" t="n"/>
      <c r="C102" s="130" t="n"/>
      <c r="D102" s="130" t="n"/>
      <c r="E102" s="130" t="n"/>
      <c r="F102" s="130" t="n"/>
      <c r="G102" s="129" t="n"/>
      <c r="H102" s="130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</row>
    <row r="103" ht="15.75" customHeight="1" s="673">
      <c r="A103" s="69" t="n"/>
      <c r="B103" s="130" t="n"/>
      <c r="C103" s="130" t="n"/>
      <c r="D103" s="130" t="n"/>
      <c r="E103" s="130" t="n"/>
      <c r="F103" s="130" t="n"/>
      <c r="G103" s="129" t="n"/>
      <c r="H103" s="130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69" t="n"/>
    </row>
    <row r="104" ht="15.75" customHeight="1" s="673">
      <c r="A104" s="69" t="n"/>
      <c r="B104" s="130" t="n"/>
      <c r="C104" s="130" t="n"/>
      <c r="D104" s="130" t="n"/>
      <c r="E104" s="130" t="n"/>
      <c r="F104" s="130" t="n"/>
      <c r="G104" s="129" t="n"/>
      <c r="H104" s="131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</row>
    <row r="105" ht="15.75" customHeight="1" s="673">
      <c r="A105" s="69" t="n"/>
      <c r="B105" s="130" t="n"/>
      <c r="C105" s="130" t="n"/>
      <c r="D105" s="130" t="n"/>
      <c r="E105" s="130" t="n"/>
      <c r="F105" s="130" t="n"/>
      <c r="G105" s="129" t="n"/>
      <c r="H105" s="131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</row>
    <row r="106" ht="15.75" customHeight="1" s="673">
      <c r="A106" s="69" t="n"/>
      <c r="B106" s="130" t="n"/>
      <c r="C106" s="130" t="n"/>
      <c r="D106" s="130" t="n"/>
      <c r="E106" s="130" t="n"/>
      <c r="F106" s="130" t="n"/>
      <c r="G106" s="130" t="n"/>
      <c r="H106" s="131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</row>
    <row r="107" ht="15.75" customHeight="1" s="673">
      <c r="A107" s="69" t="n"/>
      <c r="B107" s="130" t="n"/>
      <c r="C107" s="130" t="n"/>
      <c r="D107" s="130" t="n"/>
      <c r="E107" s="130" t="n"/>
      <c r="F107" s="130" t="n"/>
      <c r="G107" s="130" t="n"/>
      <c r="H107" s="131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  <c r="Z107" s="69" t="n"/>
    </row>
    <row r="108" ht="15.75" customHeight="1" s="673">
      <c r="A108" s="69" t="n"/>
      <c r="B108" s="131" t="n"/>
      <c r="C108" s="131" t="n"/>
      <c r="D108" s="131" t="n"/>
      <c r="E108" s="131" t="n"/>
      <c r="F108" s="131" t="n"/>
      <c r="G108" s="130" t="n"/>
      <c r="H108" s="131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</row>
    <row r="109" ht="15.75" customHeight="1" s="673">
      <c r="A109" s="69" t="n"/>
      <c r="B109" s="131" t="n"/>
      <c r="C109" s="131" t="n"/>
      <c r="D109" s="131" t="n"/>
      <c r="E109" s="131" t="n"/>
      <c r="F109" s="131" t="n"/>
      <c r="G109" s="130" t="n"/>
      <c r="H109" s="131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</row>
    <row r="110" ht="15.75" customHeight="1" s="673">
      <c r="A110" s="69" t="n"/>
      <c r="B110" s="131" t="n"/>
      <c r="C110" s="131" t="n"/>
      <c r="D110" s="131" t="n"/>
      <c r="E110" s="131" t="n"/>
      <c r="F110" s="131" t="n"/>
      <c r="G110" s="130" t="n"/>
      <c r="H110" s="131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</row>
    <row r="111" ht="15.75" customHeight="1" s="673">
      <c r="A111" s="69" t="n"/>
      <c r="B111" s="131" t="n"/>
      <c r="C111" s="131" t="n"/>
      <c r="D111" s="131" t="n"/>
      <c r="E111" s="131" t="n"/>
      <c r="F111" s="131" t="n"/>
      <c r="G111" s="130" t="n"/>
      <c r="H111" s="131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</row>
    <row r="112" ht="15.75" customHeight="1" s="673">
      <c r="A112" s="69" t="n"/>
      <c r="B112" s="131" t="n"/>
      <c r="C112" s="131" t="n"/>
      <c r="D112" s="131" t="n"/>
      <c r="E112" s="131" t="n"/>
      <c r="F112" s="131" t="n"/>
      <c r="G112" s="130" t="n"/>
      <c r="H112" s="131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</row>
    <row r="113" ht="15.75" customHeight="1" s="673">
      <c r="A113" s="69" t="n"/>
      <c r="B113" s="131" t="n"/>
      <c r="C113" s="131" t="n"/>
      <c r="D113" s="131" t="n"/>
      <c r="E113" s="131" t="n"/>
      <c r="F113" s="131" t="n"/>
      <c r="G113" s="130" t="n"/>
      <c r="H113" s="131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</row>
    <row r="114" ht="15.75" customHeight="1" s="673">
      <c r="A114" s="69" t="n"/>
      <c r="B114" s="131" t="n"/>
      <c r="C114" s="131" t="n"/>
      <c r="D114" s="131" t="n"/>
      <c r="E114" s="131" t="n"/>
      <c r="F114" s="131" t="n"/>
      <c r="G114" s="130" t="n"/>
      <c r="H114" s="131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</row>
    <row r="115" ht="15.75" customHeight="1" s="673">
      <c r="A115" s="69" t="n"/>
      <c r="B115" s="131" t="n"/>
      <c r="C115" s="131" t="n"/>
      <c r="D115" s="131" t="n"/>
      <c r="E115" s="131" t="n"/>
      <c r="F115" s="131" t="n"/>
      <c r="G115" s="131" t="n"/>
      <c r="H115" s="131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  <c r="Z115" s="69" t="n"/>
    </row>
    <row r="116" ht="15.75" customHeight="1" s="673">
      <c r="A116" s="69" t="n"/>
      <c r="B116" s="131" t="n"/>
      <c r="C116" s="131" t="n"/>
      <c r="D116" s="131" t="n"/>
      <c r="E116" s="131" t="n"/>
      <c r="F116" s="131" t="n"/>
      <c r="G116" s="131" t="n"/>
      <c r="H116" s="131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</row>
    <row r="117" ht="15.75" customHeight="1" s="673">
      <c r="A117" s="69" t="n"/>
      <c r="B117" s="131" t="n"/>
      <c r="C117" s="131" t="n"/>
      <c r="D117" s="131" t="n"/>
      <c r="E117" s="131" t="n"/>
      <c r="F117" s="131" t="n"/>
      <c r="G117" s="131" t="n"/>
      <c r="H117" s="131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</row>
    <row r="118" ht="15.75" customHeight="1" s="673">
      <c r="A118" s="69" t="n"/>
      <c r="B118" s="131" t="n"/>
      <c r="C118" s="131" t="n"/>
      <c r="D118" s="131" t="n"/>
      <c r="E118" s="131" t="n"/>
      <c r="F118" s="131" t="n"/>
      <c r="G118" s="131" t="n"/>
      <c r="H118" s="131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</row>
    <row r="119" ht="15.75" customHeight="1" s="673">
      <c r="A119" s="69" t="n"/>
      <c r="B119" s="131" t="n"/>
      <c r="C119" s="131" t="n"/>
      <c r="D119" s="131" t="n"/>
      <c r="E119" s="131" t="n"/>
      <c r="F119" s="131" t="n"/>
      <c r="G119" s="131" t="n"/>
      <c r="H119" s="131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</row>
    <row r="120" ht="15.75" customHeight="1" s="673">
      <c r="A120" s="69" t="n"/>
      <c r="B120" s="131" t="n"/>
      <c r="C120" s="131" t="n"/>
      <c r="D120" s="131" t="n"/>
      <c r="E120" s="131" t="n"/>
      <c r="F120" s="131" t="n"/>
      <c r="G120" s="131" t="n"/>
      <c r="H120" s="131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</row>
    <row r="121" ht="15.75" customHeight="1" s="673">
      <c r="A121" s="69" t="n"/>
      <c r="B121" s="131" t="n"/>
      <c r="C121" s="131" t="n"/>
      <c r="D121" s="131" t="n"/>
      <c r="E121" s="131" t="n"/>
      <c r="F121" s="131" t="n"/>
      <c r="G121" s="131" t="n"/>
      <c r="H121" s="131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</row>
    <row r="122" ht="15.75" customHeight="1" s="673">
      <c r="A122" s="69" t="n"/>
      <c r="B122" s="131" t="n"/>
      <c r="C122" s="131" t="n"/>
      <c r="D122" s="131" t="n"/>
      <c r="E122" s="131" t="n"/>
      <c r="F122" s="131" t="n"/>
      <c r="G122" s="131" t="n"/>
      <c r="H122" s="131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</row>
    <row r="123" ht="15.75" customHeight="1" s="673">
      <c r="A123" s="69" t="n"/>
      <c r="B123" s="131" t="n"/>
      <c r="C123" s="131" t="n"/>
      <c r="D123" s="131" t="n"/>
      <c r="E123" s="131" t="n"/>
      <c r="F123" s="131" t="n"/>
      <c r="G123" s="131" t="n"/>
      <c r="H123" s="131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</row>
    <row r="124" ht="15.75" customHeight="1" s="673">
      <c r="A124" s="69" t="n"/>
      <c r="B124" s="131" t="n"/>
      <c r="C124" s="131" t="n"/>
      <c r="D124" s="131" t="n"/>
      <c r="E124" s="131" t="n"/>
      <c r="F124" s="131" t="n"/>
      <c r="G124" s="131" t="n"/>
      <c r="H124" s="131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</row>
    <row r="125" ht="15.75" customHeight="1" s="673">
      <c r="A125" s="69" t="n"/>
      <c r="B125" s="131" t="n"/>
      <c r="C125" s="131" t="n"/>
      <c r="D125" s="131" t="n"/>
      <c r="E125" s="131" t="n"/>
      <c r="F125" s="131" t="n"/>
      <c r="G125" s="131" t="n"/>
      <c r="H125" s="131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</row>
    <row r="126" ht="15.75" customHeight="1" s="673">
      <c r="A126" s="69" t="n"/>
      <c r="B126" s="131" t="n"/>
      <c r="C126" s="131" t="n"/>
      <c r="D126" s="131" t="n"/>
      <c r="E126" s="131" t="n"/>
      <c r="F126" s="131" t="n"/>
      <c r="G126" s="131" t="n"/>
      <c r="H126" s="131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</row>
    <row r="127" ht="15.75" customHeight="1" s="673">
      <c r="A127" s="69" t="n"/>
      <c r="B127" s="131" t="n"/>
      <c r="C127" s="131" t="n"/>
      <c r="D127" s="131" t="n"/>
      <c r="E127" s="131" t="n"/>
      <c r="F127" s="131" t="n"/>
      <c r="G127" s="131" t="n"/>
      <c r="H127" s="131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</row>
    <row r="128" ht="15.75" customHeight="1" s="673">
      <c r="A128" s="69" t="n"/>
      <c r="B128" s="131" t="n"/>
      <c r="C128" s="131" t="n"/>
      <c r="D128" s="131" t="n"/>
      <c r="E128" s="131" t="n"/>
      <c r="F128" s="131" t="n"/>
      <c r="G128" s="131" t="n"/>
      <c r="H128" s="131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</row>
    <row r="129" ht="15.75" customHeight="1" s="673">
      <c r="A129" s="69" t="n"/>
      <c r="B129" s="131" t="n"/>
      <c r="C129" s="131" t="n"/>
      <c r="D129" s="131" t="n"/>
      <c r="E129" s="131" t="n"/>
      <c r="F129" s="131" t="n"/>
      <c r="G129" s="131" t="n"/>
      <c r="H129" s="131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</row>
    <row r="130" ht="15.75" customHeight="1" s="673">
      <c r="A130" s="69" t="n"/>
      <c r="B130" s="131" t="n"/>
      <c r="C130" s="131" t="n"/>
      <c r="D130" s="131" t="n"/>
      <c r="E130" s="131" t="n"/>
      <c r="F130" s="131" t="n"/>
      <c r="G130" s="131" t="n"/>
      <c r="H130" s="131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</row>
    <row r="131" ht="15.75" customHeight="1" s="673">
      <c r="A131" s="69" t="n"/>
      <c r="B131" s="131" t="n"/>
      <c r="C131" s="131" t="n"/>
      <c r="D131" s="131" t="n"/>
      <c r="E131" s="131" t="n"/>
      <c r="F131" s="131" t="n"/>
      <c r="G131" s="131" t="n"/>
      <c r="H131" s="131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</row>
    <row r="132" ht="15.75" customHeight="1" s="673">
      <c r="A132" s="69" t="n"/>
      <c r="B132" s="131" t="n"/>
      <c r="C132" s="131" t="n"/>
      <c r="D132" s="131" t="n"/>
      <c r="E132" s="131" t="n"/>
      <c r="F132" s="131" t="n"/>
      <c r="G132" s="131" t="n"/>
      <c r="H132" s="131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</row>
    <row r="133" ht="15.75" customHeight="1" s="673">
      <c r="A133" s="69" t="n"/>
      <c r="B133" s="131" t="n"/>
      <c r="C133" s="131" t="n"/>
      <c r="D133" s="131" t="n"/>
      <c r="E133" s="131" t="n"/>
      <c r="F133" s="131" t="n"/>
      <c r="G133" s="131" t="n"/>
      <c r="H133" s="131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</row>
    <row r="134" ht="15.75" customHeight="1" s="673">
      <c r="A134" s="69" t="n"/>
      <c r="B134" s="131" t="n"/>
      <c r="C134" s="131" t="n"/>
      <c r="D134" s="131" t="n"/>
      <c r="E134" s="131" t="n"/>
      <c r="F134" s="131" t="n"/>
      <c r="G134" s="131" t="n"/>
      <c r="H134" s="131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</row>
    <row r="135" ht="15.75" customHeight="1" s="673">
      <c r="A135" s="69" t="n"/>
      <c r="B135" s="131" t="n"/>
      <c r="C135" s="131" t="n"/>
      <c r="D135" s="131" t="n"/>
      <c r="E135" s="131" t="n"/>
      <c r="F135" s="131" t="n"/>
      <c r="G135" s="131" t="n"/>
      <c r="H135" s="131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  <c r="Z135" s="69" t="n"/>
    </row>
    <row r="136" ht="15.75" customHeight="1" s="673">
      <c r="A136" s="69" t="n"/>
      <c r="B136" s="131" t="n"/>
      <c r="C136" s="131" t="n"/>
      <c r="D136" s="131" t="n"/>
      <c r="E136" s="131" t="n"/>
      <c r="F136" s="131" t="n"/>
      <c r="G136" s="131" t="n"/>
      <c r="H136" s="131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</row>
    <row r="137" ht="15.75" customHeight="1" s="673">
      <c r="A137" s="69" t="n"/>
      <c r="B137" s="131" t="n"/>
      <c r="C137" s="131" t="n"/>
      <c r="D137" s="131" t="n"/>
      <c r="E137" s="131" t="n"/>
      <c r="F137" s="131" t="n"/>
      <c r="G137" s="131" t="n"/>
      <c r="H137" s="131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</row>
    <row r="138" ht="15.75" customHeight="1" s="673">
      <c r="A138" s="69" t="n"/>
      <c r="B138" s="131" t="n"/>
      <c r="C138" s="131" t="n"/>
      <c r="D138" s="131" t="n"/>
      <c r="E138" s="131" t="n"/>
      <c r="F138" s="131" t="n"/>
      <c r="G138" s="131" t="n"/>
      <c r="H138" s="131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</row>
    <row r="139" ht="15.75" customHeight="1" s="673">
      <c r="A139" s="69" t="n"/>
      <c r="B139" s="131" t="n"/>
      <c r="C139" s="131" t="n"/>
      <c r="D139" s="131" t="n"/>
      <c r="E139" s="131" t="n"/>
      <c r="F139" s="131" t="n"/>
      <c r="G139" s="131" t="n"/>
      <c r="H139" s="131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</row>
    <row r="140" ht="15.75" customHeight="1" s="673">
      <c r="A140" s="69" t="n"/>
      <c r="B140" s="131" t="n"/>
      <c r="C140" s="131" t="n"/>
      <c r="D140" s="131" t="n"/>
      <c r="E140" s="131" t="n"/>
      <c r="F140" s="131" t="n"/>
      <c r="G140" s="131" t="n"/>
      <c r="H140" s="131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</row>
    <row r="141" ht="15.75" customHeight="1" s="673">
      <c r="A141" s="69" t="n"/>
      <c r="B141" s="131" t="n"/>
      <c r="C141" s="131" t="n"/>
      <c r="D141" s="131" t="n"/>
      <c r="E141" s="131" t="n"/>
      <c r="F141" s="131" t="n"/>
      <c r="G141" s="131" t="n"/>
      <c r="H141" s="131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</row>
    <row r="142" ht="15.75" customHeight="1" s="673">
      <c r="A142" s="69" t="n"/>
      <c r="B142" s="131" t="n"/>
      <c r="C142" s="131" t="n"/>
      <c r="D142" s="131" t="n"/>
      <c r="E142" s="131" t="n"/>
      <c r="F142" s="131" t="n"/>
      <c r="G142" s="131" t="n"/>
      <c r="H142" s="131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</row>
    <row r="143" ht="15.75" customHeight="1" s="673">
      <c r="A143" s="69" t="n"/>
      <c r="B143" s="131" t="n"/>
      <c r="C143" s="131" t="n"/>
      <c r="D143" s="131" t="n"/>
      <c r="E143" s="131" t="n"/>
      <c r="F143" s="131" t="n"/>
      <c r="G143" s="131" t="n"/>
      <c r="H143" s="131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</row>
    <row r="144" ht="15.75" customHeight="1" s="673">
      <c r="A144" s="69" t="n"/>
      <c r="B144" s="131" t="n"/>
      <c r="C144" s="131" t="n"/>
      <c r="D144" s="131" t="n"/>
      <c r="E144" s="131" t="n"/>
      <c r="F144" s="131" t="n"/>
      <c r="G144" s="131" t="n"/>
      <c r="H144" s="131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</row>
    <row r="145" ht="15.75" customHeight="1" s="673">
      <c r="A145" s="69" t="n"/>
      <c r="B145" s="131" t="n"/>
      <c r="C145" s="131" t="n"/>
      <c r="D145" s="131" t="n"/>
      <c r="E145" s="131" t="n"/>
      <c r="F145" s="131" t="n"/>
      <c r="G145" s="131" t="n"/>
      <c r="H145" s="131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</row>
    <row r="146" ht="15.75" customHeight="1" s="673">
      <c r="A146" s="69" t="n"/>
      <c r="B146" s="131" t="n"/>
      <c r="C146" s="131" t="n"/>
      <c r="D146" s="131" t="n"/>
      <c r="E146" s="131" t="n"/>
      <c r="F146" s="131" t="n"/>
      <c r="G146" s="131" t="n"/>
      <c r="H146" s="131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</row>
    <row r="147" ht="15.75" customHeight="1" s="673">
      <c r="A147" s="69" t="n"/>
      <c r="B147" s="131" t="n"/>
      <c r="C147" s="131" t="n"/>
      <c r="D147" s="131" t="n"/>
      <c r="E147" s="131" t="n"/>
      <c r="F147" s="131" t="n"/>
      <c r="G147" s="131" t="n"/>
      <c r="H147" s="131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</row>
    <row r="148" ht="15.75" customHeight="1" s="673">
      <c r="A148" s="69" t="n"/>
      <c r="B148" s="131" t="n"/>
      <c r="C148" s="131" t="n"/>
      <c r="D148" s="131" t="n"/>
      <c r="E148" s="131" t="n"/>
      <c r="F148" s="131" t="n"/>
      <c r="G148" s="131" t="n"/>
      <c r="H148" s="131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</row>
    <row r="149" ht="15.75" customHeight="1" s="673">
      <c r="A149" s="69" t="n"/>
      <c r="B149" s="131" t="n"/>
      <c r="C149" s="131" t="n"/>
      <c r="D149" s="131" t="n"/>
      <c r="E149" s="131" t="n"/>
      <c r="F149" s="131" t="n"/>
      <c r="G149" s="131" t="n"/>
      <c r="H149" s="131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</row>
    <row r="150" ht="15.75" customHeight="1" s="673">
      <c r="A150" s="69" t="n"/>
      <c r="B150" s="131" t="n"/>
      <c r="C150" s="131" t="n"/>
      <c r="D150" s="131" t="n"/>
      <c r="E150" s="131" t="n"/>
      <c r="F150" s="131" t="n"/>
      <c r="G150" s="131" t="n"/>
      <c r="H150" s="131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</row>
    <row r="151" ht="15.75" customHeight="1" s="673">
      <c r="A151" s="69" t="n"/>
      <c r="B151" s="131" t="n"/>
      <c r="C151" s="131" t="n"/>
      <c r="D151" s="131" t="n"/>
      <c r="E151" s="131" t="n"/>
      <c r="F151" s="131" t="n"/>
      <c r="G151" s="131" t="n"/>
      <c r="H151" s="131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</row>
    <row r="152" ht="15.75" customHeight="1" s="673">
      <c r="A152" s="69" t="n"/>
      <c r="B152" s="131" t="n"/>
      <c r="C152" s="131" t="n"/>
      <c r="D152" s="131" t="n"/>
      <c r="E152" s="131" t="n"/>
      <c r="F152" s="131" t="n"/>
      <c r="G152" s="131" t="n"/>
      <c r="H152" s="131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</row>
    <row r="153" ht="15.75" customHeight="1" s="673">
      <c r="A153" s="69" t="n"/>
      <c r="B153" s="131" t="n"/>
      <c r="C153" s="131" t="n"/>
      <c r="D153" s="131" t="n"/>
      <c r="E153" s="131" t="n"/>
      <c r="F153" s="131" t="n"/>
      <c r="G153" s="131" t="n"/>
      <c r="H153" s="131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</row>
    <row r="154" ht="15.75" customHeight="1" s="673">
      <c r="A154" s="69" t="n"/>
      <c r="B154" s="131" t="n"/>
      <c r="C154" s="131" t="n"/>
      <c r="D154" s="131" t="n"/>
      <c r="E154" s="131" t="n"/>
      <c r="F154" s="131" t="n"/>
      <c r="G154" s="131" t="n"/>
      <c r="H154" s="131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</row>
    <row r="155" ht="15.75" customHeight="1" s="673">
      <c r="A155" s="69" t="n"/>
      <c r="B155" s="131" t="n"/>
      <c r="C155" s="131" t="n"/>
      <c r="D155" s="131" t="n"/>
      <c r="E155" s="131" t="n"/>
      <c r="F155" s="131" t="n"/>
      <c r="G155" s="131" t="n"/>
      <c r="H155" s="131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</row>
    <row r="156" ht="15.75" customHeight="1" s="673">
      <c r="A156" s="69" t="n"/>
      <c r="B156" s="131" t="n"/>
      <c r="C156" s="131" t="n"/>
      <c r="D156" s="131" t="n"/>
      <c r="E156" s="131" t="n"/>
      <c r="F156" s="131" t="n"/>
      <c r="G156" s="131" t="n"/>
      <c r="H156" s="131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</row>
    <row r="157" ht="15.75" customHeight="1" s="673">
      <c r="A157" s="69" t="n"/>
      <c r="B157" s="131" t="n"/>
      <c r="C157" s="131" t="n"/>
      <c r="D157" s="131" t="n"/>
      <c r="E157" s="131" t="n"/>
      <c r="F157" s="131" t="n"/>
      <c r="G157" s="131" t="n"/>
      <c r="H157" s="131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</row>
    <row r="158" ht="15.75" customHeight="1" s="673">
      <c r="A158" s="69" t="n"/>
      <c r="B158" s="131" t="n"/>
      <c r="C158" s="131" t="n"/>
      <c r="D158" s="131" t="n"/>
      <c r="E158" s="131" t="n"/>
      <c r="F158" s="131" t="n"/>
      <c r="G158" s="131" t="n"/>
      <c r="H158" s="131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</row>
    <row r="159" ht="15.75" customHeight="1" s="673">
      <c r="A159" s="69" t="n"/>
      <c r="B159" s="131" t="n"/>
      <c r="C159" s="131" t="n"/>
      <c r="D159" s="131" t="n"/>
      <c r="E159" s="131" t="n"/>
      <c r="F159" s="131" t="n"/>
      <c r="G159" s="131" t="n"/>
      <c r="H159" s="131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</row>
    <row r="160" ht="15.75" customHeight="1" s="673">
      <c r="A160" s="69" t="n"/>
      <c r="B160" s="131" t="n"/>
      <c r="C160" s="131" t="n"/>
      <c r="D160" s="131" t="n"/>
      <c r="E160" s="131" t="n"/>
      <c r="F160" s="131" t="n"/>
      <c r="G160" s="131" t="n"/>
      <c r="H160" s="131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</row>
    <row r="161" ht="15.75" customHeight="1" s="673">
      <c r="A161" s="69" t="n"/>
      <c r="B161" s="131" t="n"/>
      <c r="C161" s="131" t="n"/>
      <c r="D161" s="131" t="n"/>
      <c r="E161" s="131" t="n"/>
      <c r="F161" s="131" t="n"/>
      <c r="G161" s="131" t="n"/>
      <c r="H161" s="131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</row>
    <row r="162" ht="15.75" customHeight="1" s="673">
      <c r="A162" s="69" t="n"/>
      <c r="B162" s="131" t="n"/>
      <c r="C162" s="131" t="n"/>
      <c r="D162" s="131" t="n"/>
      <c r="E162" s="131" t="n"/>
      <c r="F162" s="131" t="n"/>
      <c r="G162" s="131" t="n"/>
      <c r="H162" s="131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</row>
    <row r="163" ht="15.75" customHeight="1" s="673">
      <c r="A163" s="69" t="n"/>
      <c r="B163" s="131" t="n"/>
      <c r="C163" s="131" t="n"/>
      <c r="D163" s="131" t="n"/>
      <c r="E163" s="131" t="n"/>
      <c r="F163" s="131" t="n"/>
      <c r="G163" s="131" t="n"/>
      <c r="H163" s="131" t="n"/>
      <c r="I163" s="69" t="n"/>
      <c r="J163" s="69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</row>
    <row r="164" ht="15.75" customHeight="1" s="673">
      <c r="A164" s="69" t="n"/>
      <c r="B164" s="131" t="n"/>
      <c r="C164" s="131" t="n"/>
      <c r="D164" s="131" t="n"/>
      <c r="E164" s="131" t="n"/>
      <c r="F164" s="131" t="n"/>
      <c r="G164" s="131" t="n"/>
      <c r="H164" s="131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</row>
    <row r="165" ht="15.75" customHeight="1" s="673">
      <c r="A165" s="69" t="n"/>
      <c r="B165" s="131" t="n"/>
      <c r="C165" s="131" t="n"/>
      <c r="D165" s="131" t="n"/>
      <c r="E165" s="131" t="n"/>
      <c r="F165" s="131" t="n"/>
      <c r="G165" s="131" t="n"/>
      <c r="H165" s="131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  <c r="Z165" s="69" t="n"/>
    </row>
    <row r="166" ht="15.75" customHeight="1" s="673">
      <c r="A166" s="69" t="n"/>
      <c r="B166" s="131" t="n"/>
      <c r="C166" s="131" t="n"/>
      <c r="D166" s="131" t="n"/>
      <c r="E166" s="131" t="n"/>
      <c r="F166" s="131" t="n"/>
      <c r="G166" s="131" t="n"/>
      <c r="H166" s="131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</row>
    <row r="167" ht="15.75" customHeight="1" s="673">
      <c r="A167" s="69" t="n"/>
      <c r="B167" s="131" t="n"/>
      <c r="C167" s="131" t="n"/>
      <c r="D167" s="131" t="n"/>
      <c r="E167" s="131" t="n"/>
      <c r="F167" s="131" t="n"/>
      <c r="G167" s="131" t="n"/>
      <c r="H167" s="131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</row>
    <row r="168" ht="15.75" customHeight="1" s="673">
      <c r="A168" s="69" t="n"/>
      <c r="B168" s="131" t="n"/>
      <c r="C168" s="131" t="n"/>
      <c r="D168" s="131" t="n"/>
      <c r="E168" s="131" t="n"/>
      <c r="F168" s="131" t="n"/>
      <c r="G168" s="131" t="n"/>
      <c r="H168" s="131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</row>
    <row r="169" ht="15.75" customHeight="1" s="673">
      <c r="A169" s="69" t="n"/>
      <c r="B169" s="131" t="n"/>
      <c r="C169" s="131" t="n"/>
      <c r="D169" s="131" t="n"/>
      <c r="E169" s="131" t="n"/>
      <c r="F169" s="131" t="n"/>
      <c r="G169" s="131" t="n"/>
      <c r="H169" s="131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</row>
    <row r="170" ht="15.75" customHeight="1" s="673">
      <c r="A170" s="69" t="n"/>
      <c r="B170" s="131" t="n"/>
      <c r="C170" s="131" t="n"/>
      <c r="D170" s="131" t="n"/>
      <c r="E170" s="131" t="n"/>
      <c r="F170" s="131" t="n"/>
      <c r="G170" s="131" t="n"/>
      <c r="H170" s="131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</row>
    <row r="171" ht="15.75" customHeight="1" s="673">
      <c r="A171" s="69" t="n"/>
      <c r="B171" s="131" t="n"/>
      <c r="C171" s="131" t="n"/>
      <c r="D171" s="131" t="n"/>
      <c r="E171" s="131" t="n"/>
      <c r="F171" s="131" t="n"/>
      <c r="G171" s="131" t="n"/>
      <c r="H171" s="131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</row>
    <row r="172" ht="15.75" customHeight="1" s="673">
      <c r="A172" s="69" t="n"/>
      <c r="B172" s="131" t="n"/>
      <c r="C172" s="131" t="n"/>
      <c r="D172" s="131" t="n"/>
      <c r="E172" s="131" t="n"/>
      <c r="F172" s="131" t="n"/>
      <c r="G172" s="131" t="n"/>
      <c r="H172" s="131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</row>
    <row r="173" ht="15.75" customHeight="1" s="673">
      <c r="A173" s="69" t="n"/>
      <c r="B173" s="131" t="n"/>
      <c r="C173" s="131" t="n"/>
      <c r="D173" s="131" t="n"/>
      <c r="E173" s="131" t="n"/>
      <c r="F173" s="131" t="n"/>
      <c r="G173" s="131" t="n"/>
      <c r="H173" s="131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</row>
    <row r="174" ht="15.75" customHeight="1" s="673">
      <c r="A174" s="69" t="n"/>
      <c r="B174" s="131" t="n"/>
      <c r="C174" s="131" t="n"/>
      <c r="D174" s="131" t="n"/>
      <c r="E174" s="131" t="n"/>
      <c r="F174" s="131" t="n"/>
      <c r="G174" s="131" t="n"/>
      <c r="H174" s="131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</row>
    <row r="175" ht="15.75" customHeight="1" s="673">
      <c r="A175" s="69" t="n"/>
      <c r="B175" s="131" t="n"/>
      <c r="C175" s="131" t="n"/>
      <c r="D175" s="131" t="n"/>
      <c r="E175" s="131" t="n"/>
      <c r="F175" s="131" t="n"/>
      <c r="G175" s="131" t="n"/>
      <c r="H175" s="131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</row>
    <row r="176" ht="15.75" customHeight="1" s="673">
      <c r="A176" s="69" t="n"/>
      <c r="B176" s="131" t="n"/>
      <c r="C176" s="131" t="n"/>
      <c r="D176" s="131" t="n"/>
      <c r="E176" s="131" t="n"/>
      <c r="F176" s="131" t="n"/>
      <c r="G176" s="131" t="n"/>
      <c r="H176" s="131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</row>
    <row r="177" ht="15.75" customHeight="1" s="673">
      <c r="A177" s="69" t="n"/>
      <c r="B177" s="131" t="n"/>
      <c r="C177" s="131" t="n"/>
      <c r="D177" s="131" t="n"/>
      <c r="E177" s="131" t="n"/>
      <c r="F177" s="131" t="n"/>
      <c r="G177" s="131" t="n"/>
      <c r="H177" s="131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</row>
    <row r="178" ht="15.75" customHeight="1" s="673">
      <c r="A178" s="69" t="n"/>
      <c r="B178" s="131" t="n"/>
      <c r="C178" s="131" t="n"/>
      <c r="D178" s="131" t="n"/>
      <c r="E178" s="131" t="n"/>
      <c r="F178" s="131" t="n"/>
      <c r="G178" s="131" t="n"/>
      <c r="H178" s="131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</row>
    <row r="179" ht="15.75" customHeight="1" s="673">
      <c r="A179" s="69" t="n"/>
      <c r="B179" s="131" t="n"/>
      <c r="C179" s="131" t="n"/>
      <c r="D179" s="131" t="n"/>
      <c r="E179" s="131" t="n"/>
      <c r="F179" s="131" t="n"/>
      <c r="G179" s="131" t="n"/>
      <c r="H179" s="131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</row>
    <row r="180" ht="15.75" customHeight="1" s="673">
      <c r="A180" s="69" t="n"/>
      <c r="B180" s="131" t="n"/>
      <c r="C180" s="131" t="n"/>
      <c r="D180" s="131" t="n"/>
      <c r="E180" s="131" t="n"/>
      <c r="F180" s="131" t="n"/>
      <c r="G180" s="131" t="n"/>
      <c r="H180" s="131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</row>
    <row r="181" ht="15.75" customHeight="1" s="673">
      <c r="A181" s="69" t="n"/>
      <c r="B181" s="131" t="n"/>
      <c r="C181" s="131" t="n"/>
      <c r="D181" s="131" t="n"/>
      <c r="E181" s="131" t="n"/>
      <c r="F181" s="131" t="n"/>
      <c r="G181" s="131" t="n"/>
      <c r="H181" s="131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</row>
    <row r="182" ht="15.75" customHeight="1" s="673">
      <c r="A182" s="69" t="n"/>
      <c r="B182" s="131" t="n"/>
      <c r="C182" s="131" t="n"/>
      <c r="D182" s="131" t="n"/>
      <c r="E182" s="131" t="n"/>
      <c r="F182" s="131" t="n"/>
      <c r="G182" s="131" t="n"/>
      <c r="H182" s="131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</row>
    <row r="183" ht="15.75" customHeight="1" s="673">
      <c r="A183" s="69" t="n"/>
      <c r="B183" s="131" t="n"/>
      <c r="C183" s="131" t="n"/>
      <c r="D183" s="131" t="n"/>
      <c r="E183" s="131" t="n"/>
      <c r="F183" s="131" t="n"/>
      <c r="G183" s="131" t="n"/>
      <c r="H183" s="131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</row>
    <row r="184" ht="15.75" customHeight="1" s="673">
      <c r="A184" s="69" t="n"/>
      <c r="B184" s="131" t="n"/>
      <c r="C184" s="131" t="n"/>
      <c r="D184" s="131" t="n"/>
      <c r="E184" s="131" t="n"/>
      <c r="F184" s="131" t="n"/>
      <c r="G184" s="131" t="n"/>
      <c r="H184" s="131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</row>
    <row r="185" ht="15.75" customHeight="1" s="673">
      <c r="A185" s="69" t="n"/>
      <c r="B185" s="131" t="n"/>
      <c r="C185" s="131" t="n"/>
      <c r="D185" s="131" t="n"/>
      <c r="E185" s="131" t="n"/>
      <c r="F185" s="131" t="n"/>
      <c r="G185" s="131" t="n"/>
      <c r="H185" s="131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  <c r="Z185" s="69" t="n"/>
    </row>
    <row r="186" ht="15.75" customHeight="1" s="673">
      <c r="A186" s="69" t="n"/>
      <c r="B186" s="131" t="n"/>
      <c r="C186" s="131" t="n"/>
      <c r="D186" s="131" t="n"/>
      <c r="E186" s="131" t="n"/>
      <c r="F186" s="131" t="n"/>
      <c r="G186" s="131" t="n"/>
      <c r="H186" s="131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</row>
    <row r="187" ht="15.75" customHeight="1" s="673">
      <c r="A187" s="69" t="n"/>
      <c r="B187" s="131" t="n"/>
      <c r="C187" s="131" t="n"/>
      <c r="D187" s="131" t="n"/>
      <c r="E187" s="131" t="n"/>
      <c r="F187" s="131" t="n"/>
      <c r="G187" s="131" t="n"/>
      <c r="H187" s="131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</row>
    <row r="188" ht="15.75" customHeight="1" s="673">
      <c r="A188" s="69" t="n"/>
      <c r="B188" s="131" t="n"/>
      <c r="C188" s="131" t="n"/>
      <c r="D188" s="131" t="n"/>
      <c r="E188" s="131" t="n"/>
      <c r="F188" s="131" t="n"/>
      <c r="G188" s="131" t="n"/>
      <c r="H188" s="131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</row>
    <row r="189" ht="15.75" customHeight="1" s="673">
      <c r="A189" s="69" t="n"/>
      <c r="B189" s="131" t="n"/>
      <c r="C189" s="131" t="n"/>
      <c r="D189" s="131" t="n"/>
      <c r="E189" s="131" t="n"/>
      <c r="F189" s="131" t="n"/>
      <c r="G189" s="131" t="n"/>
      <c r="H189" s="131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</row>
    <row r="190" ht="15.75" customHeight="1" s="673">
      <c r="A190" s="69" t="n"/>
      <c r="B190" s="131" t="n"/>
      <c r="C190" s="131" t="n"/>
      <c r="D190" s="131" t="n"/>
      <c r="E190" s="131" t="n"/>
      <c r="F190" s="131" t="n"/>
      <c r="G190" s="131" t="n"/>
      <c r="H190" s="131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</row>
    <row r="191" ht="15.75" customHeight="1" s="673">
      <c r="A191" s="69" t="n"/>
      <c r="B191" s="131" t="n"/>
      <c r="C191" s="131" t="n"/>
      <c r="D191" s="131" t="n"/>
      <c r="E191" s="131" t="n"/>
      <c r="F191" s="131" t="n"/>
      <c r="G191" s="131" t="n"/>
      <c r="H191" s="131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</row>
    <row r="192" ht="15.75" customHeight="1" s="673">
      <c r="A192" s="69" t="n"/>
      <c r="B192" s="131" t="n"/>
      <c r="C192" s="131" t="n"/>
      <c r="D192" s="131" t="n"/>
      <c r="E192" s="131" t="n"/>
      <c r="F192" s="131" t="n"/>
      <c r="G192" s="131" t="n"/>
      <c r="H192" s="131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</row>
    <row r="193" ht="15.75" customHeight="1" s="673">
      <c r="A193" s="69" t="n"/>
      <c r="B193" s="131" t="n"/>
      <c r="C193" s="131" t="n"/>
      <c r="D193" s="131" t="n"/>
      <c r="E193" s="131" t="n"/>
      <c r="F193" s="131" t="n"/>
      <c r="G193" s="131" t="n"/>
      <c r="H193" s="131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</row>
    <row r="194" ht="15.75" customHeight="1" s="673">
      <c r="A194" s="69" t="n"/>
      <c r="B194" s="131" t="n"/>
      <c r="C194" s="131" t="n"/>
      <c r="D194" s="131" t="n"/>
      <c r="E194" s="131" t="n"/>
      <c r="F194" s="131" t="n"/>
      <c r="G194" s="131" t="n"/>
      <c r="H194" s="131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</row>
    <row r="195" ht="15.75" customHeight="1" s="673">
      <c r="A195" s="69" t="n"/>
      <c r="B195" s="131" t="n"/>
      <c r="C195" s="131" t="n"/>
      <c r="D195" s="131" t="n"/>
      <c r="E195" s="131" t="n"/>
      <c r="F195" s="131" t="n"/>
      <c r="G195" s="131" t="n"/>
      <c r="H195" s="131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</row>
    <row r="196" ht="15.75" customHeight="1" s="673">
      <c r="A196" s="69" t="n"/>
      <c r="B196" s="131" t="n"/>
      <c r="C196" s="131" t="n"/>
      <c r="D196" s="131" t="n"/>
      <c r="E196" s="131" t="n"/>
      <c r="F196" s="131" t="n"/>
      <c r="G196" s="131" t="n"/>
      <c r="H196" s="131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</row>
    <row r="197" ht="15.75" customHeight="1" s="673">
      <c r="A197" s="69" t="n"/>
      <c r="B197" s="131" t="n"/>
      <c r="C197" s="131" t="n"/>
      <c r="D197" s="131" t="n"/>
      <c r="E197" s="131" t="n"/>
      <c r="F197" s="131" t="n"/>
      <c r="G197" s="131" t="n"/>
      <c r="H197" s="131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</row>
    <row r="198" ht="15.75" customHeight="1" s="673">
      <c r="A198" s="69" t="n"/>
      <c r="B198" s="131" t="n"/>
      <c r="C198" s="131" t="n"/>
      <c r="D198" s="131" t="n"/>
      <c r="E198" s="131" t="n"/>
      <c r="F198" s="131" t="n"/>
      <c r="G198" s="131" t="n"/>
      <c r="H198" s="131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</row>
    <row r="199" ht="15.75" customHeight="1" s="673">
      <c r="A199" s="69" t="n"/>
      <c r="B199" s="131" t="n"/>
      <c r="C199" s="131" t="n"/>
      <c r="D199" s="131" t="n"/>
      <c r="E199" s="131" t="n"/>
      <c r="F199" s="131" t="n"/>
      <c r="G199" s="131" t="n"/>
      <c r="H199" s="131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</row>
    <row r="200" ht="15.75" customHeight="1" s="673">
      <c r="A200" s="69" t="n"/>
      <c r="B200" s="131" t="n"/>
      <c r="C200" s="131" t="n"/>
      <c r="D200" s="131" t="n"/>
      <c r="E200" s="131" t="n"/>
      <c r="F200" s="131" t="n"/>
      <c r="G200" s="131" t="n"/>
      <c r="H200" s="131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</row>
    <row r="201" ht="15.75" customHeight="1" s="673">
      <c r="A201" s="69" t="n"/>
      <c r="B201" s="131" t="n"/>
      <c r="C201" s="131" t="n"/>
      <c r="D201" s="131" t="n"/>
      <c r="E201" s="131" t="n"/>
      <c r="F201" s="131" t="n"/>
      <c r="G201" s="131" t="n"/>
      <c r="H201" s="131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</row>
    <row r="202" ht="15.75" customHeight="1" s="673">
      <c r="A202" s="69" t="n"/>
      <c r="B202" s="131" t="n"/>
      <c r="C202" s="131" t="n"/>
      <c r="D202" s="131" t="n"/>
      <c r="E202" s="131" t="n"/>
      <c r="F202" s="131" t="n"/>
      <c r="G202" s="131" t="n"/>
      <c r="H202" s="131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</row>
    <row r="203" ht="15.75" customHeight="1" s="673">
      <c r="A203" s="69" t="n"/>
      <c r="B203" s="131" t="n"/>
      <c r="C203" s="131" t="n"/>
      <c r="D203" s="131" t="n"/>
      <c r="E203" s="131" t="n"/>
      <c r="F203" s="131" t="n"/>
      <c r="G203" s="131" t="n"/>
      <c r="H203" s="131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</row>
    <row r="204" ht="15.75" customHeight="1" s="673">
      <c r="A204" s="69" t="n"/>
      <c r="B204" s="131" t="n"/>
      <c r="C204" s="131" t="n"/>
      <c r="D204" s="131" t="n"/>
      <c r="E204" s="131" t="n"/>
      <c r="F204" s="131" t="n"/>
      <c r="G204" s="131" t="n"/>
      <c r="H204" s="131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</row>
    <row r="205" ht="15.75" customHeight="1" s="673">
      <c r="A205" s="69" t="n"/>
      <c r="B205" s="131" t="n"/>
      <c r="C205" s="131" t="n"/>
      <c r="D205" s="131" t="n"/>
      <c r="E205" s="131" t="n"/>
      <c r="F205" s="131" t="n"/>
      <c r="G205" s="131" t="n"/>
      <c r="H205" s="131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</row>
    <row r="206" ht="15.75" customHeight="1" s="673">
      <c r="A206" s="69" t="n"/>
      <c r="B206" s="131" t="n"/>
      <c r="C206" s="131" t="n"/>
      <c r="D206" s="131" t="n"/>
      <c r="E206" s="131" t="n"/>
      <c r="F206" s="131" t="n"/>
      <c r="G206" s="131" t="n"/>
      <c r="H206" s="131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</row>
    <row r="207" ht="15.75" customHeight="1" s="673">
      <c r="A207" s="69" t="n"/>
      <c r="B207" s="131" t="n"/>
      <c r="C207" s="131" t="n"/>
      <c r="D207" s="131" t="n"/>
      <c r="E207" s="131" t="n"/>
      <c r="F207" s="131" t="n"/>
      <c r="G207" s="131" t="n"/>
      <c r="H207" s="131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</row>
    <row r="208" ht="15.75" customHeight="1" s="673">
      <c r="A208" s="69" t="n"/>
      <c r="B208" s="131" t="n"/>
      <c r="C208" s="131" t="n"/>
      <c r="D208" s="131" t="n"/>
      <c r="E208" s="131" t="n"/>
      <c r="F208" s="131" t="n"/>
      <c r="G208" s="131" t="n"/>
      <c r="H208" s="131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</row>
    <row r="209" ht="15.75" customHeight="1" s="673">
      <c r="A209" s="69" t="n"/>
      <c r="B209" s="131" t="n"/>
      <c r="C209" s="131" t="n"/>
      <c r="D209" s="131" t="n"/>
      <c r="E209" s="131" t="n"/>
      <c r="F209" s="131" t="n"/>
      <c r="G209" s="131" t="n"/>
      <c r="H209" s="131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</row>
    <row r="210" ht="15.75" customHeight="1" s="673">
      <c r="A210" s="69" t="n"/>
      <c r="B210" s="131" t="n"/>
      <c r="C210" s="131" t="n"/>
      <c r="D210" s="131" t="n"/>
      <c r="E210" s="131" t="n"/>
      <c r="F210" s="131" t="n"/>
      <c r="G210" s="131" t="n"/>
      <c r="H210" s="131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</row>
    <row r="211" ht="15.75" customHeight="1" s="673">
      <c r="A211" s="69" t="n"/>
      <c r="B211" s="131" t="n"/>
      <c r="C211" s="131" t="n"/>
      <c r="D211" s="131" t="n"/>
      <c r="E211" s="131" t="n"/>
      <c r="F211" s="131" t="n"/>
      <c r="G211" s="131" t="n"/>
      <c r="H211" s="131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  <c r="Z211" s="69" t="n"/>
    </row>
    <row r="212" ht="15.75" customHeight="1" s="673">
      <c r="A212" s="69" t="n"/>
      <c r="B212" s="131" t="n"/>
      <c r="C212" s="131" t="n"/>
      <c r="D212" s="131" t="n"/>
      <c r="E212" s="131" t="n"/>
      <c r="F212" s="131" t="n"/>
      <c r="G212" s="131" t="n"/>
      <c r="H212" s="131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</row>
    <row r="213" ht="15.75" customHeight="1" s="673">
      <c r="A213" s="69" t="n"/>
      <c r="B213" s="131" t="n"/>
      <c r="C213" s="131" t="n"/>
      <c r="D213" s="131" t="n"/>
      <c r="E213" s="131" t="n"/>
      <c r="F213" s="131" t="n"/>
      <c r="G213" s="131" t="n"/>
      <c r="H213" s="131" t="n"/>
      <c r="I213" s="69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  <c r="Z213" s="69" t="n"/>
    </row>
    <row r="214" ht="15.75" customHeight="1" s="673">
      <c r="A214" s="69" t="n"/>
      <c r="B214" s="131" t="n"/>
      <c r="C214" s="131" t="n"/>
      <c r="D214" s="131" t="n"/>
      <c r="E214" s="131" t="n"/>
      <c r="F214" s="131" t="n"/>
      <c r="G214" s="131" t="n"/>
      <c r="H214" s="131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</row>
    <row r="215" ht="15.75" customHeight="1" s="673">
      <c r="A215" s="69" t="n"/>
      <c r="B215" s="131" t="n"/>
      <c r="C215" s="131" t="n"/>
      <c r="D215" s="131" t="n"/>
      <c r="E215" s="131" t="n"/>
      <c r="F215" s="131" t="n"/>
      <c r="G215" s="131" t="n"/>
      <c r="H215" s="131" t="n"/>
      <c r="I215" s="69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</row>
    <row r="216" ht="15.75" customHeight="1" s="673">
      <c r="A216" s="69" t="n"/>
      <c r="B216" s="131" t="n"/>
      <c r="C216" s="131" t="n"/>
      <c r="D216" s="131" t="n"/>
      <c r="E216" s="131" t="n"/>
      <c r="F216" s="131" t="n"/>
      <c r="G216" s="131" t="n"/>
      <c r="H216" s="131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</row>
    <row r="217" ht="15.75" customHeight="1" s="673">
      <c r="A217" s="69" t="n"/>
      <c r="B217" s="131" t="n"/>
      <c r="C217" s="131" t="n"/>
      <c r="D217" s="131" t="n"/>
      <c r="E217" s="131" t="n"/>
      <c r="F217" s="131" t="n"/>
      <c r="G217" s="131" t="n"/>
      <c r="H217" s="131" t="n"/>
      <c r="I217" s="69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  <c r="Z217" s="69" t="n"/>
    </row>
    <row r="218" ht="15.75" customHeight="1" s="673">
      <c r="A218" s="69" t="n"/>
      <c r="B218" s="131" t="n"/>
      <c r="C218" s="131" t="n"/>
      <c r="D218" s="131" t="n"/>
      <c r="E218" s="131" t="n"/>
      <c r="F218" s="131" t="n"/>
      <c r="G218" s="131" t="n"/>
      <c r="H218" s="131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</row>
    <row r="219" ht="15.75" customHeight="1" s="673">
      <c r="A219" s="69" t="n"/>
      <c r="B219" s="131" t="n"/>
      <c r="C219" s="131" t="n"/>
      <c r="D219" s="131" t="n"/>
      <c r="E219" s="131" t="n"/>
      <c r="F219" s="131" t="n"/>
      <c r="G219" s="131" t="n"/>
      <c r="H219" s="131" t="n"/>
      <c r="I219" s="69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  <c r="Z219" s="69" t="n"/>
    </row>
    <row r="220" ht="15.75" customHeight="1" s="673">
      <c r="A220" s="69" t="n"/>
      <c r="B220" s="131" t="n"/>
      <c r="C220" s="131" t="n"/>
      <c r="D220" s="131" t="n"/>
      <c r="E220" s="131" t="n"/>
      <c r="F220" s="131" t="n"/>
      <c r="G220" s="131" t="n"/>
      <c r="H220" s="131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</row>
    <row r="221" ht="15.75" customHeight="1" s="673">
      <c r="A221" s="69" t="n"/>
      <c r="B221" s="131" t="n"/>
      <c r="C221" s="131" t="n"/>
      <c r="D221" s="131" t="n"/>
      <c r="E221" s="131" t="n"/>
      <c r="F221" s="131" t="n"/>
      <c r="G221" s="131" t="n"/>
      <c r="H221" s="131" t="n"/>
      <c r="I221" s="69" t="n"/>
      <c r="J221" s="69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</row>
    <row r="222" ht="15.75" customHeight="1" s="673">
      <c r="A222" s="69" t="n"/>
      <c r="B222" s="131" t="n"/>
      <c r="C222" s="131" t="n"/>
      <c r="D222" s="131" t="n"/>
      <c r="E222" s="131" t="n"/>
      <c r="F222" s="131" t="n"/>
      <c r="G222" s="131" t="n"/>
      <c r="H222" s="131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</row>
    <row r="223" ht="15.75" customHeight="1" s="673">
      <c r="A223" s="69" t="n"/>
      <c r="B223" s="131" t="n"/>
      <c r="C223" s="131" t="n"/>
      <c r="D223" s="131" t="n"/>
      <c r="E223" s="131" t="n"/>
      <c r="F223" s="131" t="n"/>
      <c r="G223" s="131" t="n"/>
      <c r="H223" s="131" t="n"/>
      <c r="I223" s="69" t="n"/>
      <c r="J223" s="69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  <c r="Z223" s="69" t="n"/>
    </row>
    <row r="224" ht="15.75" customHeight="1" s="673">
      <c r="A224" s="69" t="n"/>
      <c r="B224" s="131" t="n"/>
      <c r="C224" s="131" t="n"/>
      <c r="D224" s="131" t="n"/>
      <c r="E224" s="131" t="n"/>
      <c r="F224" s="131" t="n"/>
      <c r="G224" s="131" t="n"/>
      <c r="H224" s="131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</row>
    <row r="225" ht="15.75" customHeight="1" s="673">
      <c r="A225" s="69" t="n"/>
      <c r="B225" s="131" t="n"/>
      <c r="C225" s="131" t="n"/>
      <c r="D225" s="131" t="n"/>
      <c r="E225" s="131" t="n"/>
      <c r="F225" s="131" t="n"/>
      <c r="G225" s="131" t="n"/>
      <c r="H225" s="131" t="n"/>
      <c r="I225" s="69" t="n"/>
      <c r="J225" s="69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  <c r="Z225" s="69" t="n"/>
    </row>
    <row r="226" ht="15.75" customHeight="1" s="673">
      <c r="A226" s="69" t="n"/>
      <c r="B226" s="131" t="n"/>
      <c r="C226" s="131" t="n"/>
      <c r="D226" s="131" t="n"/>
      <c r="E226" s="131" t="n"/>
      <c r="F226" s="131" t="n"/>
      <c r="G226" s="131" t="n"/>
      <c r="H226" s="131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</row>
    <row r="227" ht="15.75" customHeight="1" s="673">
      <c r="A227" s="69" t="n"/>
      <c r="B227" s="131" t="n"/>
      <c r="C227" s="131" t="n"/>
      <c r="D227" s="131" t="n"/>
      <c r="E227" s="131" t="n"/>
      <c r="F227" s="131" t="n"/>
      <c r="G227" s="131" t="n"/>
      <c r="H227" s="131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  <c r="Z227" s="69" t="n"/>
    </row>
    <row r="228" ht="15.75" customHeight="1" s="673">
      <c r="A228" s="69" t="n"/>
      <c r="B228" s="131" t="n"/>
      <c r="C228" s="131" t="n"/>
      <c r="D228" s="131" t="n"/>
      <c r="E228" s="131" t="n"/>
      <c r="F228" s="131" t="n"/>
      <c r="G228" s="131" t="n"/>
      <c r="H228" s="131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</row>
    <row r="229" ht="15.75" customHeight="1" s="673">
      <c r="A229" s="69" t="n"/>
      <c r="B229" s="131" t="n"/>
      <c r="C229" s="131" t="n"/>
      <c r="D229" s="131" t="n"/>
      <c r="E229" s="131" t="n"/>
      <c r="F229" s="131" t="n"/>
      <c r="G229" s="131" t="n"/>
      <c r="H229" s="131" t="n"/>
      <c r="I229" s="69" t="n"/>
      <c r="J229" s="69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  <c r="Z229" s="69" t="n"/>
    </row>
    <row r="230" ht="15.75" customHeight="1" s="673">
      <c r="A230" s="69" t="n"/>
      <c r="B230" s="131" t="n"/>
      <c r="C230" s="131" t="n"/>
      <c r="D230" s="131" t="n"/>
      <c r="E230" s="131" t="n"/>
      <c r="F230" s="131" t="n"/>
      <c r="G230" s="131" t="n"/>
      <c r="H230" s="131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</row>
    <row r="231" ht="15.75" customHeight="1" s="673">
      <c r="A231" s="69" t="n"/>
      <c r="B231" s="131" t="n"/>
      <c r="C231" s="131" t="n"/>
      <c r="D231" s="131" t="n"/>
      <c r="E231" s="131" t="n"/>
      <c r="F231" s="131" t="n"/>
      <c r="G231" s="131" t="n"/>
      <c r="H231" s="131" t="n"/>
      <c r="I231" s="69" t="n"/>
      <c r="J231" s="69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  <c r="Z231" s="69" t="n"/>
    </row>
    <row r="232" ht="15.75" customHeight="1" s="673">
      <c r="A232" s="69" t="n"/>
      <c r="B232" s="131" t="n"/>
      <c r="C232" s="131" t="n"/>
      <c r="D232" s="131" t="n"/>
      <c r="E232" s="131" t="n"/>
      <c r="F232" s="131" t="n"/>
      <c r="G232" s="131" t="n"/>
      <c r="H232" s="131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</row>
    <row r="233" ht="15.75" customHeight="1" s="673">
      <c r="A233" s="69" t="n"/>
      <c r="B233" s="131" t="n"/>
      <c r="C233" s="131" t="n"/>
      <c r="D233" s="131" t="n"/>
      <c r="E233" s="131" t="n"/>
      <c r="F233" s="131" t="n"/>
      <c r="G233" s="131" t="n"/>
      <c r="H233" s="131" t="n"/>
      <c r="I233" s="69" t="n"/>
      <c r="J233" s="69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  <c r="Z233" s="69" t="n"/>
    </row>
    <row r="234" ht="15.75" customHeight="1" s="673">
      <c r="A234" s="69" t="n"/>
      <c r="B234" s="131" t="n"/>
      <c r="C234" s="131" t="n"/>
      <c r="D234" s="131" t="n"/>
      <c r="E234" s="131" t="n"/>
      <c r="F234" s="131" t="n"/>
      <c r="G234" s="131" t="n"/>
      <c r="H234" s="131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</row>
    <row r="235" ht="15.75" customHeight="1" s="673">
      <c r="A235" s="69" t="n"/>
      <c r="B235" s="131" t="n"/>
      <c r="C235" s="131" t="n"/>
      <c r="D235" s="131" t="n"/>
      <c r="E235" s="131" t="n"/>
      <c r="F235" s="131" t="n"/>
      <c r="G235" s="131" t="n"/>
      <c r="H235" s="131" t="n"/>
      <c r="I235" s="69" t="n"/>
      <c r="J235" s="69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  <c r="Z235" s="69" t="n"/>
    </row>
    <row r="236" ht="15.75" customHeight="1" s="673">
      <c r="A236" s="69" t="n"/>
      <c r="B236" s="131" t="n"/>
      <c r="C236" s="131" t="n"/>
      <c r="D236" s="131" t="n"/>
      <c r="E236" s="131" t="n"/>
      <c r="F236" s="131" t="n"/>
      <c r="G236" s="131" t="n"/>
      <c r="H236" s="131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</row>
    <row r="237" ht="15.75" customHeight="1" s="673">
      <c r="A237" s="69" t="n"/>
      <c r="B237" s="131" t="n"/>
      <c r="C237" s="131" t="n"/>
      <c r="D237" s="131" t="n"/>
      <c r="E237" s="131" t="n"/>
      <c r="F237" s="131" t="n"/>
      <c r="G237" s="131" t="n"/>
      <c r="H237" s="131" t="n"/>
      <c r="I237" s="69" t="n"/>
      <c r="J237" s="69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  <c r="Z237" s="69" t="n"/>
    </row>
    <row r="238" ht="15.75" customHeight="1" s="673">
      <c r="A238" s="69" t="n"/>
      <c r="B238" s="131" t="n"/>
      <c r="C238" s="131" t="n"/>
      <c r="D238" s="131" t="n"/>
      <c r="E238" s="131" t="n"/>
      <c r="F238" s="131" t="n"/>
      <c r="G238" s="131" t="n"/>
      <c r="H238" s="131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</row>
    <row r="239" ht="15.75" customHeight="1" s="673">
      <c r="A239" s="69" t="n"/>
      <c r="B239" s="131" t="n"/>
      <c r="C239" s="131" t="n"/>
      <c r="D239" s="131" t="n"/>
      <c r="E239" s="131" t="n"/>
      <c r="F239" s="131" t="n"/>
      <c r="G239" s="131" t="n"/>
      <c r="H239" s="131" t="n"/>
      <c r="I239" s="69" t="n"/>
      <c r="J239" s="69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  <c r="Z239" s="69" t="n"/>
    </row>
    <row r="240" ht="15.75" customHeight="1" s="673">
      <c r="A240" s="69" t="n"/>
      <c r="B240" s="131" t="n"/>
      <c r="C240" s="131" t="n"/>
      <c r="D240" s="131" t="n"/>
      <c r="E240" s="131" t="n"/>
      <c r="F240" s="131" t="n"/>
      <c r="G240" s="131" t="n"/>
      <c r="H240" s="131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</row>
    <row r="241" ht="15.75" customHeight="1" s="673">
      <c r="A241" s="69" t="n"/>
      <c r="B241" s="131" t="n"/>
      <c r="C241" s="131" t="n"/>
      <c r="D241" s="131" t="n"/>
      <c r="E241" s="131" t="n"/>
      <c r="F241" s="131" t="n"/>
      <c r="G241" s="131" t="n"/>
      <c r="H241" s="131" t="n"/>
      <c r="I241" s="69" t="n"/>
      <c r="J241" s="69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  <c r="Z241" s="69" t="n"/>
    </row>
    <row r="242" ht="15.75" customHeight="1" s="673">
      <c r="A242" s="69" t="n"/>
      <c r="B242" s="131" t="n"/>
      <c r="C242" s="131" t="n"/>
      <c r="D242" s="131" t="n"/>
      <c r="E242" s="131" t="n"/>
      <c r="F242" s="131" t="n"/>
      <c r="G242" s="131" t="n"/>
      <c r="H242" s="131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</row>
    <row r="243" ht="15.75" customHeight="1" s="673">
      <c r="A243" s="69" t="n"/>
      <c r="B243" s="131" t="n"/>
      <c r="C243" s="131" t="n"/>
      <c r="D243" s="131" t="n"/>
      <c r="E243" s="131" t="n"/>
      <c r="F243" s="131" t="n"/>
      <c r="G243" s="131" t="n"/>
      <c r="H243" s="131" t="n"/>
      <c r="I243" s="69" t="n"/>
      <c r="J243" s="69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  <c r="Z243" s="69" t="n"/>
    </row>
    <row r="244" ht="15.75" customHeight="1" s="673">
      <c r="A244" s="69" t="n"/>
      <c r="B244" s="131" t="n"/>
      <c r="C244" s="131" t="n"/>
      <c r="D244" s="131" t="n"/>
      <c r="E244" s="131" t="n"/>
      <c r="F244" s="131" t="n"/>
      <c r="G244" s="131" t="n"/>
      <c r="H244" s="131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</row>
    <row r="245" ht="15.75" customHeight="1" s="673">
      <c r="A245" s="69" t="n"/>
      <c r="B245" s="131" t="n"/>
      <c r="C245" s="131" t="n"/>
      <c r="D245" s="131" t="n"/>
      <c r="E245" s="131" t="n"/>
      <c r="F245" s="131" t="n"/>
      <c r="G245" s="131" t="n"/>
      <c r="H245" s="131" t="n"/>
      <c r="I245" s="69" t="n"/>
      <c r="J245" s="69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  <c r="Z245" s="69" t="n"/>
    </row>
    <row r="246" ht="15.75" customHeight="1" s="673">
      <c r="A246" s="69" t="n"/>
      <c r="B246" s="131" t="n"/>
      <c r="C246" s="131" t="n"/>
      <c r="D246" s="131" t="n"/>
      <c r="E246" s="131" t="n"/>
      <c r="F246" s="131" t="n"/>
      <c r="G246" s="131" t="n"/>
      <c r="H246" s="131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  <c r="Z246" s="69" t="n"/>
    </row>
    <row r="247" ht="15.75" customHeight="1" s="673">
      <c r="A247" s="69" t="n"/>
      <c r="B247" s="131" t="n"/>
      <c r="C247" s="131" t="n"/>
      <c r="D247" s="131" t="n"/>
      <c r="E247" s="131" t="n"/>
      <c r="F247" s="131" t="n"/>
      <c r="G247" s="131" t="n"/>
      <c r="H247" s="131" t="n"/>
      <c r="I247" s="69" t="n"/>
      <c r="J247" s="69" t="n"/>
      <c r="K247" s="69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  <c r="Z247" s="69" t="n"/>
    </row>
    <row r="248" ht="15.75" customHeight="1" s="673">
      <c r="A248" s="69" t="n"/>
      <c r="B248" s="131" t="n"/>
      <c r="C248" s="131" t="n"/>
      <c r="D248" s="131" t="n"/>
      <c r="E248" s="131" t="n"/>
      <c r="F248" s="131" t="n"/>
      <c r="G248" s="131" t="n"/>
      <c r="H248" s="131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</row>
    <row r="249" ht="15.75" customHeight="1" s="673">
      <c r="A249" s="69" t="n"/>
      <c r="B249" s="131" t="n"/>
      <c r="C249" s="131" t="n"/>
      <c r="D249" s="131" t="n"/>
      <c r="E249" s="131" t="n"/>
      <c r="F249" s="131" t="n"/>
      <c r="G249" s="131" t="n"/>
      <c r="H249" s="131" t="n"/>
      <c r="I249" s="69" t="n"/>
      <c r="J249" s="69" t="n"/>
      <c r="K249" s="69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  <c r="Z249" s="69" t="n"/>
    </row>
    <row r="250" ht="15.75" customHeight="1" s="673">
      <c r="A250" s="69" t="n"/>
      <c r="B250" s="131" t="n"/>
      <c r="C250" s="131" t="n"/>
      <c r="D250" s="131" t="n"/>
      <c r="E250" s="131" t="n"/>
      <c r="F250" s="131" t="n"/>
      <c r="G250" s="131" t="n"/>
      <c r="H250" s="131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</row>
    <row r="251" ht="15.75" customHeight="1" s="673">
      <c r="A251" s="69" t="n"/>
      <c r="B251" s="131" t="n"/>
      <c r="C251" s="131" t="n"/>
      <c r="D251" s="131" t="n"/>
      <c r="E251" s="131" t="n"/>
      <c r="F251" s="131" t="n"/>
      <c r="G251" s="131" t="n"/>
      <c r="H251" s="131" t="n"/>
      <c r="I251" s="69" t="n"/>
      <c r="J251" s="69" t="n"/>
      <c r="K251" s="69" t="n"/>
      <c r="L251" s="69" t="n"/>
      <c r="M251" s="69" t="n"/>
      <c r="N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W251" s="69" t="n"/>
      <c r="X251" s="69" t="n"/>
      <c r="Y251" s="69" t="n"/>
      <c r="Z251" s="69" t="n"/>
    </row>
    <row r="252" ht="15.75" customHeight="1" s="673">
      <c r="A252" s="69" t="n"/>
      <c r="B252" s="131" t="n"/>
      <c r="C252" s="131" t="n"/>
      <c r="D252" s="131" t="n"/>
      <c r="E252" s="131" t="n"/>
      <c r="F252" s="131" t="n"/>
      <c r="G252" s="131" t="n"/>
      <c r="H252" s="131" t="n"/>
      <c r="I252" s="69" t="n"/>
      <c r="J252" s="69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  <c r="Z252" s="69" t="n"/>
    </row>
    <row r="253" ht="15.75" customHeight="1" s="673">
      <c r="A253" s="69" t="n"/>
      <c r="B253" s="131" t="n"/>
      <c r="C253" s="131" t="n"/>
      <c r="D253" s="131" t="n"/>
      <c r="E253" s="131" t="n"/>
      <c r="F253" s="131" t="n"/>
      <c r="G253" s="131" t="n"/>
      <c r="H253" s="131" t="n"/>
      <c r="I253" s="69" t="n"/>
      <c r="J253" s="69" t="n"/>
      <c r="K253" s="69" t="n"/>
      <c r="L253" s="69" t="n"/>
      <c r="M253" s="69" t="n"/>
      <c r="N253" s="69" t="n"/>
      <c r="O253" s="69" t="n"/>
      <c r="P253" s="69" t="n"/>
      <c r="Q253" s="69" t="n"/>
      <c r="R253" s="69" t="n"/>
      <c r="S253" s="69" t="n"/>
      <c r="T253" s="69" t="n"/>
      <c r="U253" s="69" t="n"/>
      <c r="V253" s="69" t="n"/>
      <c r="W253" s="69" t="n"/>
      <c r="X253" s="69" t="n"/>
      <c r="Y253" s="69" t="n"/>
      <c r="Z253" s="69" t="n"/>
    </row>
    <row r="254" ht="15.75" customHeight="1" s="673">
      <c r="A254" s="69" t="n"/>
      <c r="B254" s="131" t="n"/>
      <c r="C254" s="131" t="n"/>
      <c r="D254" s="131" t="n"/>
      <c r="E254" s="131" t="n"/>
      <c r="F254" s="131" t="n"/>
      <c r="G254" s="131" t="n"/>
      <c r="H254" s="131" t="n"/>
      <c r="I254" s="69" t="n"/>
      <c r="J254" s="69" t="n"/>
      <c r="K254" s="69" t="n"/>
      <c r="L254" s="69" t="n"/>
      <c r="M254" s="69" t="n"/>
      <c r="N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  <c r="Z254" s="69" t="n"/>
    </row>
    <row r="255" ht="15.75" customHeight="1" s="673">
      <c r="A255" s="69" t="n"/>
      <c r="B255" s="131" t="n"/>
      <c r="C255" s="131" t="n"/>
      <c r="D255" s="131" t="n"/>
      <c r="E255" s="131" t="n"/>
      <c r="F255" s="131" t="n"/>
      <c r="G255" s="131" t="n"/>
      <c r="H255" s="131" t="n"/>
      <c r="I255" s="69" t="n"/>
      <c r="J255" s="69" t="n"/>
      <c r="K255" s="69" t="n"/>
      <c r="L255" s="69" t="n"/>
      <c r="M255" s="69" t="n"/>
      <c r="N255" s="69" t="n"/>
      <c r="O255" s="69" t="n"/>
      <c r="P255" s="69" t="n"/>
      <c r="Q255" s="69" t="n"/>
      <c r="R255" s="69" t="n"/>
      <c r="S255" s="69" t="n"/>
      <c r="T255" s="69" t="n"/>
      <c r="U255" s="69" t="n"/>
      <c r="V255" s="69" t="n"/>
      <c r="W255" s="69" t="n"/>
      <c r="X255" s="69" t="n"/>
      <c r="Y255" s="69" t="n"/>
      <c r="Z255" s="69" t="n"/>
    </row>
    <row r="256" ht="15.75" customHeight="1" s="673">
      <c r="A256" s="69" t="n"/>
      <c r="B256" s="131" t="n"/>
      <c r="C256" s="131" t="n"/>
      <c r="D256" s="131" t="n"/>
      <c r="E256" s="131" t="n"/>
      <c r="F256" s="131" t="n"/>
      <c r="G256" s="131" t="n"/>
      <c r="H256" s="131" t="n"/>
      <c r="I256" s="69" t="n"/>
      <c r="J256" s="69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  <c r="Z256" s="69" t="n"/>
    </row>
    <row r="257" ht="15.75" customHeight="1" s="673">
      <c r="A257" s="69" t="n"/>
      <c r="B257" s="131" t="n"/>
      <c r="C257" s="131" t="n"/>
      <c r="D257" s="131" t="n"/>
      <c r="E257" s="131" t="n"/>
      <c r="F257" s="131" t="n"/>
      <c r="G257" s="131" t="n"/>
      <c r="H257" s="131" t="n"/>
      <c r="I257" s="69" t="n"/>
      <c r="J257" s="69" t="n"/>
      <c r="K257" s="69" t="n"/>
      <c r="L257" s="69" t="n"/>
      <c r="M257" s="69" t="n"/>
      <c r="N257" s="69" t="n"/>
      <c r="O257" s="69" t="n"/>
      <c r="P257" s="69" t="n"/>
      <c r="Q257" s="69" t="n"/>
      <c r="R257" s="69" t="n"/>
      <c r="S257" s="69" t="n"/>
      <c r="T257" s="69" t="n"/>
      <c r="U257" s="69" t="n"/>
      <c r="V257" s="69" t="n"/>
      <c r="W257" s="69" t="n"/>
      <c r="X257" s="69" t="n"/>
      <c r="Y257" s="69" t="n"/>
      <c r="Z257" s="69" t="n"/>
    </row>
    <row r="258" ht="15.75" customHeight="1" s="673">
      <c r="A258" s="69" t="n"/>
      <c r="B258" s="131" t="n"/>
      <c r="C258" s="131" t="n"/>
      <c r="D258" s="131" t="n"/>
      <c r="E258" s="131" t="n"/>
      <c r="F258" s="131" t="n"/>
      <c r="G258" s="131" t="n"/>
      <c r="H258" s="131" t="n"/>
      <c r="I258" s="69" t="n"/>
      <c r="J258" s="69" t="n"/>
      <c r="K258" s="69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  <c r="Z258" s="69" t="n"/>
    </row>
    <row r="259" ht="15.75" customHeight="1" s="673">
      <c r="A259" s="69" t="n"/>
      <c r="B259" s="131" t="n"/>
      <c r="C259" s="131" t="n"/>
      <c r="D259" s="131" t="n"/>
      <c r="E259" s="131" t="n"/>
      <c r="F259" s="131" t="n"/>
      <c r="G259" s="131" t="n"/>
      <c r="H259" s="131" t="n"/>
      <c r="I259" s="69" t="n"/>
      <c r="J259" s="69" t="n"/>
      <c r="K259" s="69" t="n"/>
      <c r="L259" s="69" t="n"/>
      <c r="M259" s="69" t="n"/>
      <c r="N259" s="69" t="n"/>
      <c r="O259" s="69" t="n"/>
      <c r="P259" s="69" t="n"/>
      <c r="Q259" s="69" t="n"/>
      <c r="R259" s="69" t="n"/>
      <c r="S259" s="69" t="n"/>
      <c r="T259" s="69" t="n"/>
      <c r="U259" s="69" t="n"/>
      <c r="V259" s="69" t="n"/>
      <c r="W259" s="69" t="n"/>
      <c r="X259" s="69" t="n"/>
      <c r="Y259" s="69" t="n"/>
      <c r="Z259" s="69" t="n"/>
    </row>
    <row r="260" ht="15.75" customHeight="1" s="673">
      <c r="A260" s="69" t="n"/>
      <c r="B260" s="131" t="n"/>
      <c r="C260" s="131" t="n"/>
      <c r="D260" s="131" t="n"/>
      <c r="E260" s="131" t="n"/>
      <c r="F260" s="131" t="n"/>
      <c r="G260" s="131" t="n"/>
      <c r="H260" s="131" t="n"/>
      <c r="I260" s="69" t="n"/>
      <c r="J260" s="69" t="n"/>
      <c r="K260" s="69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  <c r="Z260" s="69" t="n"/>
    </row>
    <row r="261" ht="15.75" customHeight="1" s="673">
      <c r="A261" s="69" t="n"/>
      <c r="B261" s="131" t="n"/>
      <c r="C261" s="131" t="n"/>
      <c r="D261" s="131" t="n"/>
      <c r="E261" s="131" t="n"/>
      <c r="F261" s="131" t="n"/>
      <c r="G261" s="131" t="n"/>
      <c r="H261" s="131" t="n"/>
      <c r="I261" s="69" t="n"/>
      <c r="J261" s="69" t="n"/>
      <c r="K261" s="69" t="n"/>
      <c r="L261" s="69" t="n"/>
      <c r="M261" s="69" t="n"/>
      <c r="N261" s="69" t="n"/>
      <c r="O261" s="69" t="n"/>
      <c r="P261" s="69" t="n"/>
      <c r="Q261" s="69" t="n"/>
      <c r="R261" s="69" t="n"/>
      <c r="S261" s="69" t="n"/>
      <c r="T261" s="69" t="n"/>
      <c r="U261" s="69" t="n"/>
      <c r="V261" s="69" t="n"/>
      <c r="W261" s="69" t="n"/>
      <c r="X261" s="69" t="n"/>
      <c r="Y261" s="69" t="n"/>
      <c r="Z261" s="69" t="n"/>
    </row>
    <row r="262" ht="15.75" customHeight="1" s="673">
      <c r="A262" s="69" t="n"/>
      <c r="B262" s="131" t="n"/>
      <c r="C262" s="131" t="n"/>
      <c r="D262" s="131" t="n"/>
      <c r="E262" s="131" t="n"/>
      <c r="F262" s="131" t="n"/>
      <c r="G262" s="131" t="n"/>
      <c r="H262" s="131" t="n"/>
      <c r="I262" s="69" t="n"/>
      <c r="J262" s="69" t="n"/>
      <c r="K262" s="69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  <c r="Z262" s="69" t="n"/>
    </row>
    <row r="263" ht="15.75" customHeight="1" s="673">
      <c r="A263" s="69" t="n"/>
      <c r="B263" s="131" t="n"/>
      <c r="C263" s="131" t="n"/>
      <c r="D263" s="131" t="n"/>
      <c r="E263" s="131" t="n"/>
      <c r="F263" s="131" t="n"/>
      <c r="G263" s="131" t="n"/>
      <c r="H263" s="131" t="n"/>
      <c r="I263" s="69" t="n"/>
      <c r="J263" s="69" t="n"/>
      <c r="K263" s="69" t="n"/>
      <c r="L263" s="69" t="n"/>
      <c r="M263" s="69" t="n"/>
      <c r="N263" s="69" t="n"/>
      <c r="O263" s="69" t="n"/>
      <c r="P263" s="69" t="n"/>
      <c r="Q263" s="69" t="n"/>
      <c r="R263" s="69" t="n"/>
      <c r="S263" s="69" t="n"/>
      <c r="T263" s="69" t="n"/>
      <c r="U263" s="69" t="n"/>
      <c r="V263" s="69" t="n"/>
      <c r="W263" s="69" t="n"/>
      <c r="X263" s="69" t="n"/>
      <c r="Y263" s="69" t="n"/>
      <c r="Z263" s="69" t="n"/>
    </row>
    <row r="264" ht="15.75" customHeight="1" s="673">
      <c r="A264" s="52" t="n"/>
      <c r="B264" s="52" t="n"/>
      <c r="C264" s="52" t="n"/>
      <c r="D264" s="52" t="n"/>
      <c r="E264" s="52" t="n"/>
      <c r="F264" s="52" t="n"/>
      <c r="G264" s="52" t="n"/>
      <c r="H264" s="52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  <c r="X264" s="52" t="n"/>
      <c r="Y264" s="52" t="n"/>
      <c r="Z264" s="52" t="n"/>
    </row>
    <row r="265" ht="15.75" customHeight="1" s="673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  <c r="Z265" s="52" t="n"/>
    </row>
    <row r="266" ht="15.75" customHeight="1" s="673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</row>
    <row r="267" ht="15.75" customHeight="1" s="673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</row>
    <row r="268" ht="15.75" customHeight="1" s="673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</row>
    <row r="269" ht="15.75" customHeight="1" s="673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mergeCells count="3">
    <mergeCell ref="B45:D45"/>
    <mergeCell ref="B40:F40"/>
    <mergeCell ref="B46:F46"/>
  </mergeCells>
  <conditionalFormatting sqref="E28:E35">
    <cfRule type="cellIs" priority="1" operator="lessThan" dxfId="2">
      <formula>0</formula>
    </cfRule>
  </conditionalFormatting>
  <conditionalFormatting sqref="E36">
    <cfRule type="cellIs" priority="2" operator="lessThan" dxfId="3">
      <formula>0</formula>
    </cfRule>
  </conditionalFormatting>
  <conditionalFormatting sqref="G28:G35">
    <cfRule type="cellIs" priority="3" operator="lessThan" dxfId="2">
      <formula>0</formula>
    </cfRule>
  </conditionalFormatting>
  <conditionalFormatting sqref="D58">
    <cfRule type="cellIs" priority="4" operator="lessThan" dxfId="3">
      <formula>0</formula>
    </cfRule>
  </conditionalFormatting>
  <conditionalFormatting sqref="G50:G57">
    <cfRule type="cellIs" priority="5" operator="lessThan" dxfId="2">
      <formula>0</formula>
    </cfRule>
  </conditionalFormatting>
  <conditionalFormatting sqref="D50:D57">
    <cfRule type="cellIs" priority="6" operator="lessThan" dxfId="2">
      <formula>0</formula>
    </cfRule>
  </conditionalFormatting>
  <conditionalFormatting sqref="G36">
    <cfRule type="cellIs" priority="7" operator="lessThan" dxfId="3">
      <formula>0</formula>
    </cfRule>
  </conditionalFormatting>
  <conditionalFormatting sqref="G58">
    <cfRule type="cellIs" priority="8" operator="lessThan" dxfId="3">
      <formula>0</formula>
    </cfRule>
  </conditionalFormatting>
  <conditionalFormatting sqref="E3:E10">
    <cfRule type="cellIs" priority="9" operator="lessThan" dxfId="2">
      <formula>0</formula>
    </cfRule>
  </conditionalFormatting>
  <conditionalFormatting sqref="E11">
    <cfRule type="cellIs" priority="10" operator="lessThan" dxfId="3">
      <formula>0</formula>
    </cfRule>
  </conditionalFormatting>
  <pageMargins left="0.5905511811023623" right="0.5905511811023623" top="0.5905511811023623" bottom="0.5905511811023623" header="0" footer="0"/>
  <pageSetup orientation="landscape" paperSize="9"/>
</worksheet>
</file>

<file path=xl/worksheets/sheet9.xml><?xml version="1.0" encoding="utf-8"?>
<worksheet xmlns="http://schemas.openxmlformats.org/spreadsheetml/2006/main">
  <sheetPr>
    <tabColor rgb="FFFF9999"/>
    <outlinePr summaryBelow="1" summaryRight="1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.88" customWidth="1" style="673" min="1" max="1"/>
    <col width="46.13" customWidth="1" style="673" min="2" max="2"/>
    <col width="11.38" customWidth="1" style="673" min="3" max="3"/>
    <col width="16.5" customWidth="1" style="673" min="4" max="4"/>
    <col width="16.25" customWidth="1" style="673" min="5" max="6"/>
    <col width="3.75" customWidth="1" style="673" min="7" max="7"/>
    <col width="34.25" customWidth="1" style="673" min="8" max="8"/>
    <col width="16.5" customWidth="1" style="673" min="9" max="9"/>
    <col width="15" customWidth="1" style="673" min="10" max="10"/>
    <col width="3.75" customWidth="1" style="673" min="11" max="11"/>
    <col hidden="1" width="13.13" customWidth="1" style="673" min="12" max="12"/>
    <col hidden="1" width="15.75" customWidth="1" style="673" min="13" max="13"/>
    <col width="19" customWidth="1" style="673" min="14" max="14"/>
    <col width="25.38" customWidth="1" style="673" min="15" max="15"/>
    <col width="39.75" customWidth="1" style="673" min="16" max="16"/>
    <col width="8.630000000000001" customWidth="1" style="673" min="17" max="26"/>
  </cols>
  <sheetData>
    <row r="1" hidden="1" s="673">
      <c r="A1" s="284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85" t="n"/>
      <c r="M1" s="285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idden="1" s="673">
      <c r="A2" s="284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285" t="n"/>
      <c r="M2" s="285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idden="1" s="673">
      <c r="A3" s="284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285" t="n"/>
      <c r="M3" s="285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idden="1" s="673">
      <c r="A4" s="284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285" t="n"/>
      <c r="M4" s="285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284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285" t="n"/>
      <c r="M5" s="285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284" t="n"/>
      <c r="B6" s="189" t="inlineStr">
        <is>
          <t>CALCIR - RESULTADO DETALHADO</t>
        </is>
      </c>
      <c r="C6" s="286" t="n"/>
      <c r="D6" s="286" t="n"/>
      <c r="E6" s="286" t="n"/>
      <c r="F6" s="286" t="n"/>
      <c r="G6" s="286" t="n"/>
      <c r="H6" s="286" t="n"/>
      <c r="I6" s="286" t="n"/>
      <c r="J6" s="192">
        <f>RECEITAS!I12</f>
        <v/>
      </c>
      <c r="K6" s="1" t="n"/>
      <c r="L6" s="285" t="n"/>
      <c r="M6" s="285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284" t="n"/>
      <c r="B7" s="153">
        <f>RECEITAS!B13</f>
        <v/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" t="n"/>
      <c r="L7" s="285" t="n"/>
      <c r="M7" s="285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284" t="n"/>
      <c r="B8" s="287" t="n"/>
      <c r="C8" s="15" t="n"/>
      <c r="D8" s="15" t="n"/>
      <c r="E8" s="15" t="n"/>
      <c r="F8" s="15" t="n"/>
      <c r="G8" s="15" t="n"/>
      <c r="H8" s="15" t="n"/>
      <c r="I8" s="15" t="n"/>
      <c r="J8" s="15" t="n"/>
      <c r="K8" s="1" t="n"/>
      <c r="L8" s="285" t="n"/>
      <c r="M8" s="285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284" t="n"/>
      <c r="B9" s="287" t="n"/>
      <c r="C9" s="15" t="n"/>
      <c r="D9" s="15" t="n"/>
      <c r="E9" s="15" t="n"/>
      <c r="F9" s="15" t="n"/>
      <c r="G9" s="15" t="n"/>
      <c r="H9" s="15" t="n"/>
      <c r="I9" s="15" t="n"/>
      <c r="J9" s="15" t="n"/>
      <c r="K9" s="1" t="n"/>
      <c r="L9" s="285" t="n"/>
      <c r="M9" s="285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284" t="n"/>
      <c r="B10" s="287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" t="n"/>
      <c r="L10" s="285" t="n"/>
      <c r="M10" s="285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284" t="n"/>
      <c r="B11" s="287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" t="n"/>
      <c r="L11" s="285" t="n"/>
      <c r="M11" s="285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284" t="n"/>
      <c r="B12" s="201" t="inlineStr">
        <is>
          <t>MOVIMENTAÇÃO</t>
        </is>
      </c>
      <c r="C12" s="676" t="n"/>
      <c r="D12" s="201" t="inlineStr">
        <is>
          <t>REALIZADO</t>
        </is>
      </c>
      <c r="E12" s="676" t="n"/>
      <c r="F12" s="201" t="inlineStr">
        <is>
          <t>PROJETADO</t>
        </is>
      </c>
      <c r="G12" s="678" t="n"/>
      <c r="H12" s="676" t="n"/>
      <c r="I12" s="201" t="inlineStr">
        <is>
          <t>TOTAL</t>
        </is>
      </c>
      <c r="J12" s="676" t="n"/>
      <c r="K12" s="1" t="n"/>
      <c r="L12" s="285" t="n"/>
      <c r="M12" s="285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284" t="n"/>
      <c r="B13" s="289" t="inlineStr">
        <is>
          <t>RECEITAS</t>
        </is>
      </c>
      <c r="C13" s="289" t="n"/>
      <c r="D13" s="692">
        <f>RESULTADO!D22</f>
        <v/>
      </c>
      <c r="E13" s="676" t="n"/>
      <c r="F13" s="692">
        <f>RESULTADO!E22</f>
        <v/>
      </c>
      <c r="G13" s="678" t="n"/>
      <c r="H13" s="676" t="n"/>
      <c r="I13" s="693">
        <f>SUM(D13:H13)</f>
        <v/>
      </c>
      <c r="J13" s="676" t="n"/>
      <c r="K13" s="1" t="n"/>
      <c r="L13" s="285" t="n"/>
      <c r="M13" s="285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284" t="n"/>
      <c r="B14" s="292" t="inlineStr">
        <is>
          <t>DESPESAS</t>
        </is>
      </c>
      <c r="C14" s="292" t="n"/>
      <c r="D14" s="694">
        <f>RESULTADO!D23</f>
        <v/>
      </c>
      <c r="E14" s="676" t="n"/>
      <c r="F14" s="694">
        <f>RESULTADO!E23</f>
        <v/>
      </c>
      <c r="G14" s="678" t="n"/>
      <c r="H14" s="676" t="n"/>
      <c r="I14" s="695">
        <f>SUM(D14:H14)</f>
        <v/>
      </c>
      <c r="J14" s="676" t="n"/>
      <c r="K14" s="1" t="n"/>
      <c r="L14" s="285" t="n"/>
      <c r="M14" s="285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284" t="n"/>
      <c r="B15" s="696" t="inlineStr">
        <is>
          <t>RESULTADO</t>
        </is>
      </c>
      <c r="C15" s="676" t="n"/>
      <c r="D15" s="697">
        <f>D13-D14</f>
        <v/>
      </c>
      <c r="E15" s="676" t="n"/>
      <c r="F15" s="697">
        <f>F13-F14</f>
        <v/>
      </c>
      <c r="G15" s="678" t="n"/>
      <c r="H15" s="676" t="n"/>
      <c r="I15" s="697">
        <f>SUM(D15:H15)</f>
        <v/>
      </c>
      <c r="J15" s="676" t="n"/>
      <c r="K15" s="1" t="n"/>
      <c r="L15" s="285" t="n"/>
      <c r="M15" s="285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284" t="n"/>
      <c r="B16" s="696" t="inlineStr">
        <is>
          <t>CONTA PJ</t>
        </is>
      </c>
      <c r="C16" s="676" t="n"/>
      <c r="D16" s="297" t="n">
        <v>0</v>
      </c>
      <c r="E16" s="297" t="n">
        <v>0</v>
      </c>
      <c r="F16" s="297">
        <f>E16*D16</f>
        <v/>
      </c>
      <c r="G16" s="298" t="n"/>
      <c r="H16" s="298" t="n"/>
      <c r="I16" s="298" t="n"/>
      <c r="J16" s="299" t="n"/>
      <c r="K16" s="1" t="n"/>
      <c r="L16" s="285" t="n"/>
      <c r="M16" s="285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284" t="n"/>
      <c r="B17" s="698" t="n"/>
      <c r="C17" s="678" t="n"/>
      <c r="D17" s="678" t="n"/>
      <c r="E17" s="678" t="n"/>
      <c r="F17" s="676" t="n"/>
      <c r="G17" s="299" t="n"/>
      <c r="H17" s="299" t="n"/>
      <c r="I17" s="299" t="n"/>
      <c r="J17" s="299" t="n"/>
      <c r="K17" s="1" t="n"/>
      <c r="L17" s="285" t="n"/>
      <c r="M17" s="285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284" t="n"/>
      <c r="B18" s="301" t="n"/>
      <c r="C18" s="301" t="n"/>
      <c r="D18" s="301" t="n"/>
      <c r="E18" s="301" t="n"/>
      <c r="F18" s="301" t="n"/>
      <c r="G18" s="1" t="n"/>
      <c r="H18" s="1" t="n"/>
      <c r="I18" s="1" t="n"/>
      <c r="J18" s="1" t="n"/>
      <c r="K18" s="1" t="n"/>
      <c r="L18" s="285" t="n"/>
      <c r="M18" s="285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284" t="n"/>
      <c r="B19" s="1" t="n"/>
      <c r="C19" s="302" t="n"/>
      <c r="D19" s="302" t="n"/>
      <c r="E19" s="1" t="n"/>
      <c r="F19" s="1" t="n"/>
      <c r="G19" s="303" t="n"/>
      <c r="H19" s="1" t="n"/>
      <c r="I19" s="303" t="n"/>
      <c r="J19" s="1" t="n"/>
      <c r="K19" s="2" t="n"/>
      <c r="L19" s="285" t="n"/>
      <c r="M19" s="285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284" t="n">
        <v>1</v>
      </c>
      <c r="B20" s="304">
        <f>RESULTADO!B28</f>
        <v/>
      </c>
      <c r="C20" s="201" t="inlineStr">
        <is>
          <t>APURAÇÃO</t>
        </is>
      </c>
      <c r="D20" s="676" t="n"/>
      <c r="E20" s="201" t="inlineStr">
        <is>
          <t>PARTICULAR</t>
        </is>
      </c>
      <c r="F20" s="201" t="inlineStr">
        <is>
          <t>TOTAL</t>
        </is>
      </c>
      <c r="G20" s="299" t="n"/>
      <c r="H20" s="699">
        <f>IF(F24=J20,"Base de Cálculo p/ Arbitramento", "Base de Cálculo p/ Resultado")</f>
        <v/>
      </c>
      <c r="I20" s="676" t="n"/>
      <c r="J20" s="306">
        <f>IF(AND(F23+E25&gt;F24,F24&gt;0),F24,F23+E25)</f>
        <v/>
      </c>
      <c r="K20" s="1" t="n"/>
      <c r="L20" s="307" t="inlineStr">
        <is>
          <t>COMPLETA</t>
        </is>
      </c>
      <c r="M20" s="307" t="inlineStr">
        <is>
          <t>SIMPLIFICADA</t>
        </is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673">
      <c r="A21" s="284">
        <f>IF(RESULTADO!C28&gt;0,1,0)</f>
        <v/>
      </c>
      <c r="B21" s="289" t="inlineStr">
        <is>
          <t>RECEITAS</t>
        </is>
      </c>
      <c r="C21" s="308">
        <f>RESULTADO!C28</f>
        <v/>
      </c>
      <c r="D21" s="309">
        <f>($I$13*$C$21)</f>
        <v/>
      </c>
      <c r="E21" s="309">
        <f>PARTICULAR!O9</f>
        <v/>
      </c>
      <c r="F21" s="310">
        <f>D21+E21</f>
        <v/>
      </c>
      <c r="G21" s="299" t="n"/>
      <c r="H21" s="699" t="inlineStr">
        <is>
          <t>Base de Cálculo Simplificado</t>
        </is>
      </c>
      <c r="I21" s="676" t="n"/>
      <c r="J21" s="306">
        <f>IF(AND(F23&gt;F24,F24&gt;0),F24,F23)</f>
        <v/>
      </c>
      <c r="K21" s="1" t="n"/>
      <c r="L21" s="311">
        <f>J23</f>
        <v/>
      </c>
      <c r="M21" s="311">
        <f>IF(M22*0.2&lt;'BANCO DE DADOS'!$F$13,M22*0.2,'BANCO DE DADOS'!$F$13)</f>
        <v/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673">
      <c r="A22" s="284" t="n"/>
      <c r="B22" s="292" t="inlineStr">
        <is>
          <t>DESPESAS</t>
        </is>
      </c>
      <c r="C22" s="312">
        <f>RESULTADO!D28</f>
        <v/>
      </c>
      <c r="D22" s="313">
        <f>($I$14*$C$22)</f>
        <v/>
      </c>
      <c r="E22" s="313">
        <f>PARTICULAR!O10</f>
        <v/>
      </c>
      <c r="F22" s="314">
        <f>D22+E22</f>
        <v/>
      </c>
      <c r="G22" s="299" t="n"/>
      <c r="H22" s="699" t="inlineStr">
        <is>
          <t>Dedução Simplificada</t>
        </is>
      </c>
      <c r="I22" s="676" t="n"/>
      <c r="J22" s="306">
        <f>IF(J21&gt;'BANCO DE DADOS'!D13,'BANCO DE DADOS'!F13,IF('RESULTADO DETALHADO'!J21&lt;0,0,'RESULTADO DETALHADO'!J21*'BANCO DE DADOS'!E13))</f>
        <v/>
      </c>
      <c r="K22" s="1" t="n"/>
      <c r="L22" s="311">
        <f>IF(AND(F23+E25&gt;F24,F24&gt;0),F24,F23+E25)</f>
        <v/>
      </c>
      <c r="M22" s="311">
        <f>IF(AND(F23&gt;F24,F24&gt;0),F24,F23)</f>
        <v/>
      </c>
      <c r="N22" s="1" t="n"/>
      <c r="O22" s="36" t="n"/>
      <c r="P22" s="36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673">
      <c r="A23" s="284" t="n"/>
      <c r="B23" s="696" t="inlineStr">
        <is>
          <t>RESULTADO</t>
        </is>
      </c>
      <c r="C23" s="676" t="n"/>
      <c r="D23" s="315">
        <f>D21-D22</f>
        <v/>
      </c>
      <c r="E23" s="315">
        <f>E21-E22</f>
        <v/>
      </c>
      <c r="F23" s="316">
        <f>F21-F22</f>
        <v/>
      </c>
      <c r="G23" s="299" t="n"/>
      <c r="H23" s="699" t="inlineStr">
        <is>
          <t>Dedução Completa</t>
        </is>
      </c>
      <c r="I23" s="676" t="n"/>
      <c r="J23" s="306" t="n"/>
      <c r="K23" s="1" t="n"/>
      <c r="L23" s="311">
        <f>L22-L21</f>
        <v/>
      </c>
      <c r="M23" s="311">
        <f>M22-M21</f>
        <v/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673">
      <c r="A24" s="284" t="n"/>
      <c r="B24" s="700">
        <f>IF(F24&gt;0,"ARBITRAMENTO",0)</f>
        <v/>
      </c>
      <c r="C24" s="676" t="n"/>
      <c r="D24" s="318" t="n"/>
      <c r="E24" s="318" t="n"/>
      <c r="F24" s="319">
        <f>IF(F21*0.2&gt;F23,0,F21*0.2)</f>
        <v/>
      </c>
      <c r="G24" s="299" t="n"/>
      <c r="H24" s="699" t="inlineStr">
        <is>
          <t>Base Tributável p/ Cálculo I.R.</t>
        </is>
      </c>
      <c r="I24" s="676" t="n"/>
      <c r="J24" s="306">
        <f>IF(J20-J23&lt;J20-J22,J20-J23,J20-J22)</f>
        <v/>
      </c>
      <c r="K24" s="1" t="n"/>
      <c r="L24" s="320">
        <f>IF(L23&gt;'BANCO DE DADOS'!$D$9,((L23*'BANCO DE DADOS'!$E$10)-'BANCO DE DADOS'!$F$10),IF(L23&gt;'BANCO DE DADOS'!$D$8,((L23*'BANCO DE DADOS'!$E$9)-'BANCO DE DADOS'!$F$9),IF(L23&gt;'BANCO DE DADOS'!$D$7,((L23*'BANCO DE DADOS'!$E$8)-'BANCO DE DADOS'!$F$8),IF(L23&gt;'BANCO DE DADOS'!$D$6,((L23*'BANCO DE DADOS'!$E$7)-'BANCO DE DADOS'!$F$7),0))))</f>
        <v/>
      </c>
      <c r="M24" s="320">
        <f>IF(M23&gt;'BANCO DE DADOS'!$D$9,((M23*'BANCO DE DADOS'!$E$10)-'BANCO DE DADOS'!$F$10),IF(M23&gt;'BANCO DE DADOS'!$D$8,((M23*'BANCO DE DADOS'!$E$9)-'BANCO DE DADOS'!$F$9),IF(M23&gt;'BANCO DE DADOS'!$D$7,((M23*'BANCO DE DADOS'!$E$8)-'BANCO DE DADOS'!$F$8),IF(M23&gt;'BANCO DE DADOS'!$D$6,((M23*'BANCO DE DADOS'!$E$7)-'BANCO DE DADOS'!$F$7),0))))</f>
        <v/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673">
      <c r="A25" s="284" t="n"/>
      <c r="B25" s="701" t="inlineStr">
        <is>
          <t>PREJUÍZO ACUMULADO</t>
        </is>
      </c>
      <c r="C25" s="676" t="n"/>
      <c r="D25" s="322" t="n"/>
      <c r="E25" s="323">
        <f>RESULTADO!E3</f>
        <v/>
      </c>
      <c r="F25" s="324" t="n"/>
      <c r="G25" s="299" t="n"/>
      <c r="H25" s="702">
        <f>IF(J25&gt;0,"Imposto Apurado","Não Houve Imposto")</f>
        <v/>
      </c>
      <c r="I25" s="676" t="n"/>
      <c r="J25" s="306">
        <f>IF(J24&gt;'BANCO DE DADOS'!$D$10,(('RESULTADO DETALHADO'!J24*'BANCO DE DADOS'!$E$11)-'BANCO DE DADOS'!$F$11),IF(J24&gt;'BANCO DE DADOS'!$D$9,(('RESULTADO DETALHADO'!J24*'BANCO DE DADOS'!$E$10)-'BANCO DE DADOS'!$F$10),IF(J24&gt;'BANCO DE DADOS'!$D$8,(('RESULTADO DETALHADO'!J24*'BANCO DE DADOS'!$E$9)-'BANCO DE DADOS'!$F$9),IF(J24&gt;'BANCO DE DADOS'!$D$7,(('RESULTADO DETALHADO'!J24*'BANCO DE DADOS'!$E$8)-'BANCO DE DADOS'!$F$8),0))))</f>
        <v/>
      </c>
      <c r="K25" s="1" t="n"/>
      <c r="L25" s="285" t="n"/>
      <c r="M25" s="285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673">
      <c r="A26" s="284" t="n"/>
      <c r="B26" s="299" t="n"/>
      <c r="C26" s="299" t="n"/>
      <c r="D26" s="299" t="n"/>
      <c r="E26" s="299" t="n"/>
      <c r="F26" s="299" t="n"/>
      <c r="G26" s="299" t="n"/>
      <c r="H26" s="703">
        <f>IF(J20&gt;J21,"APURAÇÃO POR BASE RESULTADO PRESUMIDO", "APURAÇÃO POR BASE RESULTADO")</f>
        <v/>
      </c>
      <c r="I26" s="678" t="n"/>
      <c r="J26" s="676" t="n"/>
      <c r="K26" s="1" t="n"/>
      <c r="L26" s="285" t="n"/>
      <c r="M26" s="285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673">
      <c r="A27" s="284" t="n"/>
      <c r="B27" s="1" t="n"/>
      <c r="C27" s="1" t="n"/>
      <c r="D27" s="1" t="n"/>
      <c r="E27" s="1" t="n"/>
      <c r="F27" s="327">
        <f>F24</f>
        <v/>
      </c>
      <c r="G27" s="1" t="n"/>
      <c r="H27" s="1" t="n"/>
      <c r="I27" s="1" t="n"/>
      <c r="J27" s="1" t="n"/>
      <c r="K27" s="1" t="n"/>
      <c r="L27" s="285" t="n"/>
      <c r="M27" s="285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673">
      <c r="A28" s="284" t="n"/>
      <c r="B28" s="1" t="n"/>
      <c r="C28" s="302" t="n"/>
      <c r="D28" s="302" t="n"/>
      <c r="E28" s="1" t="n"/>
      <c r="F28" s="1" t="n"/>
      <c r="G28" s="303" t="n"/>
      <c r="H28" s="1" t="n"/>
      <c r="I28" s="303" t="n"/>
      <c r="J28" s="1" t="n"/>
      <c r="K28" s="1" t="n"/>
      <c r="L28" s="285" t="n"/>
      <c r="M28" s="285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673">
      <c r="A29" s="284">
        <f>A20+1</f>
        <v/>
      </c>
      <c r="B29" s="304">
        <f>RESULTADO!B29</f>
        <v/>
      </c>
      <c r="C29" s="201" t="inlineStr">
        <is>
          <t>APURAÇÃO</t>
        </is>
      </c>
      <c r="D29" s="676" t="n"/>
      <c r="E29" s="201" t="inlineStr">
        <is>
          <t>PARTICULAR</t>
        </is>
      </c>
      <c r="F29" s="201" t="inlineStr">
        <is>
          <t>TOTAL</t>
        </is>
      </c>
      <c r="G29" s="299" t="n"/>
      <c r="H29" s="699">
        <f>IF(F33=J29,"Base de Cálculo p/ Arbitramento", "Base de Cálculo p/ Resultado")</f>
        <v/>
      </c>
      <c r="I29" s="676" t="n"/>
      <c r="J29" s="306">
        <f>IF(AND(F32+E34&gt;F33,F33&gt;0),F33,F32+E34)</f>
        <v/>
      </c>
      <c r="K29" s="1" t="n"/>
      <c r="L29" s="307" t="inlineStr">
        <is>
          <t>COMPLETA</t>
        </is>
      </c>
      <c r="M29" s="307" t="inlineStr">
        <is>
          <t>SIMPLIFICADA</t>
        </is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673">
      <c r="A30" s="284">
        <f>IF(RESULTADO!C29&gt;0,1,0)</f>
        <v/>
      </c>
      <c r="B30" s="289" t="inlineStr">
        <is>
          <t>RECEITAS</t>
        </is>
      </c>
      <c r="C30" s="308">
        <f>RESULTADO!C29</f>
        <v/>
      </c>
      <c r="D30" s="309">
        <f>(I13*$C$30)</f>
        <v/>
      </c>
      <c r="E30" s="309">
        <f>PARTICULAR!O13</f>
        <v/>
      </c>
      <c r="F30" s="310">
        <f>D30+E30</f>
        <v/>
      </c>
      <c r="G30" s="299" t="n"/>
      <c r="H30" s="699" t="inlineStr">
        <is>
          <t>Base de Cálculo Simplificado</t>
        </is>
      </c>
      <c r="I30" s="676" t="n"/>
      <c r="J30" s="306">
        <f>IF(AND(F32&gt;F33,F33&gt;0),F33,F32)</f>
        <v/>
      </c>
      <c r="K30" s="1" t="n"/>
      <c r="L30" s="311">
        <f>J32</f>
        <v/>
      </c>
      <c r="M30" s="311">
        <f>IF(M31*0.2&lt;'BANCO DE DADOS'!$F$13,M31*0.2,'BANCO DE DADOS'!$F$13)</f>
        <v/>
      </c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673">
      <c r="A31" s="284" t="n"/>
      <c r="B31" s="292" t="inlineStr">
        <is>
          <t>DESPESAS</t>
        </is>
      </c>
      <c r="C31" s="312">
        <f>RESULTADO!D29</f>
        <v/>
      </c>
      <c r="D31" s="313">
        <f>(I14*$C$31)</f>
        <v/>
      </c>
      <c r="E31" s="313">
        <f>PARTICULAR!O14</f>
        <v/>
      </c>
      <c r="F31" s="314">
        <f>D31+E31</f>
        <v/>
      </c>
      <c r="G31" s="299" t="n"/>
      <c r="H31" s="699" t="inlineStr">
        <is>
          <t>Dedução Simplificada</t>
        </is>
      </c>
      <c r="I31" s="676" t="n"/>
      <c r="J31" s="306">
        <f>IF(J30&gt;'BANCO DE DADOS'!D13,'BANCO DE DADOS'!F13,IF('RESULTADO DETALHADO'!J30&lt;0,0,'RESULTADO DETALHADO'!J30*'BANCO DE DADOS'!E13))</f>
        <v/>
      </c>
      <c r="K31" s="1" t="n"/>
      <c r="L31" s="311">
        <f>IF(AND(F32+E34&gt;F33,F33&gt;0),F33,F32+E34)</f>
        <v/>
      </c>
      <c r="M31" s="311">
        <f>IF(AND(F32&gt;F33,F33&gt;0),F33,F32)</f>
        <v/>
      </c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673">
      <c r="A32" s="284" t="n"/>
      <c r="B32" s="696" t="inlineStr">
        <is>
          <t>RESULTADO</t>
        </is>
      </c>
      <c r="C32" s="676" t="n"/>
      <c r="D32" s="315">
        <f>D30-D31</f>
        <v/>
      </c>
      <c r="E32" s="315">
        <f>E30-E31</f>
        <v/>
      </c>
      <c r="F32" s="316">
        <f>F30-F31</f>
        <v/>
      </c>
      <c r="G32" s="299" t="n"/>
      <c r="H32" s="699" t="inlineStr">
        <is>
          <t>Dedução Completa</t>
        </is>
      </c>
      <c r="I32" s="676" t="n"/>
      <c r="J32" s="306" t="n"/>
      <c r="K32" s="1" t="n"/>
      <c r="L32" s="311">
        <f>L31-L30</f>
        <v/>
      </c>
      <c r="M32" s="311">
        <f>M31-M30</f>
        <v/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673">
      <c r="A33" s="284" t="n"/>
      <c r="B33" s="700">
        <f>IF(F33&gt;0,"ARBITRAMENTO",0)</f>
        <v/>
      </c>
      <c r="C33" s="676" t="n"/>
      <c r="D33" s="318" t="n"/>
      <c r="E33" s="318" t="n"/>
      <c r="F33" s="319">
        <f>IF(F30*0.2&gt;F32,0,F30*0.2)</f>
        <v/>
      </c>
      <c r="G33" s="299" t="n"/>
      <c r="H33" s="699" t="inlineStr">
        <is>
          <t>Base Tributável p/ Cálculo I.R.</t>
        </is>
      </c>
      <c r="I33" s="676" t="n"/>
      <c r="J33" s="306">
        <f>IF(J29-J32&lt;J29-J31,J29-J32,J29-J31)</f>
        <v/>
      </c>
      <c r="K33" s="1" t="n"/>
      <c r="L33" s="320">
        <f>IF(L32&gt;'BANCO DE DADOS'!$D$9,((L32*'BANCO DE DADOS'!$E$10)-'BANCO DE DADOS'!$F$10),IF(L32&gt;'BANCO DE DADOS'!$D$8,((L32*'BANCO DE DADOS'!$E$9)-'BANCO DE DADOS'!$F$9),IF(L32&gt;'BANCO DE DADOS'!$D$7,((L32*'BANCO DE DADOS'!$E$8)-'BANCO DE DADOS'!$F$8),IF(L32&gt;'BANCO DE DADOS'!$D$6,((L32*'BANCO DE DADOS'!$E$7)-'BANCO DE DADOS'!$F$7),0))))</f>
        <v/>
      </c>
      <c r="M33" s="320">
        <f>IF(M32&gt;'BANCO DE DADOS'!$D$9,((M32*'BANCO DE DADOS'!$E$10)-'BANCO DE DADOS'!$F$10),IF(M32&gt;'BANCO DE DADOS'!$D$8,((M32*'BANCO DE DADOS'!$E$9)-'BANCO DE DADOS'!$F$9),IF(M32&gt;'BANCO DE DADOS'!$D$7,((M32*'BANCO DE DADOS'!$E$8)-'BANCO DE DADOS'!$F$8),IF(M32&gt;'BANCO DE DADOS'!$D$6,((M32*'BANCO DE DADOS'!$E$7)-'BANCO DE DADOS'!$F$7),0))))</f>
        <v/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673">
      <c r="A34" s="284" t="n"/>
      <c r="B34" s="701" t="inlineStr">
        <is>
          <t>PREJUÍZO ACUMULADO</t>
        </is>
      </c>
      <c r="C34" s="676" t="n"/>
      <c r="D34" s="322" t="n"/>
      <c r="E34" s="323">
        <f>RESULTADO!E4</f>
        <v/>
      </c>
      <c r="F34" s="324" t="n"/>
      <c r="G34" s="299" t="n"/>
      <c r="H34" s="702">
        <f>IF(J34&gt;0,"Imposto Apurado","Não Houve Imposto")</f>
        <v/>
      </c>
      <c r="I34" s="676" t="n"/>
      <c r="J34" s="306">
        <f>IF(J33&gt;'BANCO DE DADOS'!$D$10,(('RESULTADO DETALHADO'!J33*'BANCO DE DADOS'!$E$11)-'BANCO DE DADOS'!$F$11),IF(J33&gt;'BANCO DE DADOS'!$D$9,(('RESULTADO DETALHADO'!J33*'BANCO DE DADOS'!$E$10)-'BANCO DE DADOS'!$F$10),IF(J33&gt;'BANCO DE DADOS'!$D$8,(('RESULTADO DETALHADO'!J33*'BANCO DE DADOS'!$E$9)-'BANCO DE DADOS'!$F$9),IF(J33&gt;'BANCO DE DADOS'!$D$7,(('RESULTADO DETALHADO'!J33*'BANCO DE DADOS'!$E$8)-'BANCO DE DADOS'!$F$8),0))))</f>
        <v/>
      </c>
      <c r="K34" s="1" t="n"/>
      <c r="L34" s="285" t="n"/>
      <c r="M34" s="285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673">
      <c r="A35" s="284" t="n"/>
      <c r="B35" s="299" t="n"/>
      <c r="C35" s="299" t="n"/>
      <c r="D35" s="299" t="n"/>
      <c r="E35" s="299" t="n"/>
      <c r="F35" s="299" t="n"/>
      <c r="G35" s="299" t="n"/>
      <c r="H35" s="703">
        <f>IF(J29&gt;J30,"APURAÇÃO POR BASE RESULTADO PRESUMIDO", "APURAÇÃO POR BASE RESULTADO")</f>
        <v/>
      </c>
      <c r="I35" s="678" t="n"/>
      <c r="J35" s="676" t="n"/>
      <c r="K35" s="1" t="n"/>
      <c r="L35" s="285" t="n"/>
      <c r="M35" s="285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673">
      <c r="A36" s="284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285" t="n"/>
      <c r="M36" s="285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673">
      <c r="A37" s="284" t="n"/>
      <c r="B37" s="328" t="n"/>
      <c r="C37" s="302" t="n"/>
      <c r="D37" s="302" t="n"/>
      <c r="E37" s="1" t="n"/>
      <c r="F37" s="1" t="n"/>
      <c r="G37" s="303" t="n"/>
      <c r="H37" s="1" t="n"/>
      <c r="I37" s="303" t="n"/>
      <c r="J37" s="1" t="n"/>
      <c r="K37" s="1" t="n"/>
      <c r="L37" s="285" t="n"/>
      <c r="M37" s="285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673">
      <c r="A38" s="284">
        <f>A29+1</f>
        <v/>
      </c>
      <c r="B38" s="304">
        <f>RESULTADO!B30</f>
        <v/>
      </c>
      <c r="C38" s="201" t="inlineStr">
        <is>
          <t>APURAÇÃO</t>
        </is>
      </c>
      <c r="D38" s="676" t="n"/>
      <c r="E38" s="201" t="inlineStr">
        <is>
          <t>PARTICULAR</t>
        </is>
      </c>
      <c r="F38" s="201" t="inlineStr">
        <is>
          <t>TOTAL</t>
        </is>
      </c>
      <c r="G38" s="299" t="n"/>
      <c r="H38" s="699">
        <f>IF(F42=J38,"Base de Cálculo p/ Arbitramento", "Base de Cálculo p/Resultado")</f>
        <v/>
      </c>
      <c r="I38" s="676" t="n"/>
      <c r="J38" s="306">
        <f>IF(AND(F41+E43&gt;F42,F42&gt;0),F42,F41+E43)</f>
        <v/>
      </c>
      <c r="K38" s="1" t="n"/>
      <c r="L38" s="307" t="inlineStr">
        <is>
          <t>COMPLETA</t>
        </is>
      </c>
      <c r="M38" s="307" t="inlineStr">
        <is>
          <t>SIMPLIFICADA</t>
        </is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673">
      <c r="A39" s="284">
        <f>IF(RESULTADO!C30&gt;0,1,0)</f>
        <v/>
      </c>
      <c r="B39" s="289" t="inlineStr">
        <is>
          <t>RECEITAS</t>
        </is>
      </c>
      <c r="C39" s="308">
        <f>RESULTADO!C30</f>
        <v/>
      </c>
      <c r="D39" s="309">
        <f>(I13*$C$39)</f>
        <v/>
      </c>
      <c r="E39" s="309">
        <f>PARTICULAR!O17</f>
        <v/>
      </c>
      <c r="F39" s="310">
        <f>D39+E39</f>
        <v/>
      </c>
      <c r="G39" s="299" t="n"/>
      <c r="H39" s="699" t="inlineStr">
        <is>
          <t>Base de Cálculo Simplificado</t>
        </is>
      </c>
      <c r="I39" s="676" t="n"/>
      <c r="J39" s="306">
        <f>IF(AND(F41&gt;F42,F42&gt;0),F42,F41)</f>
        <v/>
      </c>
      <c r="K39" s="1" t="n"/>
      <c r="L39" s="311">
        <f>J41</f>
        <v/>
      </c>
      <c r="M39" s="311">
        <f>IF(M40*0.2&lt;'BANCO DE DADOS'!$F$13,M40*0.2,'BANCO DE DADOS'!$F$13)</f>
        <v/>
      </c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673">
      <c r="A40" s="284" t="n"/>
      <c r="B40" s="292" t="inlineStr">
        <is>
          <t>DESPESAS</t>
        </is>
      </c>
      <c r="C40" s="312">
        <f>RESULTADO!D30</f>
        <v/>
      </c>
      <c r="D40" s="313">
        <f>(I14*$C$40)</f>
        <v/>
      </c>
      <c r="E40" s="313">
        <f>PARTICULAR!O18</f>
        <v/>
      </c>
      <c r="F40" s="314">
        <f>D40+E40</f>
        <v/>
      </c>
      <c r="G40" s="299" t="n"/>
      <c r="H40" s="699" t="inlineStr">
        <is>
          <t>Dedução Simplificada</t>
        </is>
      </c>
      <c r="I40" s="676" t="n"/>
      <c r="J40" s="306">
        <f>IF(J39&gt;'BANCO DE DADOS'!D13,'BANCO DE DADOS'!F13,IF('RESULTADO DETALHADO'!J39&lt;0,0,'RESULTADO DETALHADO'!J39*'BANCO DE DADOS'!E13))</f>
        <v/>
      </c>
      <c r="K40" s="1" t="n"/>
      <c r="L40" s="311">
        <f>IF(AND(F41+E43&gt;F42,F42&gt;0),F42,F41+E43)</f>
        <v/>
      </c>
      <c r="M40" s="311">
        <f>IF(AND(F41&gt;F42,F42&gt;0),F42,F41)</f>
        <v/>
      </c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673">
      <c r="A41" s="284" t="n"/>
      <c r="B41" s="696" t="inlineStr">
        <is>
          <t>RESULTADO</t>
        </is>
      </c>
      <c r="C41" s="676" t="n"/>
      <c r="D41" s="315">
        <f>D39-D40</f>
        <v/>
      </c>
      <c r="E41" s="315">
        <f>E39-E40</f>
        <v/>
      </c>
      <c r="F41" s="316">
        <f>F39-F40</f>
        <v/>
      </c>
      <c r="G41" s="299" t="n"/>
      <c r="H41" s="699" t="inlineStr">
        <is>
          <t>Dedução Completa</t>
        </is>
      </c>
      <c r="I41" s="676" t="n"/>
      <c r="J41" s="306" t="n"/>
      <c r="K41" s="1" t="n"/>
      <c r="L41" s="311">
        <f>L40-L39</f>
        <v/>
      </c>
      <c r="M41" s="311">
        <f>M40-M39</f>
        <v/>
      </c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673">
      <c r="A42" s="284" t="n"/>
      <c r="B42" s="700">
        <f>IF(F42&gt;0,"ARBITRAMENTO",0)</f>
        <v/>
      </c>
      <c r="C42" s="676" t="n"/>
      <c r="D42" s="318" t="n"/>
      <c r="E42" s="318" t="n"/>
      <c r="F42" s="319">
        <f>IF(F39*0.2&gt;F41,0,F39*0.2)</f>
        <v/>
      </c>
      <c r="G42" s="299" t="n"/>
      <c r="H42" s="699" t="inlineStr">
        <is>
          <t>Base Tributável p/ Cálculo I.R.</t>
        </is>
      </c>
      <c r="I42" s="676" t="n"/>
      <c r="J42" s="306">
        <f>IF(J38-J41&lt;J38-J40,J38-J41,J38-J40)</f>
        <v/>
      </c>
      <c r="K42" s="1" t="n"/>
      <c r="L42" s="320">
        <f>IF(L41&gt;'BANCO DE DADOS'!$D$9,((L41*'BANCO DE DADOS'!$E$10)-'BANCO DE DADOS'!$F$10),IF(L41&gt;'BANCO DE DADOS'!$D$8,((L41*'BANCO DE DADOS'!$E$9)-'BANCO DE DADOS'!$F$9),IF(L41&gt;'BANCO DE DADOS'!$D$7,((L41*'BANCO DE DADOS'!$E$8)-'BANCO DE DADOS'!$F$8),IF(L41&gt;'BANCO DE DADOS'!$D$6,((L41*'BANCO DE DADOS'!$E$7)-'BANCO DE DADOS'!$F$7),0))))</f>
        <v/>
      </c>
      <c r="M42" s="320">
        <f>IF(M41&gt;'BANCO DE DADOS'!$D$9,((M41*'BANCO DE DADOS'!$E$10)-'BANCO DE DADOS'!$F$10),IF(M41&gt;'BANCO DE DADOS'!$D$8,((M41*'BANCO DE DADOS'!$E$9)-'BANCO DE DADOS'!$F$9),IF(M41&gt;'BANCO DE DADOS'!$D$7,((M41*'BANCO DE DADOS'!$E$8)-'BANCO DE DADOS'!$F$8),IF(M41&gt;'BANCO DE DADOS'!$D$6,((M41*'BANCO DE DADOS'!$E$7)-'BANCO DE DADOS'!$F$7),0))))</f>
        <v/>
      </c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673">
      <c r="A43" s="284" t="n"/>
      <c r="B43" s="701" t="inlineStr">
        <is>
          <t>PREJUÍZO ACUMULADO</t>
        </is>
      </c>
      <c r="C43" s="676" t="n"/>
      <c r="D43" s="322" t="n"/>
      <c r="E43" s="323">
        <f>RESULTADO!E5</f>
        <v/>
      </c>
      <c r="F43" s="324" t="n"/>
      <c r="G43" s="299" t="n"/>
      <c r="H43" s="702">
        <f>IF(J43&gt;0,"Imposto Apurado","Não Houve Imposto")</f>
        <v/>
      </c>
      <c r="I43" s="676" t="n"/>
      <c r="J43" s="306">
        <f>IF(J42&gt;'BANCO DE DADOS'!$D$10,(('RESULTADO DETALHADO'!J42*'BANCO DE DADOS'!$E$11)-'BANCO DE DADOS'!$F$11),IF(J42&gt;'BANCO DE DADOS'!$D$9,(('RESULTADO DETALHADO'!J42*'BANCO DE DADOS'!$E$10)-'BANCO DE DADOS'!$F$10),IF(J42&gt;'BANCO DE DADOS'!$D$8,(('RESULTADO DETALHADO'!J42*'BANCO DE DADOS'!$E$9)-'BANCO DE DADOS'!$F$9),IF(J42&gt;'BANCO DE DADOS'!$D$7,(('RESULTADO DETALHADO'!J42*'BANCO DE DADOS'!$E$8)-'BANCO DE DADOS'!$F$8),0))))</f>
        <v/>
      </c>
      <c r="K43" s="1" t="n"/>
      <c r="L43" s="285" t="n"/>
      <c r="M43" s="285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673">
      <c r="A44" s="284" t="n"/>
      <c r="B44" s="299" t="n"/>
      <c r="C44" s="299" t="n"/>
      <c r="D44" s="299" t="n"/>
      <c r="E44" s="299" t="n"/>
      <c r="F44" s="299" t="n"/>
      <c r="G44" s="299" t="n"/>
      <c r="H44" s="703">
        <f>IF(J38&gt;J39,"APURAÇÃO POR BASE RESULTADO PRESUMIDO", "APURAÇÃO POR BASE RESULTADO")</f>
        <v/>
      </c>
      <c r="I44" s="678" t="n"/>
      <c r="J44" s="676" t="n"/>
      <c r="K44" s="1" t="n"/>
      <c r="L44" s="285" t="n"/>
      <c r="M44" s="285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673">
      <c r="A45" s="284" t="n"/>
      <c r="B45" s="329" t="n"/>
      <c r="C45" s="329" t="n"/>
      <c r="D45" s="329" t="n"/>
      <c r="E45" s="330" t="n"/>
      <c r="F45" s="1" t="n"/>
      <c r="G45" s="331" t="n"/>
      <c r="H45" s="331" t="n"/>
      <c r="I45" s="1" t="n"/>
      <c r="J45" s="332" t="n"/>
      <c r="K45" s="1" t="n"/>
      <c r="L45" s="285" t="n"/>
      <c r="M45" s="285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673">
      <c r="A46" s="284" t="n"/>
      <c r="B46" s="328" t="n"/>
      <c r="C46" s="302" t="n"/>
      <c r="D46" s="302" t="n"/>
      <c r="E46" s="1" t="n"/>
      <c r="F46" s="1" t="n"/>
      <c r="G46" s="303" t="n"/>
      <c r="H46" s="1" t="n"/>
      <c r="I46" s="303" t="n"/>
      <c r="J46" s="1" t="n"/>
      <c r="K46" s="1" t="n"/>
      <c r="L46" s="285" t="n"/>
      <c r="M46" s="285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673">
      <c r="A47" s="284">
        <f>A38+1</f>
        <v/>
      </c>
      <c r="B47" s="304">
        <f>RESULTADO!B31</f>
        <v/>
      </c>
      <c r="C47" s="201" t="inlineStr">
        <is>
          <t>APURAÇÃO</t>
        </is>
      </c>
      <c r="D47" s="676" t="n"/>
      <c r="E47" s="201" t="inlineStr">
        <is>
          <t>PARTICULAR</t>
        </is>
      </c>
      <c r="F47" s="201" t="inlineStr">
        <is>
          <t>TOTAL</t>
        </is>
      </c>
      <c r="G47" s="299" t="n"/>
      <c r="H47" s="699">
        <f>IF(F51=J47,"Base de Cálculo p/ Arbitramento", "Base de Cálculo p/ Resultado")</f>
        <v/>
      </c>
      <c r="I47" s="676" t="n"/>
      <c r="J47" s="306">
        <f>IF(AND(F50+E52&gt;F51,F51&gt;0),F51,F50+E52)</f>
        <v/>
      </c>
      <c r="K47" s="1" t="n"/>
      <c r="L47" s="307" t="inlineStr">
        <is>
          <t>COMPLETA</t>
        </is>
      </c>
      <c r="M47" s="307" t="inlineStr">
        <is>
          <t>SIMPLIFICADA</t>
        </is>
      </c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673">
      <c r="A48" s="284">
        <f>IF(RESULTADO!C31&gt;0,1,0)</f>
        <v/>
      </c>
      <c r="B48" s="289" t="inlineStr">
        <is>
          <t>RECEITAS</t>
        </is>
      </c>
      <c r="C48" s="308">
        <f>RESULTADO!C31</f>
        <v/>
      </c>
      <c r="D48" s="309">
        <f>($I$13*$C$48)</f>
        <v/>
      </c>
      <c r="E48" s="309">
        <f>PARTICULAR!O21</f>
        <v/>
      </c>
      <c r="F48" s="310">
        <f>D48+E48</f>
        <v/>
      </c>
      <c r="G48" s="299" t="n"/>
      <c r="H48" s="699" t="inlineStr">
        <is>
          <t>Base de Cálculo Simplificado</t>
        </is>
      </c>
      <c r="I48" s="676" t="n"/>
      <c r="J48" s="306">
        <f>IF(AND(F50&gt;F51,F51&gt;0),F51,F50)</f>
        <v/>
      </c>
      <c r="K48" s="1" t="n"/>
      <c r="L48" s="311">
        <f>J50</f>
        <v/>
      </c>
      <c r="M48" s="311">
        <f>IF(M49*0.2&lt;'BANCO DE DADOS'!$F$13,M49*0.2,'BANCO DE DADOS'!$F$13)</f>
        <v/>
      </c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673">
      <c r="A49" s="284" t="n"/>
      <c r="B49" s="292" t="inlineStr">
        <is>
          <t>DESPESAS</t>
        </is>
      </c>
      <c r="C49" s="312">
        <f>RESULTADO!D31</f>
        <v/>
      </c>
      <c r="D49" s="313">
        <f>($I$14*$C$49)</f>
        <v/>
      </c>
      <c r="E49" s="313">
        <f>PARTICULAR!O22</f>
        <v/>
      </c>
      <c r="F49" s="314">
        <f>D49+E49</f>
        <v/>
      </c>
      <c r="G49" s="299" t="n"/>
      <c r="H49" s="699" t="inlineStr">
        <is>
          <t>Dedução Simplificada</t>
        </is>
      </c>
      <c r="I49" s="676" t="n"/>
      <c r="J49" s="306">
        <f>IF(J48&gt;'BANCO DE DADOS'!D13,'BANCO DE DADOS'!F13,IF('RESULTADO DETALHADO'!J48&lt;0,0,'RESULTADO DETALHADO'!J48*'BANCO DE DADOS'!E13))</f>
        <v/>
      </c>
      <c r="K49" s="1" t="n"/>
      <c r="L49" s="311">
        <f>IF(AND(F50+E52&gt;F51,F51&gt;0),F51,F50+E52)</f>
        <v/>
      </c>
      <c r="M49" s="311">
        <f>IF(AND(F50&gt;F51,F51&gt;0),F51,F50)</f>
        <v/>
      </c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673">
      <c r="A50" s="284" t="n"/>
      <c r="B50" s="696" t="inlineStr">
        <is>
          <t>RESULTADO</t>
        </is>
      </c>
      <c r="C50" s="676" t="n"/>
      <c r="D50" s="315">
        <f>D48-D49</f>
        <v/>
      </c>
      <c r="E50" s="315">
        <f>E48-E49</f>
        <v/>
      </c>
      <c r="F50" s="316">
        <f>F48-F49</f>
        <v/>
      </c>
      <c r="G50" s="299" t="n"/>
      <c r="H50" s="699" t="inlineStr">
        <is>
          <t>Dedução Completa</t>
        </is>
      </c>
      <c r="I50" s="676" t="n"/>
      <c r="J50" s="306" t="n"/>
      <c r="K50" s="1" t="n"/>
      <c r="L50" s="311">
        <f>L49-L48</f>
        <v/>
      </c>
      <c r="M50" s="311">
        <f>M49-M48</f>
        <v/>
      </c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673">
      <c r="A51" s="284" t="n"/>
      <c r="B51" s="700">
        <f>IF(F51&gt;0,"ARBITRAMENTO",0)</f>
        <v/>
      </c>
      <c r="C51" s="676" t="n"/>
      <c r="D51" s="318" t="n"/>
      <c r="E51" s="318" t="n"/>
      <c r="F51" s="319">
        <f>IF(F48*0.2&gt;F50,0,F48*0.2)</f>
        <v/>
      </c>
      <c r="G51" s="299" t="n"/>
      <c r="H51" s="699" t="inlineStr">
        <is>
          <t>Base Tributável p/ Cálculo I.R.</t>
        </is>
      </c>
      <c r="I51" s="676" t="n"/>
      <c r="J51" s="306">
        <f>IF(J47-J50&lt;J47-J49,J47-J50,J47-J49)</f>
        <v/>
      </c>
      <c r="K51" s="1" t="n"/>
      <c r="L51" s="320">
        <f>IF(L50&gt;'BANCO DE DADOS'!$D$9,((L50*'BANCO DE DADOS'!$E$10)-'BANCO DE DADOS'!$F$10),IF(L50&gt;'BANCO DE DADOS'!$D$8,((L50*'BANCO DE DADOS'!$E$9)-'BANCO DE DADOS'!$F$9),IF(L50&gt;'BANCO DE DADOS'!$D$7,((L50*'BANCO DE DADOS'!$E$8)-'BANCO DE DADOS'!$F$8),IF(L50&gt;'BANCO DE DADOS'!$D$6,((L50*'BANCO DE DADOS'!$E$7)-'BANCO DE DADOS'!$F$7),0))))</f>
        <v/>
      </c>
      <c r="M51" s="320">
        <f>IF(M50&gt;'BANCO DE DADOS'!$D$9,((M50*'BANCO DE DADOS'!$E$10)-'BANCO DE DADOS'!$F$10),IF(M50&gt;'BANCO DE DADOS'!$D$8,((M50*'BANCO DE DADOS'!$E$9)-'BANCO DE DADOS'!$F$9),IF(M50&gt;'BANCO DE DADOS'!$D$7,((M50*'BANCO DE DADOS'!$E$8)-'BANCO DE DADOS'!$F$8),IF(M50&gt;'BANCO DE DADOS'!$D$6,((M50*'BANCO DE DADOS'!$E$7)-'BANCO DE DADOS'!$F$7),0))))</f>
        <v/>
      </c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673">
      <c r="A52" s="284" t="n"/>
      <c r="B52" s="701" t="inlineStr">
        <is>
          <t>PREJUÍZO ACUMULADO</t>
        </is>
      </c>
      <c r="C52" s="676" t="n"/>
      <c r="D52" s="322" t="n"/>
      <c r="E52" s="323">
        <f>RESULTADO!E6</f>
        <v/>
      </c>
      <c r="F52" s="324" t="n"/>
      <c r="G52" s="299" t="n"/>
      <c r="H52" s="702">
        <f>IF(J52&gt;0,"Imposto Apurado","Não Houve Imposto")</f>
        <v/>
      </c>
      <c r="I52" s="676" t="n"/>
      <c r="J52" s="306">
        <f>IF(J51&gt;'BANCO DE DADOS'!$D$10,(('RESULTADO DETALHADO'!J51*'BANCO DE DADOS'!$E$11)-'BANCO DE DADOS'!$F$11),IF(J51&gt;'BANCO DE DADOS'!$D$9,(('RESULTADO DETALHADO'!J51*'BANCO DE DADOS'!$E$10)-'BANCO DE DADOS'!$F$10),IF(J51&gt;'BANCO DE DADOS'!$D$8,(('RESULTADO DETALHADO'!J51*'BANCO DE DADOS'!$E$9)-'BANCO DE DADOS'!$F$9),IF(J51&gt;'BANCO DE DADOS'!$D$7,(('RESULTADO DETALHADO'!J51*'BANCO DE DADOS'!$E$8)-'BANCO DE DADOS'!$F$8),0))))</f>
        <v/>
      </c>
      <c r="K52" s="1" t="n"/>
      <c r="L52" s="333" t="n"/>
      <c r="M52" s="333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673">
      <c r="A53" s="284" t="n"/>
      <c r="B53" s="299" t="n"/>
      <c r="C53" s="299" t="n"/>
      <c r="D53" s="299" t="n"/>
      <c r="E53" s="299" t="n"/>
      <c r="F53" s="299" t="n"/>
      <c r="G53" s="299" t="n"/>
      <c r="H53" s="703">
        <f>IF(J47&gt;J48,"APURAÇÃO POR BASE RESULTADO PRESUMIDO", "APURAÇÃO POR BASE RESULTADO")</f>
        <v/>
      </c>
      <c r="I53" s="678" t="n"/>
      <c r="J53" s="676" t="n"/>
      <c r="K53" s="1" t="n"/>
      <c r="L53" s="333" t="n"/>
      <c r="M53" s="333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673">
      <c r="A54" s="284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333" t="n"/>
      <c r="M54" s="333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673">
      <c r="A55" s="284" t="n"/>
      <c r="B55" s="328" t="n"/>
      <c r="C55" s="302" t="n"/>
      <c r="D55" s="302" t="n"/>
      <c r="E55" s="1" t="n"/>
      <c r="F55" s="1" t="n"/>
      <c r="G55" s="303" t="n"/>
      <c r="H55" s="1" t="n"/>
      <c r="I55" s="303" t="n"/>
      <c r="J55" s="1" t="n"/>
      <c r="K55" s="1" t="n"/>
      <c r="L55" s="333" t="n"/>
      <c r="M55" s="333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673">
      <c r="A56" s="284">
        <f>A47+1</f>
        <v/>
      </c>
      <c r="B56" s="304">
        <f>RESULTADO!B32</f>
        <v/>
      </c>
      <c r="C56" s="201" t="inlineStr">
        <is>
          <t>APURAÇÃO</t>
        </is>
      </c>
      <c r="D56" s="676" t="n"/>
      <c r="E56" s="201" t="inlineStr">
        <is>
          <t>PARTICULAR</t>
        </is>
      </c>
      <c r="F56" s="201" t="inlineStr">
        <is>
          <t>TOTAL</t>
        </is>
      </c>
      <c r="G56" s="299" t="n"/>
      <c r="H56" s="699">
        <f>IF(F60=J56,"Base de Cálculo p/ Arbitramento", "Base de Cálculo p/ Resultado")</f>
        <v/>
      </c>
      <c r="I56" s="676" t="n"/>
      <c r="J56" s="306">
        <f>IF(AND(F59+E61&gt;F60,F60&gt;0),F60,F59+E61)</f>
        <v/>
      </c>
      <c r="K56" s="1" t="n"/>
      <c r="L56" s="307" t="inlineStr">
        <is>
          <t>COMPLETA</t>
        </is>
      </c>
      <c r="M56" s="307" t="inlineStr">
        <is>
          <t>SIMPLIFICADA</t>
        </is>
      </c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673">
      <c r="A57" s="284">
        <f>IF(RESULTADO!C32&gt;0,1,0)</f>
        <v/>
      </c>
      <c r="B57" s="289" t="inlineStr">
        <is>
          <t>RECEITAS</t>
        </is>
      </c>
      <c r="C57" s="308">
        <f>RESULTADO!C32</f>
        <v/>
      </c>
      <c r="D57" s="309">
        <f>($I$13*$C$57)</f>
        <v/>
      </c>
      <c r="E57" s="309">
        <f>PARTICULAR!O25</f>
        <v/>
      </c>
      <c r="F57" s="310">
        <f>D57+E57</f>
        <v/>
      </c>
      <c r="G57" s="299" t="n"/>
      <c r="H57" s="699" t="inlineStr">
        <is>
          <t>Base de Cálculo Simplificado</t>
        </is>
      </c>
      <c r="I57" s="676" t="n"/>
      <c r="J57" s="306">
        <f>IF(AND(F59&gt;F60,F60&gt;0),F60,F59)</f>
        <v/>
      </c>
      <c r="K57" s="1" t="n"/>
      <c r="L57" s="311">
        <f>J59</f>
        <v/>
      </c>
      <c r="M57" s="311">
        <f>IF(M58*0.2&lt;'BANCO DE DADOS'!$F$13,M58*0.2,'BANCO DE DADOS'!$F$13)</f>
        <v/>
      </c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673">
      <c r="A58" s="284" t="n"/>
      <c r="B58" s="292" t="inlineStr">
        <is>
          <t>DESPESAS</t>
        </is>
      </c>
      <c r="C58" s="312">
        <f>RESULTADO!D32</f>
        <v/>
      </c>
      <c r="D58" s="313">
        <f>($I$14*$C$58)</f>
        <v/>
      </c>
      <c r="E58" s="313">
        <f>PARTICULAR!O26</f>
        <v/>
      </c>
      <c r="F58" s="314">
        <f>D58+E58</f>
        <v/>
      </c>
      <c r="G58" s="299" t="n"/>
      <c r="H58" s="699" t="inlineStr">
        <is>
          <t>Dedução Simplificada</t>
        </is>
      </c>
      <c r="I58" s="676" t="n"/>
      <c r="J58" s="306">
        <f>IF(J57&gt;'BANCO DE DADOS'!D13,'BANCO DE DADOS'!F13,IF('RESULTADO DETALHADO'!J57&lt;0,0,'RESULTADO DETALHADO'!J57*'BANCO DE DADOS'!E13))</f>
        <v/>
      </c>
      <c r="K58" s="1" t="n"/>
      <c r="L58" s="311">
        <f>IF(AND(F59+E61&gt;F60,F60&gt;0),F60,F59+E61)</f>
        <v/>
      </c>
      <c r="M58" s="311">
        <f>IF(AND(F59&gt;F60,F60&gt;0),F60,F59)</f>
        <v/>
      </c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673">
      <c r="A59" s="284" t="n"/>
      <c r="B59" s="696" t="inlineStr">
        <is>
          <t>RESULTADO</t>
        </is>
      </c>
      <c r="C59" s="676" t="n"/>
      <c r="D59" s="315">
        <f>D57-D58</f>
        <v/>
      </c>
      <c r="E59" s="315">
        <f>E57-E58</f>
        <v/>
      </c>
      <c r="F59" s="316">
        <f>F57-F58</f>
        <v/>
      </c>
      <c r="G59" s="299" t="n"/>
      <c r="H59" s="699" t="inlineStr">
        <is>
          <t>Dedução Completa</t>
        </is>
      </c>
      <c r="I59" s="676" t="n"/>
      <c r="J59" s="306" t="n"/>
      <c r="K59" s="1" t="n"/>
      <c r="L59" s="311">
        <f>L58-L57</f>
        <v/>
      </c>
      <c r="M59" s="311">
        <f>M58-M57</f>
        <v/>
      </c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673">
      <c r="A60" s="284" t="n"/>
      <c r="B60" s="700">
        <f>IF(F60&gt;0,"ARBITRAMENTO",0)</f>
        <v/>
      </c>
      <c r="C60" s="676" t="n"/>
      <c r="D60" s="318" t="n"/>
      <c r="E60" s="318" t="n"/>
      <c r="F60" s="319">
        <f>IF(F57*0.2&gt;F59,0,F57*0.2)</f>
        <v/>
      </c>
      <c r="G60" s="299" t="n"/>
      <c r="H60" s="699" t="inlineStr">
        <is>
          <t>Base Tributável p/ Cálculo I.R.</t>
        </is>
      </c>
      <c r="I60" s="676" t="n"/>
      <c r="J60" s="306">
        <f>IF(J56-J59&lt;J56-J58,J56-J59,J56-J58)</f>
        <v/>
      </c>
      <c r="K60" s="1" t="n"/>
      <c r="L60" s="320">
        <f>IF(L59&gt;'BANCO DE DADOS'!$D$9,((L59*'BANCO DE DADOS'!$E$10)-'BANCO DE DADOS'!$F$10),IF(L59&gt;'BANCO DE DADOS'!$D$8,((L59*'BANCO DE DADOS'!$E$9)-'BANCO DE DADOS'!$F$9),IF(L59&gt;'BANCO DE DADOS'!$D$7,((L59*'BANCO DE DADOS'!$E$8)-'BANCO DE DADOS'!$F$8),IF(L59&gt;'BANCO DE DADOS'!$D$6,((L59*'BANCO DE DADOS'!$E$7)-'BANCO DE DADOS'!$F$7),0))))</f>
        <v/>
      </c>
      <c r="M60" s="320">
        <f>IF(M59&gt;'BANCO DE DADOS'!$D$9,((M59*'BANCO DE DADOS'!$E$10)-'BANCO DE DADOS'!$F$10),IF(M59&gt;'BANCO DE DADOS'!$D$8,((M59*'BANCO DE DADOS'!$E$9)-'BANCO DE DADOS'!$F$9),IF(M59&gt;'BANCO DE DADOS'!$D$7,((M59*'BANCO DE DADOS'!$E$8)-'BANCO DE DADOS'!$F$8),IF(M59&gt;'BANCO DE DADOS'!$D$6,((M59*'BANCO DE DADOS'!$E$7)-'BANCO DE DADOS'!$F$7),0))))</f>
        <v/>
      </c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673">
      <c r="A61" s="284" t="n"/>
      <c r="B61" s="701" t="inlineStr">
        <is>
          <t>PREJUÍZO ACUMULADO</t>
        </is>
      </c>
      <c r="C61" s="676" t="n"/>
      <c r="D61" s="322" t="n"/>
      <c r="E61" s="323">
        <f>RESULTADO!E7</f>
        <v/>
      </c>
      <c r="F61" s="324" t="n"/>
      <c r="G61" s="299" t="n"/>
      <c r="H61" s="702">
        <f>IF(J61&gt;0,"Imposto Apurado","Não Houve Imposto")</f>
        <v/>
      </c>
      <c r="I61" s="676" t="n"/>
      <c r="J61" s="306">
        <f>IF(J60&gt;'BANCO DE DADOS'!$D$10,(('RESULTADO DETALHADO'!J60*'BANCO DE DADOS'!$E$11)-'BANCO DE DADOS'!$F$11),IF(J60&gt;'BANCO DE DADOS'!$D$9,(('RESULTADO DETALHADO'!J60*'BANCO DE DADOS'!$E$10)-'BANCO DE DADOS'!$F$10),IF(J60&gt;'BANCO DE DADOS'!$D$8,(('RESULTADO DETALHADO'!J60*'BANCO DE DADOS'!$E$9)-'BANCO DE DADOS'!$F$9),IF(J60&gt;'BANCO DE DADOS'!$D$7,(('RESULTADO DETALHADO'!J60*'BANCO DE DADOS'!$E$8)-'BANCO DE DADOS'!$F$8),0))))</f>
        <v/>
      </c>
      <c r="K61" s="1" t="n"/>
      <c r="L61" s="285" t="n"/>
      <c r="M61" s="285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673">
      <c r="A62" s="284" t="n"/>
      <c r="B62" s="299" t="n"/>
      <c r="C62" s="299" t="n"/>
      <c r="D62" s="299" t="n"/>
      <c r="E62" s="299" t="n"/>
      <c r="F62" s="299" t="n"/>
      <c r="G62" s="299" t="n"/>
      <c r="H62" s="703">
        <f>IF(J56&gt;J57,"APURAÇÃO POR BASE RESULTADO PRESUMIDO", "APURAÇÃO POR BASE RESULTADO")</f>
        <v/>
      </c>
      <c r="I62" s="678" t="n"/>
      <c r="J62" s="676" t="n"/>
      <c r="K62" s="1" t="n"/>
      <c r="L62" s="285" t="n"/>
      <c r="M62" s="285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673">
      <c r="A63" s="284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285" t="n"/>
      <c r="M63" s="285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673">
      <c r="A64" s="284" t="n"/>
      <c r="B64" s="328" t="n"/>
      <c r="C64" s="302" t="n"/>
      <c r="D64" s="302" t="n"/>
      <c r="E64" s="1" t="n"/>
      <c r="F64" s="1" t="n"/>
      <c r="G64" s="303" t="n"/>
      <c r="H64" s="1" t="n"/>
      <c r="I64" s="303" t="n"/>
      <c r="J64" s="1" t="n"/>
      <c r="K64" s="1" t="n"/>
      <c r="L64" s="285" t="n"/>
      <c r="M64" s="285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673">
      <c r="A65" s="284">
        <f>A56+1</f>
        <v/>
      </c>
      <c r="B65" s="304">
        <f>RESULTADO!B33</f>
        <v/>
      </c>
      <c r="C65" s="201" t="inlineStr">
        <is>
          <t>APURAÇÃO</t>
        </is>
      </c>
      <c r="D65" s="676" t="n"/>
      <c r="E65" s="201" t="inlineStr">
        <is>
          <t>PARTICULAR</t>
        </is>
      </c>
      <c r="F65" s="201" t="inlineStr">
        <is>
          <t>TOTAL</t>
        </is>
      </c>
      <c r="G65" s="299" t="n"/>
      <c r="H65" s="699">
        <f>IF(F69=J65,"Base de Cálculo p/ Arbitramento", "Base de Cálculo p/ Resultado")</f>
        <v/>
      </c>
      <c r="I65" s="676" t="n"/>
      <c r="J65" s="306">
        <f>IF(AND(F68+E70&gt;F69,F69&gt;0),F69,F68+E70)</f>
        <v/>
      </c>
      <c r="K65" s="1" t="n"/>
      <c r="L65" s="307" t="inlineStr">
        <is>
          <t>COMPLETA</t>
        </is>
      </c>
      <c r="M65" s="307" t="inlineStr">
        <is>
          <t>SIMPLIFICADA</t>
        </is>
      </c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673">
      <c r="A66" s="284">
        <f>IF(RESULTADO!C33&gt;0,1,0)</f>
        <v/>
      </c>
      <c r="B66" s="289" t="inlineStr">
        <is>
          <t>RECEITAS</t>
        </is>
      </c>
      <c r="C66" s="308">
        <f>RESULTADO!C33</f>
        <v/>
      </c>
      <c r="D66" s="309">
        <f>($I$13*$C$66)</f>
        <v/>
      </c>
      <c r="E66" s="309">
        <f>PARTICULAR!O29</f>
        <v/>
      </c>
      <c r="F66" s="310">
        <f>D66+E66</f>
        <v/>
      </c>
      <c r="G66" s="299" t="n"/>
      <c r="H66" s="699" t="inlineStr">
        <is>
          <t>Base de Cálculo Simplificado</t>
        </is>
      </c>
      <c r="I66" s="676" t="n"/>
      <c r="J66" s="306">
        <f>IF(AND(F68&gt;F69,F69&gt;0),F69,F68)</f>
        <v/>
      </c>
      <c r="K66" s="1" t="n"/>
      <c r="L66" s="311">
        <f>J68</f>
        <v/>
      </c>
      <c r="M66" s="311">
        <f>IF(M67*0.2&lt;'BANCO DE DADOS'!$F$13,M67*0.2,'BANCO DE DADOS'!$F$13)</f>
        <v/>
      </c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673">
      <c r="A67" s="284" t="n"/>
      <c r="B67" s="292" t="inlineStr">
        <is>
          <t>DESPESAS</t>
        </is>
      </c>
      <c r="C67" s="312">
        <f>RESULTADO!D33</f>
        <v/>
      </c>
      <c r="D67" s="313">
        <f>($I$14*$C$67)</f>
        <v/>
      </c>
      <c r="E67" s="313">
        <f>PARTICULAR!O30</f>
        <v/>
      </c>
      <c r="F67" s="314">
        <f>D67+E67</f>
        <v/>
      </c>
      <c r="G67" s="299" t="n"/>
      <c r="H67" s="699" t="inlineStr">
        <is>
          <t>Dedução Simplificada</t>
        </is>
      </c>
      <c r="I67" s="676" t="n"/>
      <c r="J67" s="306">
        <f>IF(J66&gt;'BANCO DE DADOS'!D13,'BANCO DE DADOS'!F13,IF('RESULTADO DETALHADO'!J66&lt;0,0,'RESULTADO DETALHADO'!J66*'BANCO DE DADOS'!E13))</f>
        <v/>
      </c>
      <c r="K67" s="1" t="n"/>
      <c r="L67" s="311">
        <f>IF(AND(F68+E70&gt;F69,F69&gt;0),F69,F68+E70)</f>
        <v/>
      </c>
      <c r="M67" s="311">
        <f>IF(AND(F68&gt;F69,F69&gt;0),F69,F68)</f>
        <v/>
      </c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673">
      <c r="A68" s="284" t="n"/>
      <c r="B68" s="696" t="inlineStr">
        <is>
          <t>RESULTADO</t>
        </is>
      </c>
      <c r="C68" s="676" t="n"/>
      <c r="D68" s="315">
        <f>D66-D67</f>
        <v/>
      </c>
      <c r="E68" s="315">
        <f>E66-E67</f>
        <v/>
      </c>
      <c r="F68" s="316">
        <f>F66-F67</f>
        <v/>
      </c>
      <c r="G68" s="299" t="n"/>
      <c r="H68" s="699" t="inlineStr">
        <is>
          <t>Dedução Completa</t>
        </is>
      </c>
      <c r="I68" s="676" t="n"/>
      <c r="J68" s="306" t="n"/>
      <c r="K68" s="1" t="n"/>
      <c r="L68" s="311">
        <f>L67-L66</f>
        <v/>
      </c>
      <c r="M68" s="311">
        <f>M67-M66</f>
        <v/>
      </c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673">
      <c r="A69" s="284" t="n"/>
      <c r="B69" s="700">
        <f>IF(F69&gt;0,"ARBITRAMENTO",0)</f>
        <v/>
      </c>
      <c r="C69" s="676" t="n"/>
      <c r="D69" s="318" t="n"/>
      <c r="E69" s="318" t="n"/>
      <c r="F69" s="319">
        <f>IF(F66*0.2&gt;F68,0,F66*0.2)</f>
        <v/>
      </c>
      <c r="G69" s="299" t="n"/>
      <c r="H69" s="699" t="inlineStr">
        <is>
          <t>Base Tributável p/ Cálculo I.R.</t>
        </is>
      </c>
      <c r="I69" s="676" t="n"/>
      <c r="J69" s="306">
        <f>IF(J65-J68&lt;J65-J67,J65-J68,J65-J67)</f>
        <v/>
      </c>
      <c r="K69" s="1" t="n"/>
      <c r="L69" s="320">
        <f>IF(L68&gt;'BANCO DE DADOS'!$D$9,((L68*'BANCO DE DADOS'!$E$10)-'BANCO DE DADOS'!$F$10),IF(L68&gt;'BANCO DE DADOS'!$D$8,((L68*'BANCO DE DADOS'!$E$9)-'BANCO DE DADOS'!$F$9),IF(L68&gt;'BANCO DE DADOS'!$D$7,((L68*'BANCO DE DADOS'!$E$8)-'BANCO DE DADOS'!$F$8),IF(L68&gt;'BANCO DE DADOS'!$D$6,((L68*'BANCO DE DADOS'!$E$7)-'BANCO DE DADOS'!$F$7),0))))</f>
        <v/>
      </c>
      <c r="M69" s="320">
        <f>IF(M68&gt;'BANCO DE DADOS'!$D$9,((M68*'BANCO DE DADOS'!$E$10)-'BANCO DE DADOS'!$F$10),IF(M68&gt;'BANCO DE DADOS'!$D$8,((M68*'BANCO DE DADOS'!$E$9)-'BANCO DE DADOS'!$F$9),IF(M68&gt;'BANCO DE DADOS'!$D$7,((M68*'BANCO DE DADOS'!$E$8)-'BANCO DE DADOS'!$F$8),IF(M68&gt;'BANCO DE DADOS'!$D$6,((M68*'BANCO DE DADOS'!$E$7)-'BANCO DE DADOS'!$F$7),0))))</f>
        <v/>
      </c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673">
      <c r="A70" s="284" t="n"/>
      <c r="B70" s="701" t="inlineStr">
        <is>
          <t>PREJUÍZO ACUMULADO</t>
        </is>
      </c>
      <c r="C70" s="676" t="n"/>
      <c r="D70" s="322" t="n"/>
      <c r="E70" s="323">
        <f>RESULTADO!E8</f>
        <v/>
      </c>
      <c r="F70" s="324" t="n"/>
      <c r="G70" s="299" t="n"/>
      <c r="H70" s="702">
        <f>IF(J70&gt;0,"Imposto Apurado","Não Houve Imposto")</f>
        <v/>
      </c>
      <c r="I70" s="676" t="n"/>
      <c r="J70" s="306">
        <f>IF(J69&gt;'BANCO DE DADOS'!$D$10,(('RESULTADO DETALHADO'!J69*'BANCO DE DADOS'!$E$11)-'BANCO DE DADOS'!$F$11),IF(J69&gt;'BANCO DE DADOS'!$D$9,(('RESULTADO DETALHADO'!J69*'BANCO DE DADOS'!$E$10)-'BANCO DE DADOS'!$F$10),IF(J69&gt;'BANCO DE DADOS'!$D$8,(('RESULTADO DETALHADO'!J69*'BANCO DE DADOS'!$E$9)-'BANCO DE DADOS'!$F$9),IF(J69&gt;'BANCO DE DADOS'!$D$7,(('RESULTADO DETALHADO'!J69*'BANCO DE DADOS'!$E$8)-'BANCO DE DADOS'!$F$8),0))))</f>
        <v/>
      </c>
      <c r="K70" s="1" t="n"/>
      <c r="L70" s="285" t="n"/>
      <c r="M70" s="285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673">
      <c r="A71" s="284" t="n"/>
      <c r="B71" s="299" t="n"/>
      <c r="C71" s="299" t="n"/>
      <c r="D71" s="299" t="n"/>
      <c r="E71" s="299" t="n"/>
      <c r="F71" s="299" t="n"/>
      <c r="G71" s="299" t="n"/>
      <c r="H71" s="703">
        <f>IF(J65&gt;J66,"APURAÇÃO POR BASE RESULTADO PRESUMIDO", "APURAÇÃO POR BASE RESULTADO")</f>
        <v/>
      </c>
      <c r="I71" s="678" t="n"/>
      <c r="J71" s="676" t="n"/>
      <c r="K71" s="1" t="n"/>
      <c r="L71" s="285" t="n"/>
      <c r="M71" s="285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673">
      <c r="A72" s="284" t="n"/>
      <c r="B72" s="1" t="n"/>
      <c r="C72" s="1" t="n"/>
      <c r="D72" s="1" t="n"/>
      <c r="E72" s="1" t="n"/>
      <c r="F72" s="1" t="n"/>
      <c r="G72" s="2" t="n"/>
      <c r="H72" s="2" t="n"/>
      <c r="I72" s="2" t="n"/>
      <c r="J72" s="2" t="n"/>
      <c r="K72" s="1" t="n"/>
      <c r="L72" s="285" t="n"/>
      <c r="M72" s="285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673">
      <c r="A73" s="284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285" t="n"/>
      <c r="M73" s="285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673">
      <c r="A74" s="284" t="n">
        <v>7</v>
      </c>
      <c r="B74" s="304">
        <f>RESULTADO!B34</f>
        <v/>
      </c>
      <c r="C74" s="201" t="inlineStr">
        <is>
          <t>APURAÇÃO</t>
        </is>
      </c>
      <c r="D74" s="676" t="n"/>
      <c r="E74" s="201" t="inlineStr">
        <is>
          <t>PARTICULAR</t>
        </is>
      </c>
      <c r="F74" s="201" t="inlineStr">
        <is>
          <t>TOTAL</t>
        </is>
      </c>
      <c r="G74" s="299" t="n"/>
      <c r="H74" s="699">
        <f>IF(F78=J74,"Base de Cálculo p/ Arbitramento", "Base de Cálculo p/ Resultado")</f>
        <v/>
      </c>
      <c r="I74" s="676" t="n"/>
      <c r="J74" s="306">
        <f>IF(AND(F77+E79&gt;F78,F78&gt;0),F78,F77+E79)</f>
        <v/>
      </c>
      <c r="K74" s="1" t="n"/>
      <c r="L74" s="307" t="inlineStr">
        <is>
          <t>COMPLETA</t>
        </is>
      </c>
      <c r="M74" s="307" t="inlineStr">
        <is>
          <t>SIMPLIFICADA</t>
        </is>
      </c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673">
      <c r="A75" s="284">
        <f>IF(RESULTADO!C34&gt;0,1,0)</f>
        <v/>
      </c>
      <c r="B75" s="289" t="inlineStr">
        <is>
          <t>RECEITAS</t>
        </is>
      </c>
      <c r="C75" s="308">
        <f>RESULTADO!C34</f>
        <v/>
      </c>
      <c r="D75" s="309">
        <f>($I$13*$C$75)</f>
        <v/>
      </c>
      <c r="E75" s="309">
        <f>PARTICULAR!O33</f>
        <v/>
      </c>
      <c r="F75" s="310">
        <f>D75+E75</f>
        <v/>
      </c>
      <c r="G75" s="299" t="n"/>
      <c r="H75" s="699" t="inlineStr">
        <is>
          <t>Base de Cálculo Simplificado</t>
        </is>
      </c>
      <c r="I75" s="676" t="n"/>
      <c r="J75" s="306">
        <f>IF(AND(F77&gt;F78,F78&gt;0),F78,F77)</f>
        <v/>
      </c>
      <c r="K75" s="1" t="n"/>
      <c r="L75" s="311">
        <f>J77</f>
        <v/>
      </c>
      <c r="M75" s="311">
        <f>IF(M76*0.2&lt;'BANCO DE DADOS'!$F$13,M76*0.2,'BANCO DE DADOS'!$F$13)</f>
        <v/>
      </c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673">
      <c r="A76" s="284" t="n"/>
      <c r="B76" s="292" t="inlineStr">
        <is>
          <t>DESPESAS</t>
        </is>
      </c>
      <c r="C76" s="312">
        <f>RESULTADO!D34</f>
        <v/>
      </c>
      <c r="D76" s="313">
        <f>($I$14*$C$76)</f>
        <v/>
      </c>
      <c r="E76" s="313">
        <f>PARTICULAR!O34</f>
        <v/>
      </c>
      <c r="F76" s="314">
        <f>D76+E76</f>
        <v/>
      </c>
      <c r="G76" s="299" t="n"/>
      <c r="H76" s="699" t="inlineStr">
        <is>
          <t>Dedução Simplificada</t>
        </is>
      </c>
      <c r="I76" s="676" t="n"/>
      <c r="J76" s="306">
        <f>IF(J75&gt;'BANCO DE DADOS'!D13,'BANCO DE DADOS'!F13,IF('RESULTADO DETALHADO'!J75&lt;0,0,'RESULTADO DETALHADO'!J75*'BANCO DE DADOS'!E13))</f>
        <v/>
      </c>
      <c r="K76" s="1" t="n"/>
      <c r="L76" s="311">
        <f>IF(AND(F77+E79&gt;F78,F78&gt;0),F78,F77+E79)</f>
        <v/>
      </c>
      <c r="M76" s="311">
        <f>IF(AND(F77&gt;F78,F78&gt;0),F78,F77)</f>
        <v/>
      </c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673">
      <c r="A77" s="284" t="n"/>
      <c r="B77" s="696" t="inlineStr">
        <is>
          <t>RESULTADO</t>
        </is>
      </c>
      <c r="C77" s="676" t="n"/>
      <c r="D77" s="315">
        <f>D75-D76</f>
        <v/>
      </c>
      <c r="E77" s="315">
        <f>E75-E76</f>
        <v/>
      </c>
      <c r="F77" s="316">
        <f>F75-F76</f>
        <v/>
      </c>
      <c r="G77" s="299" t="n"/>
      <c r="H77" s="699" t="inlineStr">
        <is>
          <t>Dedução Completa</t>
        </is>
      </c>
      <c r="I77" s="676" t="n"/>
      <c r="J77" s="306" t="n">
        <v>0</v>
      </c>
      <c r="K77" s="1" t="n"/>
      <c r="L77" s="311">
        <f>L76-L75</f>
        <v/>
      </c>
      <c r="M77" s="311">
        <f>M76-M75</f>
        <v/>
      </c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673">
      <c r="A78" s="284" t="n"/>
      <c r="B78" s="700">
        <f>IF(F78&gt;0,"ARBITRAMENTO",0)</f>
        <v/>
      </c>
      <c r="C78" s="676" t="n"/>
      <c r="D78" s="318" t="n"/>
      <c r="E78" s="318" t="n"/>
      <c r="F78" s="319">
        <f>IF(F75*0.2&gt;F77,0,F75*0.2)</f>
        <v/>
      </c>
      <c r="G78" s="299" t="n"/>
      <c r="H78" s="699" t="inlineStr">
        <is>
          <t>Base Tributável p/ Cálculo I.R.</t>
        </is>
      </c>
      <c r="I78" s="676" t="n"/>
      <c r="J78" s="306">
        <f>IF(J74-J77&lt;J74-J76,J74-J77,J74-J76)</f>
        <v/>
      </c>
      <c r="K78" s="1" t="n"/>
      <c r="L78" s="320">
        <f>IF(L77&gt;'BANCO DE DADOS'!$D$9,((L77*'BANCO DE DADOS'!$E$10)-'BANCO DE DADOS'!$F$10),IF(L77&gt;'BANCO DE DADOS'!$D$8,((L77*'BANCO DE DADOS'!$E$9)-'BANCO DE DADOS'!$F$9),IF(L77&gt;'BANCO DE DADOS'!$D$7,((L77*'BANCO DE DADOS'!$E$8)-'BANCO DE DADOS'!$F$8),IF(L77&gt;'BANCO DE DADOS'!$D$6,((L77*'BANCO DE DADOS'!$E$7)-'BANCO DE DADOS'!$F$7),0))))</f>
        <v/>
      </c>
      <c r="M78" s="320">
        <f>IF(M77&gt;'BANCO DE DADOS'!$D$9,((M77*'BANCO DE DADOS'!$E$10)-'BANCO DE DADOS'!$F$10),IF(M77&gt;'BANCO DE DADOS'!$D$8,((M77*'BANCO DE DADOS'!$E$9)-'BANCO DE DADOS'!$F$9),IF(M77&gt;'BANCO DE DADOS'!$D$7,((M77*'BANCO DE DADOS'!$E$8)-'BANCO DE DADOS'!$F$8),IF(M77&gt;'BANCO DE DADOS'!$D$6,((M77*'BANCO DE DADOS'!$E$7)-'BANCO DE DADOS'!$F$7),0))))</f>
        <v/>
      </c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673">
      <c r="A79" s="284" t="n"/>
      <c r="B79" s="701" t="inlineStr">
        <is>
          <t>PREJUÍZO ACUMULADO</t>
        </is>
      </c>
      <c r="C79" s="676" t="n"/>
      <c r="D79" s="322" t="n"/>
      <c r="E79" s="323">
        <f>RESULTADO!E9</f>
        <v/>
      </c>
      <c r="F79" s="324" t="n"/>
      <c r="G79" s="299" t="n"/>
      <c r="H79" s="702">
        <f>IF(J79&gt;0,"Imposto Apurado","Não Houve Imposto")</f>
        <v/>
      </c>
      <c r="I79" s="676" t="n"/>
      <c r="J79" s="306">
        <f>IF(J78&gt;'BANCO DE DADOS'!$D$10,(('RESULTADO DETALHADO'!J78*'BANCO DE DADOS'!$E$11)-'BANCO DE DADOS'!$F$11),IF(J78&gt;'BANCO DE DADOS'!$D$9,(('RESULTADO DETALHADO'!J78*'BANCO DE DADOS'!$E$10)-'BANCO DE DADOS'!$F$10),IF(J78&gt;'BANCO DE DADOS'!$D$8,(('RESULTADO DETALHADO'!J78*'BANCO DE DADOS'!$E$9)-'BANCO DE DADOS'!$F$9),IF(J78&gt;'BANCO DE DADOS'!$D$7,(('RESULTADO DETALHADO'!J78*'BANCO DE DADOS'!$E$8)-'BANCO DE DADOS'!$F$8),0))))</f>
        <v/>
      </c>
      <c r="K79" s="1" t="n"/>
      <c r="L79" s="285" t="n"/>
      <c r="M79" s="285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673">
      <c r="A80" s="284" t="n"/>
      <c r="B80" s="299" t="n"/>
      <c r="C80" s="299" t="n"/>
      <c r="D80" s="299" t="n"/>
      <c r="E80" s="299" t="n"/>
      <c r="F80" s="299" t="n"/>
      <c r="G80" s="299" t="n"/>
      <c r="H80" s="703">
        <f>IF(J74&gt;J75,"APURAÇÃO POR BASE RESULTADO PRESUMIDO", "APURAÇÃO POR BASE RESULTADO")</f>
        <v/>
      </c>
      <c r="I80" s="678" t="n"/>
      <c r="J80" s="676" t="n"/>
      <c r="K80" s="1" t="n"/>
      <c r="L80" s="285" t="n"/>
      <c r="M80" s="285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673">
      <c r="A81" s="284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285" t="n"/>
      <c r="M81" s="285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673">
      <c r="A82" s="284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285" t="n"/>
      <c r="M82" s="285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673">
      <c r="A83" s="284" t="n">
        <v>8</v>
      </c>
      <c r="B83" s="304" t="inlineStr">
        <is>
          <t>PARCEIRO H</t>
        </is>
      </c>
      <c r="C83" s="201" t="inlineStr">
        <is>
          <t>APURAÇÃO</t>
        </is>
      </c>
      <c r="D83" s="676" t="n"/>
      <c r="E83" s="201" t="inlineStr">
        <is>
          <t>PARTICULAR</t>
        </is>
      </c>
      <c r="F83" s="201" t="inlineStr">
        <is>
          <t>TOTAL</t>
        </is>
      </c>
      <c r="G83" s="299" t="n"/>
      <c r="H83" s="699">
        <f>IF(F87=J83,"Base de Cálculo p/ Arbitramento", "Base de Cálculo p/ Resultado")</f>
        <v/>
      </c>
      <c r="I83" s="676" t="n"/>
      <c r="J83" s="306">
        <f>IF(AND(F86+E88&gt;F87,F87&gt;0),F87,F86+E88)</f>
        <v/>
      </c>
      <c r="K83" s="1" t="n"/>
      <c r="L83" s="307" t="inlineStr">
        <is>
          <t>COMPLETA</t>
        </is>
      </c>
      <c r="M83" s="307" t="inlineStr">
        <is>
          <t>SIMPLIFICADA</t>
        </is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673">
      <c r="A84" s="284" t="n"/>
      <c r="B84" s="289" t="inlineStr">
        <is>
          <t>RECEITAS</t>
        </is>
      </c>
      <c r="C84" s="308" t="n"/>
      <c r="D84" s="309">
        <f>($I$13*$C$75)</f>
        <v/>
      </c>
      <c r="E84" s="309">
        <f>PARTICULAR!O37</f>
        <v/>
      </c>
      <c r="F84" s="310">
        <f>D84+E84</f>
        <v/>
      </c>
      <c r="G84" s="299" t="n"/>
      <c r="H84" s="699" t="inlineStr">
        <is>
          <t>Base de Cálculo Simplificado</t>
        </is>
      </c>
      <c r="I84" s="676" t="n"/>
      <c r="J84" s="306">
        <f>IF(AND(F86&gt;F87,F87&gt;0),F87,F86)</f>
        <v/>
      </c>
      <c r="K84" s="1" t="n"/>
      <c r="L84" s="311">
        <f>J86</f>
        <v/>
      </c>
      <c r="M84" s="311">
        <f>IF(M85*0.2&lt;'BANCO DE DADOS'!$F$13,M85*0.2,'BANCO DE DADOS'!$F$13)</f>
        <v/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673">
      <c r="A85" s="284" t="n"/>
      <c r="B85" s="292" t="inlineStr">
        <is>
          <t>DESPESAS</t>
        </is>
      </c>
      <c r="C85" s="312" t="n"/>
      <c r="D85" s="313">
        <f>($I$14*$C$76)</f>
        <v/>
      </c>
      <c r="E85" s="313">
        <f>PARTICULAR!O38</f>
        <v/>
      </c>
      <c r="F85" s="314">
        <f>D85+E85</f>
        <v/>
      </c>
      <c r="G85" s="299" t="n"/>
      <c r="H85" s="699" t="inlineStr">
        <is>
          <t>Dedução Simplificada</t>
        </is>
      </c>
      <c r="I85" s="676" t="n"/>
      <c r="J85" s="306">
        <f>IF(J84&gt;'BANCO DE DADOS'!D13,'BANCO DE DADOS'!F13,IF('RESULTADO DETALHADO'!J84&lt;0,0,'RESULTADO DETALHADO'!J84*'BANCO DE DADOS'!E13))</f>
        <v/>
      </c>
      <c r="K85" s="1" t="n"/>
      <c r="L85" s="311">
        <f>IF(AND(F86+E88&gt;F87,F87&gt;0),F87,F86+E88)</f>
        <v/>
      </c>
      <c r="M85" s="311">
        <f>IF(AND(F86&gt;F87,F87&gt;0),F87,F86)</f>
        <v/>
      </c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673">
      <c r="A86" s="284" t="n"/>
      <c r="B86" s="696" t="inlineStr">
        <is>
          <t>RESULTADO</t>
        </is>
      </c>
      <c r="C86" s="676" t="n"/>
      <c r="D86" s="315">
        <f>D84-D85</f>
        <v/>
      </c>
      <c r="E86" s="315">
        <f>E84-E85</f>
        <v/>
      </c>
      <c r="F86" s="316">
        <f>F84-F85</f>
        <v/>
      </c>
      <c r="G86" s="299" t="n"/>
      <c r="H86" s="699" t="inlineStr">
        <is>
          <t>Dedução Completa</t>
        </is>
      </c>
      <c r="I86" s="676" t="n"/>
      <c r="J86" s="306" t="n">
        <v>0</v>
      </c>
      <c r="K86" s="1" t="n"/>
      <c r="L86" s="311">
        <f>L85-L84</f>
        <v/>
      </c>
      <c r="M86" s="311">
        <f>M85-M84</f>
        <v/>
      </c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673">
      <c r="A87" s="284" t="n"/>
      <c r="B87" s="700">
        <f>IF(F87&gt;0,"ARBITRAMENTO",0)</f>
        <v/>
      </c>
      <c r="C87" s="676" t="n"/>
      <c r="D87" s="318" t="n"/>
      <c r="E87" s="318" t="n"/>
      <c r="F87" s="319">
        <f>IF(F84*0.2&gt;F86,0,F84*0.2)</f>
        <v/>
      </c>
      <c r="G87" s="299" t="n"/>
      <c r="H87" s="699" t="inlineStr">
        <is>
          <t>Base Tributável p/ Cálculo I.R.</t>
        </is>
      </c>
      <c r="I87" s="676" t="n"/>
      <c r="J87" s="306">
        <f>IF(J83-J86&lt;J83-J85,J83-J86,J83-J85)</f>
        <v/>
      </c>
      <c r="K87" s="1" t="n"/>
      <c r="L87" s="320">
        <f>IF(L86&gt;'BANCO DE DADOS'!$D$9,((L86*'BANCO DE DADOS'!$E$10)-'BANCO DE DADOS'!$F$10),IF(L86&gt;'BANCO DE DADOS'!$D$8,((L86*'BANCO DE DADOS'!$E$9)-'BANCO DE DADOS'!$F$9),IF(L86&gt;'BANCO DE DADOS'!$D$7,((L86*'BANCO DE DADOS'!$E$8)-'BANCO DE DADOS'!$F$8),IF(L86&gt;'BANCO DE DADOS'!$D$6,((L86*'BANCO DE DADOS'!$E$7)-'BANCO DE DADOS'!$F$7),0))))</f>
        <v/>
      </c>
      <c r="M87" s="320">
        <f>IF(M86&gt;'BANCO DE DADOS'!$D$9,((M86*'BANCO DE DADOS'!$E$10)-'BANCO DE DADOS'!$F$10),IF(M86&gt;'BANCO DE DADOS'!$D$8,((M86*'BANCO DE DADOS'!$E$9)-'BANCO DE DADOS'!$F$9),IF(M86&gt;'BANCO DE DADOS'!$D$7,((M86*'BANCO DE DADOS'!$E$8)-'BANCO DE DADOS'!$F$8),IF(M86&gt;'BANCO DE DADOS'!$D$6,((M86*'BANCO DE DADOS'!$E$7)-'BANCO DE DADOS'!$F$7),0))))</f>
        <v/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673">
      <c r="A88" s="284" t="n"/>
      <c r="B88" s="701" t="inlineStr">
        <is>
          <t>PREJUÍZO ACUMULADO</t>
        </is>
      </c>
      <c r="C88" s="676" t="n"/>
      <c r="D88" s="322" t="n"/>
      <c r="E88" s="323">
        <f>RESULTADO!E10</f>
        <v/>
      </c>
      <c r="F88" s="324" t="n"/>
      <c r="G88" s="299" t="n"/>
      <c r="H88" s="702">
        <f>IF(J88&gt;0,"Imposto Apurado","Não Houve Imposto")</f>
        <v/>
      </c>
      <c r="I88" s="676" t="n"/>
      <c r="J88" s="306">
        <f>IF(J87&gt;'BANCO DE DADOS'!$D$10,(('RESULTADO DETALHADO'!J87*'BANCO DE DADOS'!$E$11)-'BANCO DE DADOS'!$F$11),IF(J87&gt;'BANCO DE DADOS'!$D$9,(('RESULTADO DETALHADO'!J87*'BANCO DE DADOS'!$E$10)-'BANCO DE DADOS'!$F$10),IF(J87&gt;'BANCO DE DADOS'!$D$8,(('RESULTADO DETALHADO'!J87*'BANCO DE DADOS'!$E$9)-'BANCO DE DADOS'!$F$9),IF(J87&gt;'BANCO DE DADOS'!$D$7,(('RESULTADO DETALHADO'!J87*'BANCO DE DADOS'!$E$8)-'BANCO DE DADOS'!$F$8),0))))</f>
        <v/>
      </c>
      <c r="K88" s="1" t="n"/>
      <c r="L88" s="285" t="n"/>
      <c r="M88" s="285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673">
      <c r="A89" s="284" t="n"/>
      <c r="B89" s="299" t="n"/>
      <c r="C89" s="299" t="n"/>
      <c r="D89" s="299" t="n"/>
      <c r="E89" s="299" t="n"/>
      <c r="F89" s="299" t="n"/>
      <c r="G89" s="299" t="n"/>
      <c r="H89" s="703">
        <f>IF(J83&gt;J84,"APURAÇÃO POR BASE RESULTADO PRESUMIDO", "APURAÇÃO POR BASE RESULTADO")</f>
        <v/>
      </c>
      <c r="I89" s="678" t="n"/>
      <c r="J89" s="676" t="n"/>
      <c r="K89" s="1" t="n"/>
      <c r="L89" s="285" t="n"/>
      <c r="M89" s="285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673">
      <c r="A90" s="284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285" t="n"/>
      <c r="M90" s="285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idden="1" ht="15.75" customHeight="1" s="673">
      <c r="A91" s="284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285" t="n"/>
      <c r="M91" s="285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idden="1" ht="15.75" customHeight="1" s="673">
      <c r="A92" s="284" t="n">
        <v>9</v>
      </c>
      <c r="B92" s="304" t="n"/>
      <c r="C92" s="201" t="inlineStr">
        <is>
          <t>APURAÇÃO</t>
        </is>
      </c>
      <c r="D92" s="676" t="n"/>
      <c r="E92" s="201" t="inlineStr">
        <is>
          <t>PARTICULAR</t>
        </is>
      </c>
      <c r="F92" s="201" t="inlineStr">
        <is>
          <t>TOTAL</t>
        </is>
      </c>
      <c r="G92" s="299" t="n"/>
      <c r="H92" s="699">
        <f>IF(F96=J92,"Base de Cálculo p/ Arbitramento", "Base de Cálculo p/ Resultado")</f>
        <v/>
      </c>
      <c r="I92" s="676" t="n"/>
      <c r="J92" s="306">
        <f>IF(AND(F95+E97&gt;F96,F96&gt;0),F96,F95+E97)</f>
        <v/>
      </c>
      <c r="K92" s="1" t="n"/>
      <c r="L92" s="307" t="inlineStr">
        <is>
          <t>COMPLETA</t>
        </is>
      </c>
      <c r="M92" s="307" t="inlineStr">
        <is>
          <t>SIMPLIFICADA</t>
        </is>
      </c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idden="1" ht="15.75" customHeight="1" s="673">
      <c r="A93" s="284" t="n"/>
      <c r="B93" s="289" t="inlineStr">
        <is>
          <t>RECEITAS</t>
        </is>
      </c>
      <c r="C93" s="308" t="n"/>
      <c r="D93" s="309">
        <f>($I$13*$C$75)</f>
        <v/>
      </c>
      <c r="E93" s="309">
        <f>#REF!</f>
        <v/>
      </c>
      <c r="F93" s="310">
        <f>D93+E93</f>
        <v/>
      </c>
      <c r="G93" s="299" t="n"/>
      <c r="H93" s="699" t="inlineStr">
        <is>
          <t>Base de Cálculo Simplificado</t>
        </is>
      </c>
      <c r="I93" s="676" t="n"/>
      <c r="J93" s="306">
        <f>IF(AND(F95&gt;F96,F96&gt;0),F96,F95)</f>
        <v/>
      </c>
      <c r="K93" s="1" t="n"/>
      <c r="L93" s="311">
        <f>J95</f>
        <v/>
      </c>
      <c r="M93" s="311">
        <f>IF(M94*0.2&lt;'BANCO DE DADOS'!$F$13,M94*0.2,'BANCO DE DADOS'!$F$13)</f>
        <v/>
      </c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idden="1" ht="15.75" customHeight="1" s="673">
      <c r="A94" s="284" t="n"/>
      <c r="B94" s="292" t="inlineStr">
        <is>
          <t>DESPESAS</t>
        </is>
      </c>
      <c r="C94" s="312" t="n"/>
      <c r="D94" s="313">
        <f>($I$14*$C$76)</f>
        <v/>
      </c>
      <c r="E94" s="313">
        <f>#REF!</f>
        <v/>
      </c>
      <c r="F94" s="314">
        <f>D94+E94</f>
        <v/>
      </c>
      <c r="G94" s="299" t="n"/>
      <c r="H94" s="699" t="inlineStr">
        <is>
          <t>Dedução Simplificada</t>
        </is>
      </c>
      <c r="I94" s="676" t="n"/>
      <c r="J94" s="306">
        <f>IF(J93&gt;'BANCO DE DADOS'!D13,'BANCO DE DADOS'!F13,IF('RESULTADO DETALHADO'!J93&lt;0,0,'RESULTADO DETALHADO'!J93*'BANCO DE DADOS'!E13))</f>
        <v/>
      </c>
      <c r="K94" s="1" t="n"/>
      <c r="L94" s="311">
        <f>IF(AND(F95+E97&gt;F96,F96&gt;0),F96,F95+E97)</f>
        <v/>
      </c>
      <c r="M94" s="311">
        <f>IF(AND(F95&gt;F96,F96&gt;0),F96,F95)</f>
        <v/>
      </c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idden="1" ht="15.75" customHeight="1" s="673">
      <c r="A95" s="284" t="n"/>
      <c r="B95" s="696" t="inlineStr">
        <is>
          <t>RESULTADO</t>
        </is>
      </c>
      <c r="C95" s="676" t="n"/>
      <c r="D95" s="315">
        <f>D93-D94</f>
        <v/>
      </c>
      <c r="E95" s="315">
        <f>E93-E94</f>
        <v/>
      </c>
      <c r="F95" s="316">
        <f>F93-F94</f>
        <v/>
      </c>
      <c r="G95" s="299" t="n"/>
      <c r="H95" s="699" t="inlineStr">
        <is>
          <t>Dedução Completa</t>
        </is>
      </c>
      <c r="I95" s="676" t="n"/>
      <c r="J95" s="306" t="n">
        <v>0</v>
      </c>
      <c r="K95" s="1" t="n"/>
      <c r="L95" s="311">
        <f>L94-L93</f>
        <v/>
      </c>
      <c r="M95" s="311">
        <f>M94-M93</f>
        <v/>
      </c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idden="1" ht="15.75" customHeight="1" s="673">
      <c r="A96" s="284" t="n"/>
      <c r="B96" s="700">
        <f>IF(F96&gt;0,"ARBITRAMENTO",0)</f>
        <v/>
      </c>
      <c r="C96" s="676" t="n"/>
      <c r="D96" s="318" t="n"/>
      <c r="E96" s="318" t="n"/>
      <c r="F96" s="319">
        <f>IF(F93*0.2&gt;F95,0,F93*0.2)</f>
        <v/>
      </c>
      <c r="G96" s="299" t="n"/>
      <c r="H96" s="699" t="inlineStr">
        <is>
          <t>Base Tributável p/ Cálculo I.R.</t>
        </is>
      </c>
      <c r="I96" s="676" t="n"/>
      <c r="J96" s="306">
        <f>IF(J92-J95&lt;J92-J94,J92-J95,J92-J94)</f>
        <v/>
      </c>
      <c r="K96" s="1" t="n"/>
      <c r="L96" s="320">
        <f>IF(L95&gt;'BANCO DE DADOS'!$D$9,((L95*'BANCO DE DADOS'!$E$10)-'BANCO DE DADOS'!$F$10),IF(L95&gt;'BANCO DE DADOS'!$D$8,((L95*'BANCO DE DADOS'!$E$9)-'BANCO DE DADOS'!$F$9),IF(L95&gt;'BANCO DE DADOS'!$D$7,((L95*'BANCO DE DADOS'!$E$8)-'BANCO DE DADOS'!$F$8),IF(L95&gt;'BANCO DE DADOS'!$D$6,((L95*'BANCO DE DADOS'!$E$7)-'BANCO DE DADOS'!$F$7),0))))</f>
        <v/>
      </c>
      <c r="M96" s="320">
        <f>IF(M95&gt;'BANCO DE DADOS'!$D$9,((M95*'BANCO DE DADOS'!$E$10)-'BANCO DE DADOS'!$F$10),IF(M95&gt;'BANCO DE DADOS'!$D$8,((M95*'BANCO DE DADOS'!$E$9)-'BANCO DE DADOS'!$F$9),IF(M95&gt;'BANCO DE DADOS'!$D$7,((M95*'BANCO DE DADOS'!$E$8)-'BANCO DE DADOS'!$F$8),IF(M95&gt;'BANCO DE DADOS'!$D$6,((M95*'BANCO DE DADOS'!$E$7)-'BANCO DE DADOS'!$F$7),0))))</f>
        <v/>
      </c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idden="1" ht="15.75" customHeight="1" s="673">
      <c r="A97" s="284" t="n"/>
      <c r="B97" s="701" t="inlineStr">
        <is>
          <t>PREJUÍZO ACUMULADO</t>
        </is>
      </c>
      <c r="C97" s="676" t="n"/>
      <c r="D97" s="322" t="n"/>
      <c r="E97" s="323" t="n"/>
      <c r="F97" s="324" t="n"/>
      <c r="G97" s="299" t="n"/>
      <c r="H97" s="702">
        <f>IF(J97&gt;0,"Imposto Apurado","Não Houve Imposto")</f>
        <v/>
      </c>
      <c r="I97" s="676" t="n"/>
      <c r="J97" s="306">
        <f>IF(J96&gt;'BANCO DE DADOS'!$D$10,(('RESULTADO DETALHADO'!J96*'BANCO DE DADOS'!$E$11)-'BANCO DE DADOS'!$F$11),IF(J96&gt;'BANCO DE DADOS'!$D$9,(('RESULTADO DETALHADO'!J96*'BANCO DE DADOS'!$E$10)-'BANCO DE DADOS'!$F$10),IF(J96&gt;'BANCO DE DADOS'!$D$8,(('RESULTADO DETALHADO'!J96*'BANCO DE DADOS'!$E$9)-'BANCO DE DADOS'!$F$9),IF(J96&gt;'BANCO DE DADOS'!$D$7,(('RESULTADO DETALHADO'!J96*'BANCO DE DADOS'!$E$8)-'BANCO DE DADOS'!$F$8),0))))</f>
        <v/>
      </c>
      <c r="K97" s="1" t="n"/>
      <c r="L97" s="285" t="n"/>
      <c r="M97" s="285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idden="1" ht="15.75" customHeight="1" s="673">
      <c r="A98" s="284" t="n"/>
      <c r="B98" s="299" t="n"/>
      <c r="C98" s="299" t="n"/>
      <c r="D98" s="299" t="n"/>
      <c r="E98" s="299" t="n"/>
      <c r="F98" s="299" t="n"/>
      <c r="G98" s="299" t="n"/>
      <c r="H98" s="703">
        <f>IF(J92&gt;J93,"APURAÇÃO POR BASE RESULTADO PRESUMIDO", "APURAÇÃO POR BASE RESULTADO")</f>
        <v/>
      </c>
      <c r="I98" s="678" t="n"/>
      <c r="J98" s="676" t="n"/>
      <c r="K98" s="1" t="n"/>
      <c r="L98" s="285" t="n"/>
      <c r="M98" s="285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idden="1" ht="15.75" customHeight="1" s="673">
      <c r="A99" s="284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285" t="n"/>
      <c r="M99" s="285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idden="1" ht="15.75" customHeight="1" s="673">
      <c r="A100" s="284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285" t="n"/>
      <c r="M100" s="285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idden="1" ht="15.75" customHeight="1" s="673">
      <c r="A101" s="284" t="n">
        <v>10</v>
      </c>
      <c r="B101" s="304" t="n"/>
      <c r="C101" s="201" t="inlineStr">
        <is>
          <t>APURAÇÃO</t>
        </is>
      </c>
      <c r="D101" s="676" t="n"/>
      <c r="E101" s="201" t="inlineStr">
        <is>
          <t>PARTICULAR</t>
        </is>
      </c>
      <c r="F101" s="201" t="inlineStr">
        <is>
          <t>TOTAL</t>
        </is>
      </c>
      <c r="G101" s="299" t="n"/>
      <c r="H101" s="699">
        <f>IF(F105=J101,"Base de Cálculo p/ Arbitramento", "Base de Cálculo p/ Resultado")</f>
        <v/>
      </c>
      <c r="I101" s="676" t="n"/>
      <c r="J101" s="306">
        <f>IF(AND(F104+E106&gt;F105,F105&gt;0),F105,F104+E106)</f>
        <v/>
      </c>
      <c r="K101" s="1" t="n"/>
      <c r="L101" s="307" t="inlineStr">
        <is>
          <t>COMPLETA</t>
        </is>
      </c>
      <c r="M101" s="307" t="inlineStr">
        <is>
          <t>SIMPLIFICADA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idden="1" ht="15.75" customHeight="1" s="673">
      <c r="A102" s="284" t="n"/>
      <c r="B102" s="289" t="inlineStr">
        <is>
          <t>RECEITAS</t>
        </is>
      </c>
      <c r="C102" s="308" t="n"/>
      <c r="D102" s="309">
        <f>($I$13*$C$75)</f>
        <v/>
      </c>
      <c r="E102" s="309">
        <f>#REF!</f>
        <v/>
      </c>
      <c r="F102" s="310">
        <f>D102+E102</f>
        <v/>
      </c>
      <c r="G102" s="299" t="n"/>
      <c r="H102" s="699" t="inlineStr">
        <is>
          <t>Base de Cálculo Simplificado</t>
        </is>
      </c>
      <c r="I102" s="676" t="n"/>
      <c r="J102" s="306">
        <f>IF(AND(F104&gt;F105,F105&gt;0),F105,F104)</f>
        <v/>
      </c>
      <c r="K102" s="1" t="n"/>
      <c r="L102" s="311">
        <f>J104</f>
        <v/>
      </c>
      <c r="M102" s="311">
        <f>IF(M103*0.2&lt;'BANCO DE DADOS'!$F$13,M103*0.2,'BANCO DE DADOS'!$F$13)</f>
        <v/>
      </c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idden="1" ht="15.75" customHeight="1" s="673">
      <c r="A103" s="284" t="n"/>
      <c r="B103" s="292" t="inlineStr">
        <is>
          <t>DESPESAS</t>
        </is>
      </c>
      <c r="C103" s="312" t="n"/>
      <c r="D103" s="313">
        <f>($I$14*$C$76)</f>
        <v/>
      </c>
      <c r="E103" s="313">
        <f>#REF!</f>
        <v/>
      </c>
      <c r="F103" s="314">
        <f>D103+E103</f>
        <v/>
      </c>
      <c r="G103" s="299" t="n"/>
      <c r="H103" s="699" t="inlineStr">
        <is>
          <t>Dedução Simplificada</t>
        </is>
      </c>
      <c r="I103" s="676" t="n"/>
      <c r="J103" s="306">
        <f>IF(J102&gt;'BANCO DE DADOS'!D13,'BANCO DE DADOS'!F13,IF('RESULTADO DETALHADO'!J102&lt;0,0,'RESULTADO DETALHADO'!J102*'BANCO DE DADOS'!E13))</f>
        <v/>
      </c>
      <c r="K103" s="1" t="n"/>
      <c r="L103" s="311">
        <f>IF(AND(F104+E106&gt;F105,F105&gt;0),F105,F104+E106)</f>
        <v/>
      </c>
      <c r="M103" s="311">
        <f>IF(AND(F104&gt;F105,F105&gt;0),F105,F104)</f>
        <v/>
      </c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idden="1" ht="15.75" customHeight="1" s="673">
      <c r="A104" s="284" t="n"/>
      <c r="B104" s="696" t="inlineStr">
        <is>
          <t>RESULTADO</t>
        </is>
      </c>
      <c r="C104" s="676" t="n"/>
      <c r="D104" s="315">
        <f>D102-D103</f>
        <v/>
      </c>
      <c r="E104" s="315">
        <f>E102-E103</f>
        <v/>
      </c>
      <c r="F104" s="316">
        <f>F102-F103</f>
        <v/>
      </c>
      <c r="G104" s="299" t="n"/>
      <c r="H104" s="699" t="inlineStr">
        <is>
          <t>Dedução Completa</t>
        </is>
      </c>
      <c r="I104" s="676" t="n"/>
      <c r="J104" s="306" t="n">
        <v>0</v>
      </c>
      <c r="K104" s="1" t="n"/>
      <c r="L104" s="311">
        <f>L103-L102</f>
        <v/>
      </c>
      <c r="M104" s="311">
        <f>M103-M102</f>
        <v/>
      </c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idden="1" ht="15.75" customHeight="1" s="673">
      <c r="A105" s="284" t="n"/>
      <c r="B105" s="700">
        <f>IF(F105&gt;0,"ARBITRAMENTO",0)</f>
        <v/>
      </c>
      <c r="C105" s="676" t="n"/>
      <c r="D105" s="318" t="n"/>
      <c r="E105" s="318" t="n"/>
      <c r="F105" s="319">
        <f>IF(F102*0.2&gt;F104,0,F102*0.2)</f>
        <v/>
      </c>
      <c r="G105" s="299" t="n"/>
      <c r="H105" s="699" t="inlineStr">
        <is>
          <t>Base Tributável p/ Cálculo I.R.</t>
        </is>
      </c>
      <c r="I105" s="676" t="n"/>
      <c r="J105" s="306">
        <f>IF(J101-J104&lt;J101-J103,J101-J104,J101-J103)</f>
        <v/>
      </c>
      <c r="K105" s="1" t="n"/>
      <c r="L105" s="320">
        <f>IF(L104&gt;'BANCO DE DADOS'!$D$9,((L104*'BANCO DE DADOS'!$E$10)-'BANCO DE DADOS'!$F$10),IF(L104&gt;'BANCO DE DADOS'!$D$8,((L104*'BANCO DE DADOS'!$E$9)-'BANCO DE DADOS'!$F$9),IF(L104&gt;'BANCO DE DADOS'!$D$7,((L104*'BANCO DE DADOS'!$E$8)-'BANCO DE DADOS'!$F$8),IF(L104&gt;'BANCO DE DADOS'!$D$6,((L104*'BANCO DE DADOS'!$E$7)-'BANCO DE DADOS'!$F$7),0))))</f>
        <v/>
      </c>
      <c r="M105" s="320">
        <f>IF(M104&gt;'BANCO DE DADOS'!$D$9,((M104*'BANCO DE DADOS'!$E$10)-'BANCO DE DADOS'!$F$10),IF(M104&gt;'BANCO DE DADOS'!$D$8,((M104*'BANCO DE DADOS'!$E$9)-'BANCO DE DADOS'!$F$9),IF(M104&gt;'BANCO DE DADOS'!$D$7,((M104*'BANCO DE DADOS'!$E$8)-'BANCO DE DADOS'!$F$8),IF(M104&gt;'BANCO DE DADOS'!$D$6,((M104*'BANCO DE DADOS'!$E$7)-'BANCO DE DADOS'!$F$7),0))))</f>
        <v/>
      </c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idden="1" ht="15.75" customHeight="1" s="673">
      <c r="A106" s="284" t="n"/>
      <c r="B106" s="701" t="inlineStr">
        <is>
          <t>PREJUÍZO ACUMULADO</t>
        </is>
      </c>
      <c r="C106" s="676" t="n"/>
      <c r="D106" s="322" t="n"/>
      <c r="E106" s="323" t="n"/>
      <c r="F106" s="324" t="n"/>
      <c r="G106" s="299" t="n"/>
      <c r="H106" s="702">
        <f>IF(J106&gt;0,"Imposto Apurado","Não Houve Imposto")</f>
        <v/>
      </c>
      <c r="I106" s="676" t="n"/>
      <c r="J106" s="306">
        <f>IF(J105&gt;'BANCO DE DADOS'!$D$10,(('RESULTADO DETALHADO'!J105*'BANCO DE DADOS'!$E$11)-'BANCO DE DADOS'!$F$11),IF(J105&gt;'BANCO DE DADOS'!$D$9,(('RESULTADO DETALHADO'!J105*'BANCO DE DADOS'!$E$10)-'BANCO DE DADOS'!$F$10),IF(J105&gt;'BANCO DE DADOS'!$D$8,(('RESULTADO DETALHADO'!J105*'BANCO DE DADOS'!$E$9)-'BANCO DE DADOS'!$F$9),IF(J105&gt;'BANCO DE DADOS'!$D$7,(('RESULTADO DETALHADO'!J105*'BANCO DE DADOS'!$E$8)-'BANCO DE DADOS'!$F$8),0))))</f>
        <v/>
      </c>
      <c r="K106" s="1" t="n"/>
      <c r="L106" s="285" t="n"/>
      <c r="M106" s="285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idden="1" ht="15.75" customHeight="1" s="673">
      <c r="A107" s="284" t="n"/>
      <c r="B107" s="299" t="n"/>
      <c r="C107" s="299" t="n"/>
      <c r="D107" s="299" t="n"/>
      <c r="E107" s="299" t="n"/>
      <c r="F107" s="299" t="n"/>
      <c r="G107" s="299" t="n"/>
      <c r="H107" s="703">
        <f>IF(J101&gt;J102,"APURAÇÃO POR BASE RESULTADO PRESUMIDO", "APURAÇÃO POR BASE RESULTADO")</f>
        <v/>
      </c>
      <c r="I107" s="678" t="n"/>
      <c r="J107" s="676" t="n"/>
      <c r="K107" s="1" t="n"/>
      <c r="L107" s="285" t="n"/>
      <c r="M107" s="285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idden="1" ht="15.75" customHeight="1" s="673">
      <c r="A108" s="284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285" t="n"/>
      <c r="M108" s="285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673">
      <c r="A109" s="284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285" t="n"/>
      <c r="M109" s="285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673">
      <c r="A110" s="284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285" t="n"/>
      <c r="M110" s="285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673">
      <c r="A111" s="284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285" t="n"/>
      <c r="M111" s="285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673">
      <c r="A112" s="284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285" t="n"/>
      <c r="M112" s="285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673">
      <c r="A113" s="284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285" t="n"/>
      <c r="M113" s="285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673">
      <c r="A114" s="284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285" t="n"/>
      <c r="M114" s="285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673">
      <c r="A115" s="284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285" t="n"/>
      <c r="M115" s="285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673">
      <c r="A116" s="284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285" t="n"/>
      <c r="M116" s="285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673">
      <c r="A117" s="284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285" t="n"/>
      <c r="M117" s="285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673">
      <c r="A118" s="284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285" t="n"/>
      <c r="M118" s="285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673">
      <c r="A119" s="284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285" t="n"/>
      <c r="M119" s="285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673">
      <c r="A120" s="284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285" t="n"/>
      <c r="M120" s="285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673">
      <c r="A121" s="284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285" t="n"/>
      <c r="M121" s="285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673">
      <c r="A122" s="284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285" t="n"/>
      <c r="M122" s="285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673">
      <c r="A123" s="284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285" t="n"/>
      <c r="M123" s="285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673">
      <c r="A124" s="284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285" t="n"/>
      <c r="M124" s="285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673">
      <c r="A125" s="284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285" t="n"/>
      <c r="M125" s="285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673">
      <c r="A126" s="284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285" t="n"/>
      <c r="M126" s="285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673">
      <c r="A127" s="284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285" t="n"/>
      <c r="M127" s="285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673">
      <c r="A128" s="284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285" t="n"/>
      <c r="M128" s="285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673">
      <c r="A129" s="284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285" t="n"/>
      <c r="M129" s="285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673">
      <c r="A130" s="284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285" t="n"/>
      <c r="M130" s="285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673">
      <c r="A131" s="284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285" t="n"/>
      <c r="M131" s="285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673">
      <c r="A132" s="284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285" t="n"/>
      <c r="M132" s="285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673">
      <c r="A133" s="284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285" t="n"/>
      <c r="M133" s="285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673">
      <c r="A134" s="284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285" t="n"/>
      <c r="M134" s="285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673">
      <c r="A135" s="284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285" t="n"/>
      <c r="M135" s="285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673">
      <c r="A136" s="284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285" t="n"/>
      <c r="M136" s="285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673">
      <c r="A137" s="284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285" t="n"/>
      <c r="M137" s="285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673">
      <c r="A138" s="284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285" t="n"/>
      <c r="M138" s="285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673">
      <c r="A139" s="284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285" t="n"/>
      <c r="M139" s="285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673">
      <c r="A140" s="284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285" t="n"/>
      <c r="M140" s="285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673">
      <c r="A141" s="284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285" t="n"/>
      <c r="M141" s="285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673">
      <c r="A142" s="284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285" t="n"/>
      <c r="M142" s="285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673">
      <c r="A143" s="284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285" t="n"/>
      <c r="M143" s="285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673">
      <c r="A144" s="284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285" t="n"/>
      <c r="M144" s="285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673">
      <c r="A145" s="284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285" t="n"/>
      <c r="M145" s="285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673">
      <c r="A146" s="284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285" t="n"/>
      <c r="M146" s="285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673">
      <c r="A147" s="284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285" t="n"/>
      <c r="M147" s="285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673">
      <c r="A148" s="284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285" t="n"/>
      <c r="M148" s="285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673">
      <c r="A149" s="284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285" t="n"/>
      <c r="M149" s="285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673">
      <c r="A150" s="284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285" t="n"/>
      <c r="M150" s="285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673">
      <c r="A151" s="284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285" t="n"/>
      <c r="M151" s="285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673">
      <c r="A152" s="284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285" t="n"/>
      <c r="M152" s="285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673">
      <c r="A153" s="284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285" t="n"/>
      <c r="M153" s="285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673">
      <c r="A154" s="284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285" t="n"/>
      <c r="M154" s="285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673">
      <c r="A155" s="284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285" t="n"/>
      <c r="M155" s="285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673">
      <c r="A156" s="284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285" t="n"/>
      <c r="M156" s="285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673">
      <c r="A157" s="284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285" t="n"/>
      <c r="M157" s="285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673">
      <c r="A158" s="284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285" t="n"/>
      <c r="M158" s="285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673">
      <c r="A159" s="284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285" t="n"/>
      <c r="M159" s="285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673">
      <c r="A160" s="284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285" t="n"/>
      <c r="M160" s="285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673">
      <c r="A161" s="284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285" t="n"/>
      <c r="M161" s="285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673">
      <c r="A162" s="284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285" t="n"/>
      <c r="M162" s="285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673">
      <c r="A163" s="284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285" t="n"/>
      <c r="M163" s="285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673">
      <c r="A164" s="284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285" t="n"/>
      <c r="M164" s="285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673">
      <c r="A165" s="284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285" t="n"/>
      <c r="M165" s="285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673">
      <c r="A166" s="284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285" t="n"/>
      <c r="M166" s="285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673">
      <c r="A167" s="284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285" t="n"/>
      <c r="M167" s="285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673">
      <c r="A168" s="284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285" t="n"/>
      <c r="M168" s="285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673">
      <c r="A169" s="284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285" t="n"/>
      <c r="M169" s="285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673">
      <c r="A170" s="284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285" t="n"/>
      <c r="M170" s="285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673">
      <c r="A171" s="284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285" t="n"/>
      <c r="M171" s="285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673">
      <c r="A172" s="284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285" t="n"/>
      <c r="M172" s="285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673">
      <c r="A173" s="284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285" t="n"/>
      <c r="M173" s="285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673">
      <c r="A174" s="284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285" t="n"/>
      <c r="M174" s="285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673">
      <c r="A175" s="284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285" t="n"/>
      <c r="M175" s="285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673">
      <c r="A176" s="284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285" t="n"/>
      <c r="M176" s="285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673">
      <c r="A177" s="284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285" t="n"/>
      <c r="M177" s="285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673">
      <c r="A178" s="284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285" t="n"/>
      <c r="M178" s="285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673">
      <c r="A179" s="284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285" t="n"/>
      <c r="M179" s="285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673">
      <c r="A180" s="284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285" t="n"/>
      <c r="M180" s="285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673">
      <c r="A181" s="284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285" t="n"/>
      <c r="M181" s="285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673">
      <c r="A182" s="284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285" t="n"/>
      <c r="M182" s="285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673">
      <c r="A183" s="284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285" t="n"/>
      <c r="M183" s="285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673">
      <c r="A184" s="284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285" t="n"/>
      <c r="M184" s="285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673">
      <c r="A185" s="284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285" t="n"/>
      <c r="M185" s="285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673">
      <c r="A186" s="284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285" t="n"/>
      <c r="M186" s="285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673">
      <c r="A187" s="284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285" t="n"/>
      <c r="M187" s="285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673">
      <c r="A188" s="284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285" t="n"/>
      <c r="M188" s="285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673">
      <c r="A189" s="284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285" t="n"/>
      <c r="M189" s="285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673">
      <c r="A190" s="284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285" t="n"/>
      <c r="M190" s="285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673">
      <c r="A191" s="284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285" t="n"/>
      <c r="M191" s="285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673">
      <c r="A192" s="284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285" t="n"/>
      <c r="M192" s="285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673">
      <c r="A193" s="284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285" t="n"/>
      <c r="M193" s="285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673">
      <c r="A194" s="284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285" t="n"/>
      <c r="M194" s="285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673">
      <c r="A195" s="284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285" t="n"/>
      <c r="M195" s="285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673">
      <c r="A196" s="284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285" t="n"/>
      <c r="M196" s="285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673">
      <c r="A197" s="284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285" t="n"/>
      <c r="M197" s="285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673">
      <c r="A198" s="284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285" t="n"/>
      <c r="M198" s="285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673">
      <c r="A199" s="284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285" t="n"/>
      <c r="M199" s="285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673">
      <c r="A200" s="284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285" t="n"/>
      <c r="M200" s="285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673">
      <c r="A201" s="284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285" t="n"/>
      <c r="M201" s="285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673">
      <c r="A202" s="284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285" t="n"/>
      <c r="M202" s="285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673">
      <c r="A203" s="284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285" t="n"/>
      <c r="M203" s="285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673">
      <c r="A204" s="284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285" t="n"/>
      <c r="M204" s="285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673">
      <c r="A205" s="284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285" t="n"/>
      <c r="M205" s="285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673">
      <c r="A206" s="284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285" t="n"/>
      <c r="M206" s="285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673">
      <c r="A207" s="284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285" t="n"/>
      <c r="M207" s="285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673">
      <c r="A208" s="284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285" t="n"/>
      <c r="M208" s="285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673">
      <c r="A209" s="284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285" t="n"/>
      <c r="M209" s="285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673">
      <c r="A210" s="284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285" t="n"/>
      <c r="M210" s="285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673">
      <c r="A211" s="284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285" t="n"/>
      <c r="M211" s="285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673">
      <c r="A212" s="284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285" t="n"/>
      <c r="M212" s="285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673">
      <c r="A213" s="284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285" t="n"/>
      <c r="M213" s="285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673">
      <c r="A214" s="284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285" t="n"/>
      <c r="M214" s="285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673">
      <c r="A215" s="284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285" t="n"/>
      <c r="M215" s="285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673">
      <c r="A216" s="284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285" t="n"/>
      <c r="M216" s="285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673">
      <c r="A217" s="284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285" t="n"/>
      <c r="M217" s="285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673">
      <c r="A218" s="284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285" t="n"/>
      <c r="M218" s="285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673">
      <c r="A219" s="284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285" t="n"/>
      <c r="M219" s="285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673">
      <c r="A220" s="284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285" t="n"/>
      <c r="M220" s="285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673">
      <c r="A221" s="284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285" t="n"/>
      <c r="M221" s="285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673">
      <c r="A222" s="284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285" t="n"/>
      <c r="M222" s="285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673">
      <c r="A223" s="284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285" t="n"/>
      <c r="M223" s="285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673">
      <c r="A224" s="284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285" t="n"/>
      <c r="M224" s="285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673">
      <c r="A225" s="284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285" t="n"/>
      <c r="M225" s="285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673">
      <c r="A226" s="284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285" t="n"/>
      <c r="M226" s="285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673">
      <c r="A227" s="284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285" t="n"/>
      <c r="M227" s="285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673">
      <c r="A228" s="284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285" t="n"/>
      <c r="M228" s="285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673">
      <c r="A229" s="284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285" t="n"/>
      <c r="M229" s="285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673">
      <c r="A230" s="284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285" t="n"/>
      <c r="M230" s="285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673">
      <c r="A231" s="284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285" t="n"/>
      <c r="M231" s="285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673">
      <c r="A232" s="284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285" t="n"/>
      <c r="M232" s="285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673">
      <c r="A233" s="284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285" t="n"/>
      <c r="M233" s="285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673">
      <c r="A234" s="284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285" t="n"/>
      <c r="M234" s="285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673">
      <c r="A235" s="284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285" t="n"/>
      <c r="M235" s="285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673">
      <c r="A236" s="284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285" t="n"/>
      <c r="M236" s="285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673">
      <c r="A237" s="284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285" t="n"/>
      <c r="M237" s="285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673">
      <c r="A238" s="284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285" t="n"/>
      <c r="M238" s="285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673">
      <c r="A239" s="284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285" t="n"/>
      <c r="M239" s="285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673">
      <c r="A240" s="284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285" t="n"/>
      <c r="M240" s="285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673">
      <c r="A241" s="284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285" t="n"/>
      <c r="M241" s="285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673">
      <c r="A242" s="284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285" t="n"/>
      <c r="M242" s="285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673">
      <c r="A243" s="284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285" t="n"/>
      <c r="M243" s="285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673">
      <c r="A244" s="284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285" t="n"/>
      <c r="M244" s="285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673">
      <c r="A245" s="284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285" t="n"/>
      <c r="M245" s="285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673">
      <c r="A246" s="284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285" t="n"/>
      <c r="M246" s="285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673">
      <c r="A247" s="284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285" t="n"/>
      <c r="M247" s="285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673">
      <c r="A248" s="284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285" t="n"/>
      <c r="M248" s="285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673">
      <c r="A249" s="284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285" t="n"/>
      <c r="M249" s="285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673">
      <c r="A250" s="284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285" t="n"/>
      <c r="M250" s="285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673">
      <c r="A251" s="284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285" t="n"/>
      <c r="M251" s="285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673">
      <c r="A252" s="284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285" t="n"/>
      <c r="M252" s="285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673">
      <c r="A253" s="284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285" t="n"/>
      <c r="M253" s="285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673">
      <c r="A254" s="284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285" t="n"/>
      <c r="M254" s="285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673">
      <c r="A255" s="284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285" t="n"/>
      <c r="M255" s="285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673">
      <c r="A256" s="284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285" t="n"/>
      <c r="M256" s="285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673">
      <c r="A257" s="284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285" t="n"/>
      <c r="M257" s="285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673">
      <c r="A258" s="284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285" t="n"/>
      <c r="M258" s="285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673">
      <c r="A259" s="284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285" t="n"/>
      <c r="M259" s="285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673">
      <c r="A260" s="284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285" t="n"/>
      <c r="M260" s="285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673">
      <c r="A261" s="284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285" t="n"/>
      <c r="M261" s="285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673">
      <c r="A262" s="284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285" t="n"/>
      <c r="M262" s="285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673">
      <c r="A263" s="284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285" t="n"/>
      <c r="M263" s="285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673">
      <c r="A264" s="284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285" t="n"/>
      <c r="M264" s="285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673">
      <c r="A265" s="284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285" t="n"/>
      <c r="M265" s="285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673">
      <c r="A266" s="284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285" t="n"/>
      <c r="M266" s="285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673">
      <c r="A267" s="284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285" t="n"/>
      <c r="M267" s="285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673">
      <c r="A268" s="284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285" t="n"/>
      <c r="M268" s="285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673">
      <c r="A269" s="284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285" t="n"/>
      <c r="M269" s="285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673">
      <c r="A270" s="284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285" t="n"/>
      <c r="M270" s="285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673">
      <c r="A271" s="284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285" t="n"/>
      <c r="M271" s="285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673">
      <c r="A272" s="284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285" t="n"/>
      <c r="M272" s="285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673">
      <c r="A273" s="284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285" t="n"/>
      <c r="M273" s="285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673">
      <c r="A274" s="284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285" t="n"/>
      <c r="M274" s="285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673">
      <c r="A275" s="284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285" t="n"/>
      <c r="M275" s="285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673">
      <c r="A276" s="284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285" t="n"/>
      <c r="M276" s="285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673">
      <c r="A277" s="284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285" t="n"/>
      <c r="M277" s="285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673">
      <c r="A278" s="284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285" t="n"/>
      <c r="M278" s="285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673">
      <c r="A279" s="284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285" t="n"/>
      <c r="M279" s="285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673">
      <c r="A280" s="284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285" t="n"/>
      <c r="M280" s="285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673">
      <c r="A281" s="284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285" t="n"/>
      <c r="M281" s="285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673">
      <c r="A282" s="284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285" t="n"/>
      <c r="M282" s="285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673">
      <c r="A283" s="284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285" t="n"/>
      <c r="M283" s="285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673">
      <c r="A284" s="284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285" t="n"/>
      <c r="M284" s="285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673">
      <c r="A285" s="284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285" t="n"/>
      <c r="M285" s="285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673">
      <c r="A286" s="284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285" t="n"/>
      <c r="M286" s="285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673">
      <c r="A287" s="284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285" t="n"/>
      <c r="M287" s="285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673">
      <c r="A288" s="284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285" t="n"/>
      <c r="M288" s="285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673">
      <c r="A289" s="284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285" t="n"/>
      <c r="M289" s="285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673">
      <c r="A290" s="284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285" t="n"/>
      <c r="M290" s="285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673">
      <c r="A291" s="284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285" t="n"/>
      <c r="M291" s="285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673">
      <c r="A292" s="284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285" t="n"/>
      <c r="M292" s="285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673">
      <c r="A293" s="284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285" t="n"/>
      <c r="M293" s="285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673">
      <c r="A294" s="284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285" t="n"/>
      <c r="M294" s="285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673">
      <c r="A295" s="284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285" t="n"/>
      <c r="M295" s="285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673">
      <c r="A296" s="284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285" t="n"/>
      <c r="M296" s="285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673">
      <c r="A297" s="284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285" t="n"/>
      <c r="M297" s="285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673">
      <c r="A298" s="284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285" t="n"/>
      <c r="M298" s="285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673">
      <c r="A299" s="284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285" t="n"/>
      <c r="M299" s="285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673">
      <c r="A300" s="284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285" t="n"/>
      <c r="M300" s="285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673">
      <c r="A301" s="284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285" t="n"/>
      <c r="M301" s="285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673">
      <c r="A302" s="284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285" t="n"/>
      <c r="M302" s="285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673">
      <c r="A303" s="284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285" t="n"/>
      <c r="M303" s="285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673">
      <c r="A304" s="284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285" t="n"/>
      <c r="M304" s="285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673">
      <c r="A305" s="284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285" t="n"/>
      <c r="M305" s="285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673">
      <c r="A306" s="284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285" t="n"/>
      <c r="M306" s="285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673">
      <c r="A307" s="284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285" t="n"/>
      <c r="M307" s="285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mergeCells count="126">
    <mergeCell ref="B12:C12"/>
    <mergeCell ref="B77:C77"/>
    <mergeCell ref="H39:I39"/>
    <mergeCell ref="B86:C86"/>
    <mergeCell ref="D13:E13"/>
    <mergeCell ref="B61:C61"/>
    <mergeCell ref="H94:I94"/>
    <mergeCell ref="C56:D56"/>
    <mergeCell ref="H52:I52"/>
    <mergeCell ref="H79:I79"/>
    <mergeCell ref="B69:C69"/>
    <mergeCell ref="B78:C78"/>
    <mergeCell ref="F14:H14"/>
    <mergeCell ref="H65:I65"/>
    <mergeCell ref="H96:I96"/>
    <mergeCell ref="H105:I105"/>
    <mergeCell ref="B24:C24"/>
    <mergeCell ref="H87:I87"/>
    <mergeCell ref="B33:C33"/>
    <mergeCell ref="B104:C104"/>
    <mergeCell ref="H44:J44"/>
    <mergeCell ref="B51:C51"/>
    <mergeCell ref="H23:I23"/>
    <mergeCell ref="B32:C32"/>
    <mergeCell ref="F12:H12"/>
    <mergeCell ref="I13:J13"/>
    <mergeCell ref="B41:C41"/>
    <mergeCell ref="B106:C106"/>
    <mergeCell ref="C83:D83"/>
    <mergeCell ref="B16:C16"/>
    <mergeCell ref="C92:D92"/>
    <mergeCell ref="B25:C25"/>
    <mergeCell ref="I15:J15"/>
    <mergeCell ref="H41:I41"/>
    <mergeCell ref="H93:I93"/>
    <mergeCell ref="H50:I50"/>
    <mergeCell ref="H102:I102"/>
    <mergeCell ref="H74:I74"/>
    <mergeCell ref="H56:I56"/>
    <mergeCell ref="H68:I68"/>
    <mergeCell ref="H34:I34"/>
    <mergeCell ref="H25:I25"/>
    <mergeCell ref="H83:I83"/>
    <mergeCell ref="C47:D47"/>
    <mergeCell ref="H49:I49"/>
    <mergeCell ref="H85:I85"/>
    <mergeCell ref="B17:F17"/>
    <mergeCell ref="H69:I69"/>
    <mergeCell ref="H75:I75"/>
    <mergeCell ref="H35:J35"/>
    <mergeCell ref="B15:C15"/>
    <mergeCell ref="H95:I95"/>
    <mergeCell ref="H48:I48"/>
    <mergeCell ref="D15:E15"/>
    <mergeCell ref="H104:I104"/>
    <mergeCell ref="B95:C95"/>
    <mergeCell ref="B79:C79"/>
    <mergeCell ref="H97:I97"/>
    <mergeCell ref="F15:H15"/>
    <mergeCell ref="H106:I106"/>
    <mergeCell ref="B97:C97"/>
    <mergeCell ref="H89:J89"/>
    <mergeCell ref="H38:I38"/>
    <mergeCell ref="H98:J98"/>
    <mergeCell ref="H43:I43"/>
    <mergeCell ref="H31:I31"/>
    <mergeCell ref="B96:C96"/>
    <mergeCell ref="H58:I58"/>
    <mergeCell ref="H40:I40"/>
    <mergeCell ref="B105:C105"/>
    <mergeCell ref="B43:C43"/>
    <mergeCell ref="C20:D20"/>
    <mergeCell ref="B52:C52"/>
    <mergeCell ref="H21:I21"/>
    <mergeCell ref="C29:D29"/>
    <mergeCell ref="F13:H13"/>
    <mergeCell ref="C65:D65"/>
    <mergeCell ref="H60:I60"/>
    <mergeCell ref="B42:C42"/>
    <mergeCell ref="B60:C60"/>
    <mergeCell ref="B88:C88"/>
    <mergeCell ref="H71:J71"/>
    <mergeCell ref="H107:J107"/>
    <mergeCell ref="B34:C34"/>
    <mergeCell ref="H57:I57"/>
    <mergeCell ref="H84:I84"/>
    <mergeCell ref="H66:I66"/>
    <mergeCell ref="H22:I22"/>
    <mergeCell ref="H26:J26"/>
    <mergeCell ref="H53:J53"/>
    <mergeCell ref="D12:E12"/>
    <mergeCell ref="H77:I77"/>
    <mergeCell ref="C38:D38"/>
    <mergeCell ref="H86:I86"/>
    <mergeCell ref="H42:I42"/>
    <mergeCell ref="D14:E14"/>
    <mergeCell ref="H92:I92"/>
    <mergeCell ref="H30:I30"/>
    <mergeCell ref="C101:D101"/>
    <mergeCell ref="H67:I67"/>
    <mergeCell ref="H20:I20"/>
    <mergeCell ref="H103:I103"/>
    <mergeCell ref="B59:C59"/>
    <mergeCell ref="H29:I29"/>
    <mergeCell ref="H78:I78"/>
    <mergeCell ref="C74:D74"/>
    <mergeCell ref="B70:C70"/>
    <mergeCell ref="H59:I59"/>
    <mergeCell ref="H80:J80"/>
    <mergeCell ref="H51:I51"/>
    <mergeCell ref="B23:C23"/>
    <mergeCell ref="H61:I61"/>
    <mergeCell ref="H88:I88"/>
    <mergeCell ref="H70:I70"/>
    <mergeCell ref="B87:C87"/>
    <mergeCell ref="I12:J12"/>
    <mergeCell ref="H62:J62"/>
    <mergeCell ref="H32:I32"/>
    <mergeCell ref="I14:J14"/>
    <mergeCell ref="H47:I47"/>
    <mergeCell ref="B68:C68"/>
    <mergeCell ref="H101:I101"/>
    <mergeCell ref="H24:I24"/>
    <mergeCell ref="H76:I76"/>
    <mergeCell ref="H33:I33"/>
    <mergeCell ref="B50:C50"/>
  </mergeCells>
  <conditionalFormatting sqref="B24">
    <cfRule type="cellIs" priority="1" operator="equal" dxfId="4" stopIfTrue="1">
      <formula>"ARBITRAMENTO"</formula>
    </cfRule>
  </conditionalFormatting>
  <conditionalFormatting sqref="D24">
    <cfRule type="cellIs" priority="2" operator="equal" dxfId="5" stopIfTrue="1">
      <formula>0</formula>
    </cfRule>
  </conditionalFormatting>
  <conditionalFormatting sqref="E45">
    <cfRule type="cellIs" priority="3" operator="greaterThan" dxfId="6" stopIfTrue="1">
      <formula>0</formula>
    </cfRule>
  </conditionalFormatting>
  <conditionalFormatting sqref="J24">
    <cfRule type="cellIs" priority="4" operator="lessThan" dxfId="5" stopIfTrue="1">
      <formula>0</formula>
    </cfRule>
  </conditionalFormatting>
  <conditionalFormatting sqref="B33">
    <cfRule type="cellIs" priority="5" operator="equal" dxfId="4" stopIfTrue="1">
      <formula>"ARBITRAMENTO"</formula>
    </cfRule>
  </conditionalFormatting>
  <conditionalFormatting sqref="D33 F33">
    <cfRule type="cellIs" priority="6" operator="equal" dxfId="5" stopIfTrue="1">
      <formula>0</formula>
    </cfRule>
  </conditionalFormatting>
  <conditionalFormatting sqref="J33">
    <cfRule type="cellIs" priority="7" operator="lessThan" dxfId="5" stopIfTrue="1">
      <formula>0</formula>
    </cfRule>
  </conditionalFormatting>
  <conditionalFormatting sqref="B42">
    <cfRule type="cellIs" priority="8" operator="equal" dxfId="4" stopIfTrue="1">
      <formula>"ARBITRAMENTO"</formula>
    </cfRule>
  </conditionalFormatting>
  <conditionalFormatting sqref="D42 F42">
    <cfRule type="cellIs" priority="9" operator="equal" dxfId="5" stopIfTrue="1">
      <formula>0</formula>
    </cfRule>
  </conditionalFormatting>
  <conditionalFormatting sqref="J42">
    <cfRule type="cellIs" priority="10" operator="lessThan" dxfId="5" stopIfTrue="1">
      <formula>0</formula>
    </cfRule>
  </conditionalFormatting>
  <conditionalFormatting sqref="B51">
    <cfRule type="cellIs" priority="11" operator="equal" dxfId="4" stopIfTrue="1">
      <formula>"ARBITRAMENTO"</formula>
    </cfRule>
  </conditionalFormatting>
  <conditionalFormatting sqref="D51 F51">
    <cfRule type="cellIs" priority="12" operator="equal" dxfId="5" stopIfTrue="1">
      <formula>0</formula>
    </cfRule>
  </conditionalFormatting>
  <conditionalFormatting sqref="J51">
    <cfRule type="cellIs" priority="13" operator="lessThan" dxfId="5" stopIfTrue="1">
      <formula>0</formula>
    </cfRule>
  </conditionalFormatting>
  <conditionalFormatting sqref="B60">
    <cfRule type="cellIs" priority="14" operator="equal" dxfId="4" stopIfTrue="1">
      <formula>"ARBITRAMENTO"</formula>
    </cfRule>
  </conditionalFormatting>
  <conditionalFormatting sqref="D60 F60">
    <cfRule type="cellIs" priority="15" operator="equal" dxfId="5" stopIfTrue="1">
      <formula>0</formula>
    </cfRule>
  </conditionalFormatting>
  <conditionalFormatting sqref="J60">
    <cfRule type="cellIs" priority="16" operator="lessThan" dxfId="5" stopIfTrue="1">
      <formula>0</formula>
    </cfRule>
  </conditionalFormatting>
  <conditionalFormatting sqref="B69">
    <cfRule type="cellIs" priority="17" operator="equal" dxfId="4" stopIfTrue="1">
      <formula>"ARBITRAMENTO"</formula>
    </cfRule>
  </conditionalFormatting>
  <conditionalFormatting sqref="D69 F69">
    <cfRule type="cellIs" priority="18" operator="equal" dxfId="5" stopIfTrue="1">
      <formula>0</formula>
    </cfRule>
  </conditionalFormatting>
  <conditionalFormatting sqref="J69">
    <cfRule type="cellIs" priority="19" operator="lessThan" dxfId="5" stopIfTrue="1">
      <formula>0</formula>
    </cfRule>
  </conditionalFormatting>
  <conditionalFormatting sqref="B78">
    <cfRule type="cellIs" priority="20" operator="equal" dxfId="4" stopIfTrue="1">
      <formula>"ARBITRAMENTO"</formula>
    </cfRule>
  </conditionalFormatting>
  <conditionalFormatting sqref="D78 F78">
    <cfRule type="cellIs" priority="21" operator="equal" dxfId="5" stopIfTrue="1">
      <formula>0</formula>
    </cfRule>
  </conditionalFormatting>
  <conditionalFormatting sqref="J78">
    <cfRule type="cellIs" priority="22" operator="lessThan" dxfId="5" stopIfTrue="1">
      <formula>0</formula>
    </cfRule>
  </conditionalFormatting>
  <conditionalFormatting sqref="B87">
    <cfRule type="cellIs" priority="23" operator="equal" dxfId="4" stopIfTrue="1">
      <formula>"ARBITRAMENTO"</formula>
    </cfRule>
  </conditionalFormatting>
  <conditionalFormatting sqref="D87 F87">
    <cfRule type="cellIs" priority="24" operator="equal" dxfId="5" stopIfTrue="1">
      <formula>0</formula>
    </cfRule>
  </conditionalFormatting>
  <conditionalFormatting sqref="J87">
    <cfRule type="cellIs" priority="25" operator="lessThan" dxfId="5" stopIfTrue="1">
      <formula>0</formula>
    </cfRule>
  </conditionalFormatting>
  <conditionalFormatting sqref="B96">
    <cfRule type="cellIs" priority="26" operator="equal" dxfId="4" stopIfTrue="1">
      <formula>"ARBITRAMENTO"</formula>
    </cfRule>
  </conditionalFormatting>
  <conditionalFormatting sqref="D96 F96">
    <cfRule type="cellIs" priority="27" operator="equal" dxfId="5" stopIfTrue="1">
      <formula>0</formula>
    </cfRule>
  </conditionalFormatting>
  <conditionalFormatting sqref="J96">
    <cfRule type="cellIs" priority="28" operator="lessThan" dxfId="5" stopIfTrue="1">
      <formula>0</formula>
    </cfRule>
  </conditionalFormatting>
  <conditionalFormatting sqref="B105">
    <cfRule type="cellIs" priority="29" operator="equal" dxfId="4" stopIfTrue="1">
      <formula>"ARBITRAMENTO"</formula>
    </cfRule>
  </conditionalFormatting>
  <conditionalFormatting sqref="D105 F105">
    <cfRule type="cellIs" priority="30" operator="equal" dxfId="5" stopIfTrue="1">
      <formula>0</formula>
    </cfRule>
  </conditionalFormatting>
  <conditionalFormatting sqref="J105">
    <cfRule type="cellIs" priority="31" operator="lessThan" dxfId="5" stopIfTrue="1">
      <formula>0</formula>
    </cfRule>
  </conditionalFormatting>
  <conditionalFormatting sqref="F24">
    <cfRule type="cellIs" priority="32" operator="equal" dxfId="5" stopIfTrue="1">
      <formula>0</formula>
    </cfRule>
  </conditionalFormatting>
  <dataValidations count="1">
    <dataValidation sqref="E44:E45 E61 E70 E79 E88 E97 E106" showDropDown="0" showInputMessage="1" showErrorMessage="0" allowBlank="1" prompt="ATENÇÃO - NÃO USAR VALORES POSITIVOS" type="decimal" operator="lessThanOrEqual">
      <formula1>-11669.72</formula1>
    </dataValidation>
  </dataValidations>
  <printOptions horizontalCentered="1"/>
  <pageMargins left="0" right="0" top="1.181102362204725" bottom="0.5905511811023623" header="0" footer="0"/>
  <pageSetup orientation="portrait" paperSize="9"/>
  <headerFooter>
    <oddHeader>&amp;R </oddHeader>
    <oddFooter>&amp;Cwww.safrasecifras.com.br  (53) 3227-1010&amp;R&amp;D &amp;T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.63" customWidth="1" style="673" min="1" max="1"/>
    <col width="37.75" customWidth="1" style="673" min="2" max="2"/>
    <col width="37" customWidth="1" style="673" min="3" max="3"/>
    <col width="30" customWidth="1" style="673" min="4" max="4"/>
    <col width="28.25" customWidth="1" style="673" min="5" max="5"/>
    <col width="21.25" customWidth="1" style="673" min="6" max="6"/>
    <col width="16.75" customWidth="1" style="673" min="7" max="7"/>
    <col width="5.63" customWidth="1" style="673" min="8" max="8"/>
    <col width="6.63" customWidth="1" style="673" min="9" max="9"/>
    <col width="8.880000000000001" customWidth="1" style="673" min="10" max="18"/>
    <col width="8.630000000000001" customWidth="1" style="673" min="19" max="26"/>
  </cols>
  <sheetData>
    <row r="1" hidden="1" s="673">
      <c r="A1" s="52" t="n"/>
      <c r="B1" s="52" t="n"/>
      <c r="C1" s="52" t="n"/>
      <c r="D1" s="52" t="n"/>
      <c r="E1" s="52" t="n"/>
      <c r="F1" s="52" t="n"/>
      <c r="G1" s="52" t="n"/>
      <c r="H1" s="131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131" t="n"/>
      <c r="T1" s="131" t="n"/>
      <c r="U1" s="131" t="n"/>
      <c r="V1" s="131" t="n"/>
      <c r="W1" s="131" t="n"/>
      <c r="X1" s="131" t="n"/>
      <c r="Y1" s="131" t="n"/>
      <c r="Z1" s="131" t="n"/>
    </row>
    <row r="2" hidden="1" s="673">
      <c r="A2" s="52" t="n"/>
      <c r="B2" s="52" t="n"/>
      <c r="C2" s="52" t="n"/>
      <c r="D2" s="52" t="n"/>
      <c r="E2" s="52" t="n"/>
      <c r="F2" s="52" t="n"/>
      <c r="G2" s="52" t="n"/>
      <c r="H2" s="131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131" t="n"/>
      <c r="T2" s="131" t="n"/>
      <c r="U2" s="131" t="n"/>
      <c r="V2" s="131" t="n"/>
      <c r="W2" s="131" t="n"/>
      <c r="X2" s="131" t="n"/>
      <c r="Y2" s="131" t="n"/>
      <c r="Z2" s="131" t="n"/>
    </row>
    <row r="3">
      <c r="A3" s="52" t="n"/>
      <c r="B3" s="131" t="n"/>
      <c r="C3" s="131" t="n"/>
      <c r="D3" s="131" t="n"/>
      <c r="E3" s="131" t="n"/>
      <c r="F3" s="131" t="n"/>
      <c r="G3" s="131" t="n"/>
      <c r="H3" s="131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131" t="n"/>
      <c r="T3" s="131" t="n"/>
      <c r="U3" s="131" t="n"/>
      <c r="V3" s="131" t="n"/>
      <c r="W3" s="131" t="n"/>
      <c r="X3" s="131" t="n"/>
      <c r="Y3" s="131" t="n"/>
      <c r="Z3" s="131" t="n"/>
    </row>
    <row r="4">
      <c r="A4" s="52" t="n"/>
      <c r="B4" s="73" t="inlineStr">
        <is>
          <t>CALCIR - PESSOA JURÍDICA</t>
        </is>
      </c>
      <c r="C4" s="73" t="n"/>
      <c r="D4" s="74" t="n"/>
      <c r="E4" s="74" t="n"/>
      <c r="F4" s="74" t="n"/>
      <c r="G4" s="73">
        <f>RECEITAS!I12</f>
        <v/>
      </c>
      <c r="H4" s="151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69" t="n"/>
      <c r="T4" s="69" t="n"/>
      <c r="U4" s="69" t="n"/>
      <c r="V4" s="69" t="n"/>
      <c r="W4" s="69" t="n"/>
      <c r="X4" s="69" t="n"/>
      <c r="Y4" s="69" t="n"/>
      <c r="Z4" s="69" t="n"/>
    </row>
    <row r="5">
      <c r="A5" s="52" t="n"/>
      <c r="B5" s="334">
        <f>RECEITAS!B13</f>
        <v/>
      </c>
      <c r="C5" s="153" t="n"/>
      <c r="D5" s="154" t="n"/>
      <c r="E5" s="154" t="n"/>
      <c r="F5" s="232" t="n"/>
      <c r="G5" s="232" t="n"/>
      <c r="H5" s="151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69" t="n"/>
      <c r="T5" s="69" t="n"/>
      <c r="U5" s="69" t="n"/>
      <c r="V5" s="69" t="n"/>
      <c r="W5" s="69" t="n"/>
      <c r="X5" s="69" t="n"/>
      <c r="Y5" s="69" t="n"/>
      <c r="Z5" s="69" t="n"/>
    </row>
    <row r="6">
      <c r="A6" s="52" t="n"/>
      <c r="B6" s="153" t="n"/>
      <c r="C6" s="153" t="n"/>
      <c r="D6" s="154" t="n"/>
      <c r="E6" s="154" t="n"/>
      <c r="F6" s="335" t="inlineStr">
        <is>
          <t>Período Analisado</t>
        </is>
      </c>
      <c r="G6" s="336" t="n">
        <v>12</v>
      </c>
      <c r="H6" s="337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69" t="n"/>
      <c r="T6" s="69" t="n"/>
      <c r="U6" s="69" t="n"/>
      <c r="V6" s="69" t="n"/>
      <c r="W6" s="69" t="n"/>
      <c r="X6" s="69" t="n"/>
      <c r="Y6" s="69" t="n"/>
      <c r="Z6" s="69" t="n"/>
    </row>
    <row r="7">
      <c r="A7" s="52" t="n"/>
      <c r="B7" s="75" t="n"/>
      <c r="C7" s="75" t="n"/>
      <c r="D7" s="75" t="n"/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69" t="n"/>
      <c r="T7" s="69" t="n"/>
      <c r="U7" s="69" t="n"/>
      <c r="V7" s="69" t="n"/>
      <c r="W7" s="69" t="n"/>
      <c r="X7" s="69" t="n"/>
      <c r="Y7" s="69" t="n"/>
      <c r="Z7" s="69" t="n"/>
    </row>
    <row r="8">
      <c r="A8" s="52" t="n"/>
      <c r="B8" s="52" t="n"/>
      <c r="C8" s="52" t="n"/>
      <c r="D8" s="52" t="n"/>
      <c r="E8" s="52" t="n"/>
      <c r="F8" s="52" t="n"/>
      <c r="G8" s="52" t="n"/>
      <c r="H8" s="131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69" t="n"/>
      <c r="T8" s="69" t="n"/>
      <c r="U8" s="69" t="n"/>
      <c r="V8" s="69" t="n"/>
      <c r="W8" s="69" t="n"/>
      <c r="X8" s="69" t="n"/>
      <c r="Y8" s="69" t="n"/>
      <c r="Z8" s="69" t="n"/>
    </row>
    <row r="9">
      <c r="A9" s="52" t="n"/>
      <c r="B9" s="704" t="inlineStr">
        <is>
          <t>TOTAL PROJETADO (s/ PIS e COFINS)</t>
        </is>
      </c>
      <c r="C9" s="678" t="n"/>
      <c r="D9" s="678" t="n"/>
      <c r="E9" s="678" t="n"/>
      <c r="F9" s="676" t="n"/>
      <c r="G9" s="237">
        <f>SUMIFS(RECEITAS!$I$17:$I$26, RECEITAS!$E$17:$E$26,"NÃO", RECEITAS!$D$17:$D$26,"PJ")</f>
        <v/>
      </c>
      <c r="H9" s="159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69" t="n"/>
      <c r="T9" s="69" t="n"/>
      <c r="U9" s="69" t="n"/>
      <c r="V9" s="69" t="n"/>
      <c r="W9" s="69" t="n"/>
      <c r="X9" s="69" t="n"/>
      <c r="Y9" s="69" t="n"/>
      <c r="Z9" s="69" t="n"/>
    </row>
    <row r="10">
      <c r="A10" s="52" t="n"/>
      <c r="B10" s="704" t="inlineStr">
        <is>
          <t>TOTAL REALIZADO (s/ PIS e COFINS)</t>
        </is>
      </c>
      <c r="C10" s="678" t="n"/>
      <c r="D10" s="678" t="n"/>
      <c r="E10" s="678" t="n"/>
      <c r="F10" s="676" t="n"/>
      <c r="G10" s="237">
        <f>SUMIFS(RECEITAS!$I$32:$I$41,RECEITAS!$E$32:$E$41,"NÃO", RECEITAS!$D$32:$D$41, "PJ")</f>
        <v/>
      </c>
      <c r="H10" s="159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>
      <c r="A11" s="52" t="n"/>
      <c r="B11" s="705" t="inlineStr">
        <is>
          <t>TOTAL (s/PIS e COFINS)</t>
        </is>
      </c>
      <c r="C11" s="678" t="n"/>
      <c r="D11" s="678" t="n"/>
      <c r="E11" s="678" t="n"/>
      <c r="F11" s="676" t="n"/>
      <c r="G11" s="340">
        <f>G9+G10</f>
        <v/>
      </c>
      <c r="H11" s="159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69" t="n"/>
      <c r="T11" s="69" t="n"/>
      <c r="U11" s="69" t="n"/>
      <c r="V11" s="69" t="n"/>
      <c r="W11" s="69" t="n"/>
      <c r="X11" s="69" t="n"/>
      <c r="Y11" s="69" t="n"/>
      <c r="Z11" s="69" t="n"/>
    </row>
    <row r="12">
      <c r="A12" s="52" t="n"/>
      <c r="B12" s="704" t="inlineStr">
        <is>
          <t>TOTAL PROJETADO (c/ PIS e COFINS)</t>
        </is>
      </c>
      <c r="C12" s="678" t="n"/>
      <c r="D12" s="678" t="n"/>
      <c r="E12" s="678" t="n"/>
      <c r="F12" s="676" t="n"/>
      <c r="G12" s="237">
        <f>SUMIFS(RECEITAS!$I$17:$I$26, RECEITAS!$E$17:$E$26,"SIM", RECEITAS!$D$17:$D$26,"PJ")</f>
        <v/>
      </c>
      <c r="H12" s="159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69" t="n"/>
      <c r="T12" s="69" t="n"/>
      <c r="U12" s="69" t="n"/>
      <c r="V12" s="69" t="n"/>
      <c r="W12" s="69" t="n"/>
      <c r="X12" s="69" t="n"/>
      <c r="Y12" s="69" t="n"/>
      <c r="Z12" s="69" t="n"/>
    </row>
    <row r="13">
      <c r="A13" s="52" t="n"/>
      <c r="B13" s="704" t="inlineStr">
        <is>
          <t>TOTAL REALIZADO (c/ PIS e COFINS)</t>
        </is>
      </c>
      <c r="C13" s="678" t="n"/>
      <c r="D13" s="678" t="n"/>
      <c r="E13" s="678" t="n"/>
      <c r="F13" s="676" t="n"/>
      <c r="G13" s="237">
        <f>SUMIFS(RECEITAS!$I$32:$I$41,RECEITAS!$E$32:$E$41,"SIM", RECEITAS!$D$32:$D$41, "PJ")</f>
        <v/>
      </c>
      <c r="H13" s="159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69" t="n"/>
      <c r="T13" s="69" t="n"/>
      <c r="U13" s="69" t="n"/>
      <c r="V13" s="69" t="n"/>
      <c r="W13" s="69" t="n"/>
      <c r="X13" s="69" t="n"/>
      <c r="Y13" s="69" t="n"/>
      <c r="Z13" s="69" t="n"/>
    </row>
    <row r="14">
      <c r="A14" s="52" t="n"/>
      <c r="B14" s="705" t="inlineStr">
        <is>
          <t>TOTAL (c/PIS e COFINS)</t>
        </is>
      </c>
      <c r="C14" s="678" t="n"/>
      <c r="D14" s="678" t="n"/>
      <c r="E14" s="678" t="n"/>
      <c r="F14" s="676" t="n"/>
      <c r="G14" s="340">
        <f>G12+G13</f>
        <v/>
      </c>
      <c r="H14" s="159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69" t="n"/>
      <c r="T14" s="69" t="n"/>
      <c r="U14" s="69" t="n"/>
      <c r="V14" s="69" t="n"/>
      <c r="W14" s="69" t="n"/>
      <c r="X14" s="69" t="n"/>
      <c r="Y14" s="69" t="n"/>
      <c r="Z14" s="69" t="n"/>
    </row>
    <row r="15">
      <c r="A15" s="52" t="n"/>
      <c r="B15" s="706" t="inlineStr">
        <is>
          <t>RECEITAS ALUGUÉIS (c/ CNAE)</t>
        </is>
      </c>
      <c r="C15" s="678" t="n"/>
      <c r="D15" s="678" t="n"/>
      <c r="E15" s="678" t="n"/>
      <c r="F15" s="676" t="n"/>
      <c r="G15" s="342" t="n"/>
      <c r="H15" s="159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69" t="n"/>
      <c r="T15" s="69" t="n"/>
      <c r="U15" s="69" t="n"/>
      <c r="V15" s="69" t="n"/>
      <c r="W15" s="69" t="n"/>
      <c r="X15" s="69" t="n"/>
      <c r="Y15" s="69" t="n"/>
      <c r="Z15" s="69" t="n"/>
    </row>
    <row r="16">
      <c r="A16" s="52" t="n"/>
      <c r="B16" s="705" t="inlineStr">
        <is>
          <t>RECEITAS ALUGUÉIS (s/ CNAE)</t>
        </is>
      </c>
      <c r="C16" s="678" t="n"/>
      <c r="D16" s="678" t="n"/>
      <c r="E16" s="678" t="n"/>
      <c r="F16" s="676" t="n"/>
      <c r="G16" s="343" t="n"/>
      <c r="H16" s="159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69" t="n"/>
      <c r="T16" s="69" t="n"/>
      <c r="U16" s="69" t="n"/>
      <c r="V16" s="69" t="n"/>
      <c r="W16" s="69" t="n"/>
      <c r="X16" s="69" t="n"/>
      <c r="Y16" s="69" t="n"/>
      <c r="Z16" s="69" t="n"/>
    </row>
    <row r="17">
      <c r="A17" s="52" t="n"/>
      <c r="B17" s="705" t="inlineStr">
        <is>
          <t>RECEITAS FINANCEIRAS</t>
        </is>
      </c>
      <c r="C17" s="678" t="n"/>
      <c r="D17" s="678" t="n"/>
      <c r="E17" s="678" t="n"/>
      <c r="F17" s="676" t="n"/>
      <c r="G17" s="343" t="n"/>
      <c r="H17" s="159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69" t="n"/>
      <c r="T17" s="69" t="n"/>
      <c r="U17" s="69" t="n"/>
      <c r="V17" s="69" t="n"/>
      <c r="W17" s="69" t="n"/>
      <c r="X17" s="69" t="n"/>
      <c r="Y17" s="69" t="n"/>
      <c r="Z17" s="69" t="n"/>
    </row>
    <row r="18">
      <c r="A18" s="52" t="n"/>
      <c r="B18" s="705" t="inlineStr">
        <is>
          <t>RECEITAS NÃO OPERACIONAIS</t>
        </is>
      </c>
      <c r="C18" s="678" t="n"/>
      <c r="D18" s="678" t="n"/>
      <c r="E18" s="678" t="n"/>
      <c r="F18" s="676" t="n"/>
      <c r="G18" s="343" t="n"/>
      <c r="H18" s="159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69" t="n"/>
      <c r="T18" s="69" t="n"/>
      <c r="U18" s="69" t="n"/>
      <c r="V18" s="69" t="n"/>
      <c r="W18" s="69" t="n"/>
      <c r="X18" s="69" t="n"/>
      <c r="Y18" s="69" t="n"/>
      <c r="Z18" s="69" t="n"/>
    </row>
    <row r="19">
      <c r="A19" s="52" t="n"/>
      <c r="B19" s="52" t="n"/>
      <c r="C19" s="52" t="n"/>
      <c r="D19" s="52" t="n"/>
      <c r="E19" s="52" t="n"/>
      <c r="F19" s="52" t="n"/>
      <c r="G19" s="52" t="n"/>
      <c r="H19" s="344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69" t="n"/>
      <c r="T19" s="69" t="n"/>
      <c r="U19" s="69" t="n"/>
      <c r="V19" s="69" t="n"/>
      <c r="W19" s="69" t="n"/>
      <c r="X19" s="69" t="n"/>
      <c r="Y19" s="69" t="n"/>
      <c r="Z19" s="69" t="n"/>
    </row>
    <row r="20">
      <c r="A20" s="52" t="n"/>
      <c r="B20" s="73" t="inlineStr">
        <is>
          <t>SIMULAÇÃO DE VALORES</t>
        </is>
      </c>
      <c r="C20" s="73" t="n"/>
      <c r="D20" s="74" t="n"/>
      <c r="E20" s="74" t="n"/>
      <c r="F20" s="74" t="n"/>
      <c r="G20" s="345">
        <f>RECEITAS!I26</f>
        <v/>
      </c>
      <c r="H20" s="131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69" t="n"/>
      <c r="T20" s="69" t="n"/>
      <c r="U20" s="69" t="n"/>
      <c r="V20" s="69" t="n"/>
      <c r="W20" s="69" t="n"/>
      <c r="X20" s="69" t="n"/>
      <c r="Y20" s="69" t="n"/>
      <c r="Z20" s="69" t="n"/>
    </row>
    <row r="21" ht="15.75" customHeight="1" s="673">
      <c r="A21" s="52" t="n"/>
      <c r="B21" s="52" t="n"/>
      <c r="C21" s="52" t="n"/>
      <c r="D21" s="52" t="n"/>
      <c r="E21" s="52" t="n"/>
      <c r="F21" s="52" t="n"/>
      <c r="G21" s="52" t="n"/>
      <c r="H21" s="131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69" t="n"/>
      <c r="T21" s="69" t="n"/>
      <c r="U21" s="69" t="n"/>
      <c r="V21" s="69" t="n"/>
      <c r="W21" s="69" t="n"/>
      <c r="X21" s="69" t="n"/>
      <c r="Y21" s="69" t="n"/>
      <c r="Z21" s="69" t="n"/>
    </row>
    <row r="22" ht="15.75" customHeight="1" s="673">
      <c r="A22" s="52" t="n"/>
      <c r="B22" s="52" t="n"/>
      <c r="C22" s="52" t="n"/>
      <c r="D22" s="52" t="n"/>
      <c r="E22" s="52" t="n"/>
      <c r="F22" s="52" t="n"/>
      <c r="G22" s="52" t="n"/>
      <c r="H22" s="131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69" t="n"/>
      <c r="T22" s="69" t="n"/>
      <c r="U22" s="69" t="n"/>
      <c r="V22" s="69" t="n"/>
      <c r="W22" s="69" t="n"/>
      <c r="X22" s="69" t="n"/>
      <c r="Y22" s="69" t="n"/>
      <c r="Z22" s="69" t="n"/>
    </row>
    <row r="23" ht="15.75" customHeight="1" s="673">
      <c r="A23" s="52" t="n"/>
      <c r="B23" s="707" t="inlineStr">
        <is>
          <t>BASE DE CALCULO IR</t>
        </is>
      </c>
      <c r="C23" s="678" t="n"/>
      <c r="D23" s="678" t="n"/>
      <c r="E23" s="678" t="n"/>
      <c r="F23" s="676" t="n"/>
      <c r="G23" s="270">
        <f>((G11+G14)*0.08)+(G15*0.32)+G16+G17+G18</f>
        <v/>
      </c>
      <c r="H23" s="159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69" t="n"/>
      <c r="T23" s="69" t="n"/>
      <c r="U23" s="69" t="n"/>
      <c r="V23" s="69" t="n"/>
      <c r="W23" s="69" t="n"/>
      <c r="X23" s="69" t="n"/>
      <c r="Y23" s="69" t="n"/>
      <c r="Z23" s="69" t="n"/>
    </row>
    <row r="24" ht="15.75" customHeight="1" s="673">
      <c r="A24" s="52" t="n"/>
      <c r="B24" s="707" t="inlineStr">
        <is>
          <t>BASE DE CÁLCULO CSLL</t>
        </is>
      </c>
      <c r="C24" s="678" t="n"/>
      <c r="D24" s="678" t="n"/>
      <c r="E24" s="678" t="n"/>
      <c r="F24" s="676" t="n"/>
      <c r="G24" s="270">
        <f>((G11+G14)*0.12)+(G15*0.32)+G16+G17+G18</f>
        <v/>
      </c>
      <c r="H24" s="159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69" t="n"/>
      <c r="T24" s="69" t="n"/>
      <c r="U24" s="69" t="n"/>
      <c r="V24" s="69" t="n"/>
      <c r="W24" s="69" t="n"/>
      <c r="X24" s="69" t="n"/>
      <c r="Y24" s="69" t="n"/>
      <c r="Z24" s="69" t="n"/>
    </row>
    <row r="25" ht="15.75" customHeight="1" s="673">
      <c r="A25" s="52" t="n"/>
      <c r="B25" s="707" t="inlineStr">
        <is>
          <t>IR - 15% (1,20%)</t>
        </is>
      </c>
      <c r="C25" s="678" t="n"/>
      <c r="D25" s="678" t="n"/>
      <c r="E25" s="678" t="n"/>
      <c r="F25" s="676" t="n"/>
      <c r="G25" s="270">
        <f>G23*0.15</f>
        <v/>
      </c>
      <c r="H25" s="159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69" t="n"/>
      <c r="T25" s="69" t="n"/>
      <c r="U25" s="69" t="n"/>
      <c r="V25" s="69" t="n"/>
      <c r="W25" s="69" t="n"/>
      <c r="X25" s="69" t="n"/>
      <c r="Y25" s="69" t="n"/>
      <c r="Z25" s="69" t="n"/>
    </row>
    <row r="26" ht="15.75" customHeight="1" s="673">
      <c r="A26" s="52" t="n"/>
      <c r="B26" s="707" t="inlineStr">
        <is>
          <t>IR ADICIONAL - 10% (0,8%)</t>
        </is>
      </c>
      <c r="C26" s="678" t="n"/>
      <c r="D26" s="678" t="n"/>
      <c r="E26" s="678" t="n"/>
      <c r="F26" s="676" t="n"/>
      <c r="G26" s="270">
        <f>IF(G23&gt;G6*20000,(G23-G6*20000)*0.1,0)</f>
        <v/>
      </c>
      <c r="H26" s="159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69" t="n"/>
      <c r="T26" s="69" t="n"/>
      <c r="U26" s="69" t="n"/>
      <c r="V26" s="69" t="n"/>
      <c r="W26" s="69" t="n"/>
      <c r="X26" s="69" t="n"/>
      <c r="Y26" s="69" t="n"/>
      <c r="Z26" s="69" t="n"/>
    </row>
    <row r="27" ht="15.75" customHeight="1" s="673">
      <c r="A27" s="52" t="n"/>
      <c r="B27" s="707" t="inlineStr">
        <is>
          <t>CSLL - 9% (1,08%)</t>
        </is>
      </c>
      <c r="C27" s="678" t="n"/>
      <c r="D27" s="678" t="n"/>
      <c r="E27" s="678" t="n"/>
      <c r="F27" s="676" t="n"/>
      <c r="G27" s="270">
        <f>G24*0.09</f>
        <v/>
      </c>
      <c r="H27" s="159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69" t="n"/>
      <c r="T27" s="69" t="n"/>
      <c r="U27" s="69" t="n"/>
      <c r="V27" s="69" t="n"/>
      <c r="W27" s="69" t="n"/>
      <c r="X27" s="69" t="n"/>
      <c r="Y27" s="69" t="n"/>
      <c r="Z27" s="69" t="n"/>
    </row>
    <row r="28" ht="15.75" customHeight="1" s="673">
      <c r="A28" s="52" t="n"/>
      <c r="B28" s="707" t="inlineStr">
        <is>
          <t>FUNRURAL - 2,05%</t>
        </is>
      </c>
      <c r="C28" s="678" t="n"/>
      <c r="D28" s="678" t="n"/>
      <c r="E28" s="678" t="n"/>
      <c r="F28" s="676" t="n"/>
      <c r="G28" s="270">
        <f>IF(RECEITAS!G14="FATURAMENTO", (PJ!G11+PJ!G14)*2.05/100,0)</f>
        <v/>
      </c>
      <c r="H28" s="159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69" t="n"/>
      <c r="T28" s="69" t="n"/>
      <c r="U28" s="69" t="n"/>
      <c r="V28" s="69" t="n"/>
      <c r="W28" s="69" t="n"/>
      <c r="X28" s="69" t="n"/>
      <c r="Y28" s="69" t="n"/>
      <c r="Z28" s="69" t="n"/>
    </row>
    <row r="29" ht="15.75" customHeight="1" s="673">
      <c r="A29" s="52" t="n"/>
      <c r="B29" s="707" t="inlineStr">
        <is>
          <t>PIS</t>
        </is>
      </c>
      <c r="C29" s="678" t="n"/>
      <c r="D29" s="678" t="n"/>
      <c r="E29" s="678" t="n"/>
      <c r="F29" s="676" t="n"/>
      <c r="G29" s="270">
        <f>(G14+G15)*0.65/100</f>
        <v/>
      </c>
      <c r="H29" s="159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69" t="n"/>
      <c r="T29" s="69" t="n"/>
      <c r="U29" s="69" t="n"/>
      <c r="V29" s="69" t="n"/>
      <c r="W29" s="69" t="n"/>
      <c r="X29" s="69" t="n"/>
      <c r="Y29" s="69" t="n"/>
      <c r="Z29" s="69" t="n"/>
    </row>
    <row r="30" ht="15.75" customHeight="1" s="673">
      <c r="A30" s="52" t="n"/>
      <c r="B30" s="707" t="inlineStr">
        <is>
          <t>COFINS</t>
        </is>
      </c>
      <c r="C30" s="678" t="n"/>
      <c r="D30" s="678" t="n"/>
      <c r="E30" s="678" t="n"/>
      <c r="F30" s="676" t="n"/>
      <c r="G30" s="270">
        <f>(G14+G15)*3/100</f>
        <v/>
      </c>
      <c r="H30" s="159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69" t="n"/>
      <c r="T30" s="69" t="n"/>
      <c r="U30" s="69" t="n"/>
      <c r="V30" s="69" t="n"/>
      <c r="W30" s="69" t="n"/>
      <c r="X30" s="69" t="n"/>
      <c r="Y30" s="69" t="n"/>
      <c r="Z30" s="69" t="n"/>
    </row>
    <row r="31" ht="15.75" customHeight="1" s="673">
      <c r="A31" s="52" t="n"/>
      <c r="B31" s="84" t="n"/>
      <c r="C31" s="84" t="n"/>
      <c r="D31" s="84" t="n"/>
      <c r="E31" s="84" t="n"/>
      <c r="F31" s="84" t="n"/>
      <c r="G31" s="84" t="n"/>
      <c r="H31" s="88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69" t="n"/>
      <c r="T31" s="69" t="n"/>
      <c r="U31" s="69" t="n"/>
      <c r="V31" s="69" t="n"/>
      <c r="W31" s="69" t="n"/>
      <c r="X31" s="69" t="n"/>
      <c r="Y31" s="69" t="n"/>
      <c r="Z31" s="69" t="n"/>
    </row>
    <row r="32" ht="15.75" customHeight="1" s="673">
      <c r="A32" s="52" t="n"/>
      <c r="B32" s="708" t="inlineStr">
        <is>
          <t>DIFERENÇA DE FUNRURAL - 0,55%</t>
        </is>
      </c>
      <c r="C32" s="678" t="n"/>
      <c r="D32" s="678" t="n"/>
      <c r="E32" s="678" t="n"/>
      <c r="F32" s="676" t="n"/>
      <c r="G32" s="270">
        <f>IF(RECEITAS!G14="FATURAMENTO", (PJ!G11+PJ!G14)*0.55/100,0)</f>
        <v/>
      </c>
      <c r="H32" s="159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69" t="n"/>
      <c r="T32" s="69" t="n"/>
      <c r="U32" s="69" t="n"/>
      <c r="V32" s="69" t="n"/>
      <c r="W32" s="69" t="n"/>
      <c r="X32" s="69" t="n"/>
      <c r="Y32" s="69" t="n"/>
      <c r="Z32" s="69" t="n"/>
    </row>
    <row r="33" ht="15.75" customHeight="1" s="673">
      <c r="A33" s="52" t="n"/>
      <c r="B33" s="52" t="n"/>
      <c r="C33" s="52" t="n"/>
      <c r="D33" s="52" t="n"/>
      <c r="E33" s="52" t="n"/>
      <c r="F33" s="52" t="n"/>
      <c r="G33" s="52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69" t="n"/>
      <c r="T33" s="69" t="n"/>
      <c r="U33" s="69" t="n"/>
      <c r="V33" s="69" t="n"/>
      <c r="W33" s="69" t="n"/>
      <c r="X33" s="69" t="n"/>
      <c r="Y33" s="69" t="n"/>
      <c r="Z33" s="69" t="n"/>
    </row>
    <row r="34" ht="15.75" customHeight="1" s="673">
      <c r="A34" s="52" t="n"/>
      <c r="B34" s="348" t="inlineStr">
        <is>
          <t>TOTAL TRIBUTOS PJ</t>
        </is>
      </c>
      <c r="C34" s="348" t="n"/>
      <c r="D34" s="348" t="n"/>
      <c r="E34" s="348" t="n"/>
      <c r="F34" s="348" t="n"/>
      <c r="G34" s="349">
        <f>IF(G6=0,"ERRO",SUM(G25:G30))</f>
        <v/>
      </c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69" t="n"/>
      <c r="T34" s="69" t="n"/>
      <c r="U34" s="69" t="n"/>
      <c r="V34" s="69" t="n"/>
      <c r="W34" s="69" t="n"/>
      <c r="X34" s="69" t="n"/>
      <c r="Y34" s="69" t="n"/>
      <c r="Z34" s="69" t="n"/>
    </row>
    <row r="35" ht="15.75" customHeight="1" s="673">
      <c r="A35" s="69" t="n"/>
      <c r="B35" s="52" t="n"/>
      <c r="C35" s="52" t="n"/>
      <c r="D35" s="52" t="n"/>
      <c r="E35" s="52" t="n"/>
      <c r="F35" s="52" t="n"/>
      <c r="G35" s="52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69" t="n"/>
      <c r="T35" s="69" t="n"/>
      <c r="U35" s="69" t="n"/>
      <c r="V35" s="69" t="n"/>
      <c r="W35" s="69" t="n"/>
      <c r="X35" s="69" t="n"/>
      <c r="Y35" s="69" t="n"/>
      <c r="Z35" s="69" t="n"/>
    </row>
    <row r="36" ht="15.75" customHeight="1" s="673">
      <c r="A36" s="69" t="n"/>
      <c r="B36" s="348" t="inlineStr">
        <is>
          <t>TOTAL PJ + DIFERENÇA FUNRURAL</t>
        </is>
      </c>
      <c r="C36" s="348" t="n"/>
      <c r="D36" s="348" t="n"/>
      <c r="E36" s="348" t="n"/>
      <c r="F36" s="348" t="n"/>
      <c r="G36" s="349">
        <f>IF(G6=0,"ERRO",SUM(G25:G27,G29:G30,G32))</f>
        <v/>
      </c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69" t="n"/>
      <c r="T36" s="69" t="n"/>
      <c r="U36" s="69" t="n"/>
      <c r="V36" s="69" t="n"/>
      <c r="W36" s="69" t="n"/>
      <c r="X36" s="69" t="n"/>
      <c r="Y36" s="69" t="n"/>
      <c r="Z36" s="69" t="n"/>
    </row>
    <row r="37" ht="15.75" customHeight="1" s="673">
      <c r="A37" s="69" t="n"/>
      <c r="B37" s="52" t="n"/>
      <c r="C37" s="52" t="n"/>
      <c r="D37" s="52" t="n"/>
      <c r="E37" s="52" t="n"/>
      <c r="F37" s="52" t="n"/>
      <c r="G37" s="52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69" t="n"/>
      <c r="T37" s="69" t="n"/>
      <c r="U37" s="69" t="n"/>
      <c r="V37" s="69" t="n"/>
      <c r="W37" s="69" t="n"/>
      <c r="X37" s="69" t="n"/>
      <c r="Y37" s="69" t="n"/>
      <c r="Z37" s="69" t="n"/>
    </row>
    <row r="38" ht="15.75" customHeight="1" s="673">
      <c r="A38" s="69" t="n"/>
      <c r="B38" s="52" t="n"/>
      <c r="C38" s="52" t="n"/>
      <c r="D38" s="52" t="n"/>
      <c r="E38" s="52" t="n"/>
      <c r="F38" s="52" t="n"/>
      <c r="G38" s="52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69" t="n"/>
      <c r="T38" s="69" t="n"/>
      <c r="U38" s="69" t="n"/>
      <c r="V38" s="69" t="n"/>
      <c r="W38" s="69" t="n"/>
      <c r="X38" s="69" t="n"/>
      <c r="Y38" s="69" t="n"/>
      <c r="Z38" s="69" t="n"/>
    </row>
    <row r="39" ht="15.75" customHeight="1" s="673">
      <c r="A39" s="69" t="n"/>
      <c r="B39" s="52" t="n"/>
      <c r="C39" s="52" t="n"/>
      <c r="D39" s="52" t="n"/>
      <c r="E39" s="52" t="n"/>
      <c r="F39" s="52" t="n"/>
      <c r="G39" s="52" t="n"/>
      <c r="H39" s="75" t="n"/>
      <c r="I39" s="278">
        <f>IF(D39&gt;=(E39-F39),E39-F39,D39)</f>
        <v/>
      </c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69" t="n"/>
      <c r="T39" s="69" t="n"/>
      <c r="U39" s="69" t="n"/>
      <c r="V39" s="69" t="n"/>
      <c r="W39" s="69" t="n"/>
      <c r="X39" s="69" t="n"/>
      <c r="Y39" s="69" t="n"/>
      <c r="Z39" s="69" t="n"/>
    </row>
    <row r="40" ht="15.75" customHeight="1" s="673">
      <c r="A40" s="69" t="n"/>
      <c r="B40" s="52" t="n"/>
      <c r="C40" s="52" t="n"/>
      <c r="D40" s="52" t="n"/>
      <c r="E40" s="52" t="n"/>
      <c r="F40" s="52" t="n"/>
      <c r="G40" s="52" t="n"/>
      <c r="H40" s="75" t="n"/>
      <c r="I40" s="278">
        <f>IF(D40&gt;=(E40-F40),E40-F40,D40)</f>
        <v/>
      </c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69" t="n"/>
      <c r="T40" s="69" t="n"/>
      <c r="U40" s="69" t="n"/>
      <c r="V40" s="69" t="n"/>
      <c r="W40" s="69" t="n"/>
      <c r="X40" s="69" t="n"/>
      <c r="Y40" s="69" t="n"/>
      <c r="Z40" s="69" t="n"/>
    </row>
    <row r="41" ht="15.75" customHeight="1" s="673">
      <c r="A41" s="69" t="n"/>
      <c r="B41" s="52" t="n"/>
      <c r="C41" s="52" t="n"/>
      <c r="D41" s="52" t="n"/>
      <c r="E41" s="52" t="n"/>
      <c r="F41" s="52" t="n"/>
      <c r="G41" s="52" t="n"/>
      <c r="H41" s="75" t="n"/>
      <c r="I41" s="278">
        <f>IF(D41&gt;=(E41-F41),E41-F41,D41)</f>
        <v/>
      </c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69" t="n"/>
      <c r="T41" s="69" t="n"/>
      <c r="U41" s="69" t="n"/>
      <c r="V41" s="69" t="n"/>
      <c r="W41" s="69" t="n"/>
      <c r="X41" s="69" t="n"/>
      <c r="Y41" s="69" t="n"/>
      <c r="Z41" s="69" t="n"/>
    </row>
    <row r="42" ht="15.75" customHeight="1" s="673">
      <c r="A42" s="69" t="n"/>
      <c r="B42" s="131" t="n"/>
      <c r="C42" s="131" t="n"/>
      <c r="D42" s="131" t="n"/>
      <c r="E42" s="131" t="n"/>
      <c r="F42" s="131" t="n"/>
      <c r="G42" s="131" t="n"/>
      <c r="H42" s="131" t="n"/>
      <c r="I42" s="278">
        <f>IF(D42&gt;=(E42-F42),E42-F42,D42)</f>
        <v/>
      </c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</row>
    <row r="43" ht="15.75" customHeight="1" s="673">
      <c r="A43" s="69" t="n"/>
      <c r="B43" s="52" t="n"/>
      <c r="C43" s="52" t="n"/>
      <c r="D43" s="52" t="n"/>
      <c r="E43" s="52" t="n"/>
      <c r="F43" s="52" t="n"/>
      <c r="G43" s="52" t="n"/>
      <c r="H43" s="75" t="n"/>
      <c r="I43" s="278">
        <f>IF(D43&gt;=(E43-F43),E43-F43,D43)</f>
        <v/>
      </c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69" t="n"/>
      <c r="T43" s="69" t="n"/>
      <c r="U43" s="69" t="n"/>
      <c r="V43" s="69" t="n"/>
      <c r="W43" s="69" t="n"/>
      <c r="X43" s="69" t="n"/>
      <c r="Y43" s="69" t="n"/>
      <c r="Z43" s="69" t="n"/>
    </row>
    <row r="44" ht="15.75" customHeight="1" s="673">
      <c r="A44" s="69" t="n"/>
      <c r="B44" s="52" t="n"/>
      <c r="C44" s="52" t="n"/>
      <c r="D44" s="52" t="n"/>
      <c r="E44" s="52" t="n"/>
      <c r="F44" s="52" t="n"/>
      <c r="G44" s="52" t="n"/>
      <c r="H44" s="75" t="n"/>
      <c r="I44" s="278">
        <f>IF(D44&gt;=(E44-F44),E44-F44,D44)</f>
        <v/>
      </c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69" t="n"/>
      <c r="T44" s="69" t="n"/>
      <c r="U44" s="69" t="n"/>
      <c r="V44" s="69" t="n"/>
      <c r="W44" s="69" t="n"/>
      <c r="X44" s="69" t="n"/>
      <c r="Y44" s="69" t="n"/>
      <c r="Z44" s="69" t="n"/>
    </row>
    <row r="45" ht="15.75" customHeight="1" s="673">
      <c r="A45" s="69" t="n"/>
      <c r="B45" s="52" t="n"/>
      <c r="C45" s="52" t="n"/>
      <c r="D45" s="52" t="n"/>
      <c r="E45" s="52" t="n"/>
      <c r="F45" s="52" t="n"/>
      <c r="G45" s="52" t="n"/>
      <c r="H45" s="75" t="n"/>
      <c r="I45" s="278">
        <f>SUM(I39:I44)</f>
        <v/>
      </c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69" t="n"/>
      <c r="T45" s="69" t="n"/>
      <c r="U45" s="69" t="n"/>
      <c r="V45" s="69" t="n"/>
      <c r="W45" s="69" t="n"/>
      <c r="X45" s="69" t="n"/>
      <c r="Y45" s="69" t="n"/>
      <c r="Z45" s="69" t="n"/>
    </row>
    <row r="46" ht="15.75" customHeight="1" s="673">
      <c r="A46" s="69" t="n"/>
      <c r="B46" s="75" t="n"/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69" t="n"/>
      <c r="T46" s="69" t="n"/>
      <c r="U46" s="69" t="n"/>
      <c r="V46" s="69" t="n"/>
      <c r="W46" s="69" t="n"/>
      <c r="X46" s="69" t="n"/>
      <c r="Y46" s="69" t="n"/>
      <c r="Z46" s="69" t="n"/>
    </row>
    <row r="47" ht="15.75" customHeight="1" s="673">
      <c r="A47" s="69" t="n"/>
      <c r="B47" s="75" t="n"/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69" t="n"/>
      <c r="T47" s="69" t="n"/>
      <c r="U47" s="69" t="n"/>
      <c r="V47" s="69" t="n"/>
      <c r="W47" s="69" t="n"/>
      <c r="X47" s="69" t="n"/>
      <c r="Y47" s="69" t="n"/>
      <c r="Z47" s="69" t="n"/>
    </row>
    <row r="48" ht="15.75" customHeight="1" s="673">
      <c r="A48" s="69" t="n"/>
      <c r="B48" s="75" t="n"/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69" t="n"/>
      <c r="T48" s="69" t="n"/>
      <c r="U48" s="69" t="n"/>
      <c r="V48" s="69" t="n"/>
      <c r="W48" s="69" t="n"/>
      <c r="X48" s="69" t="n"/>
      <c r="Y48" s="69" t="n"/>
      <c r="Z48" s="69" t="n"/>
    </row>
    <row r="49" ht="15.75" customHeight="1" s="673">
      <c r="A49" s="69" t="n"/>
      <c r="B49" s="75" t="n"/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69" t="n"/>
      <c r="T49" s="69" t="n"/>
      <c r="U49" s="69" t="n"/>
      <c r="V49" s="69" t="n"/>
      <c r="W49" s="69" t="n"/>
      <c r="X49" s="69" t="n"/>
      <c r="Y49" s="69" t="n"/>
      <c r="Z49" s="69" t="n"/>
    </row>
    <row r="50" ht="15.75" customHeight="1" s="673">
      <c r="A50" s="69" t="n"/>
      <c r="B50" s="75" t="n"/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69" t="n"/>
      <c r="T50" s="69" t="n"/>
      <c r="U50" s="69" t="n"/>
      <c r="V50" s="69" t="n"/>
      <c r="W50" s="69" t="n"/>
      <c r="X50" s="69" t="n"/>
      <c r="Y50" s="69" t="n"/>
      <c r="Z50" s="69" t="n"/>
    </row>
    <row r="51" ht="15.75" customHeight="1" s="673">
      <c r="A51" s="69" t="n"/>
      <c r="B51" s="75" t="n"/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69" t="n"/>
      <c r="T51" s="69" t="n"/>
      <c r="U51" s="69" t="n"/>
      <c r="V51" s="69" t="n"/>
      <c r="W51" s="69" t="n"/>
      <c r="X51" s="69" t="n"/>
      <c r="Y51" s="69" t="n"/>
      <c r="Z51" s="69" t="n"/>
    </row>
    <row r="52" ht="15.75" customHeight="1" s="673">
      <c r="A52" s="69" t="n"/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69" t="n"/>
      <c r="T52" s="69" t="n"/>
      <c r="U52" s="69" t="n"/>
      <c r="V52" s="69" t="n"/>
      <c r="W52" s="69" t="n"/>
      <c r="X52" s="69" t="n"/>
      <c r="Y52" s="69" t="n"/>
      <c r="Z52" s="69" t="n"/>
    </row>
    <row r="53" ht="15.75" customHeight="1" s="673">
      <c r="A53" s="69" t="n"/>
      <c r="B53" s="75" t="n"/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69" t="n"/>
      <c r="T53" s="69" t="n"/>
      <c r="U53" s="69" t="n"/>
      <c r="V53" s="69" t="n"/>
      <c r="W53" s="69" t="n"/>
      <c r="X53" s="69" t="n"/>
      <c r="Y53" s="69" t="n"/>
      <c r="Z53" s="69" t="n"/>
    </row>
    <row r="54" ht="15.75" customHeight="1" s="673">
      <c r="A54" s="69" t="n"/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69" t="n"/>
      <c r="T54" s="69" t="n"/>
      <c r="U54" s="69" t="n"/>
      <c r="V54" s="69" t="n"/>
      <c r="W54" s="69" t="n"/>
      <c r="X54" s="69" t="n"/>
      <c r="Y54" s="69" t="n"/>
      <c r="Z54" s="69" t="n"/>
    </row>
    <row r="55" ht="15.75" customHeight="1" s="673">
      <c r="A55" s="69" t="n"/>
      <c r="B55" s="75" t="n"/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69" t="n"/>
      <c r="T55" s="69" t="n"/>
      <c r="U55" s="69" t="n"/>
      <c r="V55" s="69" t="n"/>
      <c r="W55" s="69" t="n"/>
      <c r="X55" s="69" t="n"/>
      <c r="Y55" s="69" t="n"/>
      <c r="Z55" s="69" t="n"/>
    </row>
    <row r="56" ht="15.75" customHeight="1" s="673">
      <c r="A56" s="69" t="n"/>
      <c r="B56" s="75" t="n"/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69" t="n"/>
      <c r="T56" s="69" t="n"/>
      <c r="U56" s="69" t="n"/>
      <c r="V56" s="69" t="n"/>
      <c r="W56" s="69" t="n"/>
      <c r="X56" s="69" t="n"/>
      <c r="Y56" s="69" t="n"/>
      <c r="Z56" s="69" t="n"/>
    </row>
    <row r="57" ht="15.75" customHeight="1" s="673">
      <c r="A57" s="69" t="n"/>
      <c r="B57" s="75" t="n"/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69" t="n"/>
      <c r="T57" s="69" t="n"/>
      <c r="U57" s="69" t="n"/>
      <c r="V57" s="69" t="n"/>
      <c r="W57" s="69" t="n"/>
      <c r="X57" s="69" t="n"/>
      <c r="Y57" s="69" t="n"/>
      <c r="Z57" s="69" t="n"/>
    </row>
    <row r="58" ht="15.75" customHeight="1" s="673">
      <c r="A58" s="69" t="n"/>
      <c r="B58" s="75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69" t="n"/>
      <c r="T58" s="69" t="n"/>
      <c r="U58" s="69" t="n"/>
      <c r="V58" s="69" t="n"/>
      <c r="W58" s="69" t="n"/>
      <c r="X58" s="69" t="n"/>
      <c r="Y58" s="69" t="n"/>
      <c r="Z58" s="69" t="n"/>
    </row>
    <row r="59" ht="15.75" customHeight="1" s="673">
      <c r="A59" s="69" t="n"/>
      <c r="B59" s="75" t="n"/>
      <c r="C59" s="75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69" t="n"/>
      <c r="T59" s="69" t="n"/>
      <c r="U59" s="69" t="n"/>
      <c r="V59" s="69" t="n"/>
      <c r="W59" s="69" t="n"/>
      <c r="X59" s="69" t="n"/>
      <c r="Y59" s="69" t="n"/>
      <c r="Z59" s="69" t="n"/>
    </row>
    <row r="60" ht="15.75" customHeight="1" s="673">
      <c r="A60" s="69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69" t="n"/>
      <c r="T60" s="69" t="n"/>
      <c r="U60" s="69" t="n"/>
      <c r="V60" s="69" t="n"/>
      <c r="W60" s="69" t="n"/>
      <c r="X60" s="69" t="n"/>
      <c r="Y60" s="69" t="n"/>
      <c r="Z60" s="69" t="n"/>
    </row>
    <row r="61" ht="15.75" customHeight="1" s="673">
      <c r="A61" s="69" t="n"/>
      <c r="B61" s="75" t="n"/>
      <c r="C61" s="75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69" t="n"/>
      <c r="T61" s="69" t="n"/>
      <c r="U61" s="69" t="n"/>
      <c r="V61" s="69" t="n"/>
      <c r="W61" s="69" t="n"/>
      <c r="X61" s="69" t="n"/>
      <c r="Y61" s="69" t="n"/>
      <c r="Z61" s="69" t="n"/>
    </row>
    <row r="62" ht="15.75" customHeight="1" s="673">
      <c r="A62" s="69" t="n"/>
      <c r="B62" s="75" t="n"/>
      <c r="C62" s="75" t="n"/>
      <c r="D62" s="75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69" t="n"/>
      <c r="T62" s="69" t="n"/>
      <c r="U62" s="69" t="n"/>
      <c r="V62" s="69" t="n"/>
      <c r="W62" s="69" t="n"/>
      <c r="X62" s="69" t="n"/>
      <c r="Y62" s="69" t="n"/>
      <c r="Z62" s="69" t="n"/>
    </row>
    <row r="63" ht="15.75" customHeight="1" s="673">
      <c r="A63" s="69" t="n"/>
      <c r="B63" s="75" t="n"/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69" t="n"/>
      <c r="T63" s="69" t="n"/>
      <c r="U63" s="69" t="n"/>
      <c r="V63" s="69" t="n"/>
      <c r="W63" s="69" t="n"/>
      <c r="X63" s="69" t="n"/>
      <c r="Y63" s="69" t="n"/>
      <c r="Z63" s="69" t="n"/>
    </row>
    <row r="64" ht="15.75" customHeight="1" s="673">
      <c r="A64" s="69" t="n"/>
      <c r="B64" s="75" t="n"/>
      <c r="C64" s="75" t="n"/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69" t="n"/>
      <c r="T64" s="69" t="n"/>
      <c r="U64" s="69" t="n"/>
      <c r="V64" s="69" t="n"/>
      <c r="W64" s="69" t="n"/>
      <c r="X64" s="69" t="n"/>
      <c r="Y64" s="69" t="n"/>
      <c r="Z64" s="69" t="n"/>
    </row>
    <row r="65" ht="15.75" customHeight="1" s="673">
      <c r="A65" s="69" t="n"/>
      <c r="B65" s="75" t="n"/>
      <c r="C65" s="75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69" t="n"/>
      <c r="T65" s="69" t="n"/>
      <c r="U65" s="69" t="n"/>
      <c r="V65" s="69" t="n"/>
      <c r="W65" s="69" t="n"/>
      <c r="X65" s="69" t="n"/>
      <c r="Y65" s="69" t="n"/>
      <c r="Z65" s="69" t="n"/>
    </row>
    <row r="66" ht="15.75" customHeight="1" s="673">
      <c r="A66" s="69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69" t="n"/>
      <c r="T66" s="69" t="n"/>
      <c r="U66" s="69" t="n"/>
      <c r="V66" s="69" t="n"/>
      <c r="W66" s="69" t="n"/>
      <c r="X66" s="69" t="n"/>
      <c r="Y66" s="69" t="n"/>
      <c r="Z66" s="69" t="n"/>
    </row>
    <row r="67" ht="15.75" customHeight="1" s="673">
      <c r="A67" s="69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69" t="n"/>
      <c r="T67" s="69" t="n"/>
      <c r="U67" s="69" t="n"/>
      <c r="V67" s="69" t="n"/>
      <c r="W67" s="69" t="n"/>
      <c r="X67" s="69" t="n"/>
      <c r="Y67" s="69" t="n"/>
      <c r="Z67" s="69" t="n"/>
    </row>
    <row r="68" ht="15.75" customHeight="1" s="673">
      <c r="A68" s="69" t="n"/>
      <c r="B68" s="75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69" t="n"/>
      <c r="T68" s="69" t="n"/>
      <c r="U68" s="69" t="n"/>
      <c r="V68" s="69" t="n"/>
      <c r="W68" s="69" t="n"/>
      <c r="X68" s="69" t="n"/>
      <c r="Y68" s="69" t="n"/>
      <c r="Z68" s="69" t="n"/>
    </row>
    <row r="69" ht="15.75" customHeight="1" s="673">
      <c r="A69" s="69" t="n"/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69" t="n"/>
      <c r="T69" s="69" t="n"/>
      <c r="U69" s="69" t="n"/>
      <c r="V69" s="69" t="n"/>
      <c r="W69" s="69" t="n"/>
      <c r="X69" s="69" t="n"/>
      <c r="Y69" s="69" t="n"/>
      <c r="Z69" s="69" t="n"/>
    </row>
    <row r="70" ht="15.75" customHeight="1" s="673">
      <c r="A70" s="69" t="n"/>
      <c r="B70" s="75" t="n"/>
      <c r="C70" s="75" t="n"/>
      <c r="D70" s="75" t="n"/>
      <c r="E70" s="75" t="n"/>
      <c r="F70" s="75" t="n"/>
      <c r="G70" s="75" t="n"/>
      <c r="H70" s="129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69" t="n"/>
      <c r="T70" s="69" t="n"/>
      <c r="U70" s="69" t="n"/>
      <c r="V70" s="69" t="n"/>
      <c r="W70" s="69" t="n"/>
      <c r="X70" s="69" t="n"/>
      <c r="Y70" s="69" t="n"/>
      <c r="Z70" s="69" t="n"/>
    </row>
    <row r="71" ht="15.75" customHeight="1" s="673">
      <c r="A71" s="69" t="n"/>
      <c r="B71" s="75" t="n"/>
      <c r="C71" s="75" t="n"/>
      <c r="D71" s="75" t="n"/>
      <c r="E71" s="75" t="n"/>
      <c r="F71" s="75" t="n"/>
      <c r="G71" s="75" t="n"/>
      <c r="H71" s="129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69" t="n"/>
      <c r="T71" s="69" t="n"/>
      <c r="U71" s="69" t="n"/>
      <c r="V71" s="69" t="n"/>
      <c r="W71" s="69" t="n"/>
      <c r="X71" s="69" t="n"/>
      <c r="Y71" s="69" t="n"/>
      <c r="Z71" s="69" t="n"/>
    </row>
    <row r="72" ht="15.75" customHeight="1" s="673">
      <c r="A72" s="69" t="n"/>
      <c r="B72" s="75" t="n"/>
      <c r="C72" s="75" t="n"/>
      <c r="D72" s="75" t="n"/>
      <c r="E72" s="75" t="n"/>
      <c r="F72" s="75" t="n"/>
      <c r="G72" s="75" t="n"/>
      <c r="H72" s="129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69" t="n"/>
      <c r="T72" s="69" t="n"/>
      <c r="U72" s="69" t="n"/>
      <c r="V72" s="69" t="n"/>
      <c r="W72" s="69" t="n"/>
      <c r="X72" s="69" t="n"/>
      <c r="Y72" s="69" t="n"/>
      <c r="Z72" s="69" t="n"/>
    </row>
    <row r="73" ht="15.75" customHeight="1" s="673">
      <c r="A73" s="69" t="n"/>
      <c r="B73" s="75" t="n"/>
      <c r="C73" s="75" t="n"/>
      <c r="D73" s="75" t="n"/>
      <c r="E73" s="75" t="n"/>
      <c r="F73" s="75" t="n"/>
      <c r="G73" s="75" t="n"/>
      <c r="H73" s="129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69" t="n"/>
      <c r="T73" s="69" t="n"/>
      <c r="U73" s="69" t="n"/>
      <c r="V73" s="69" t="n"/>
      <c r="W73" s="69" t="n"/>
      <c r="X73" s="69" t="n"/>
      <c r="Y73" s="69" t="n"/>
      <c r="Z73" s="69" t="n"/>
    </row>
    <row r="74" ht="15.75" customHeight="1" s="673">
      <c r="A74" s="69" t="n"/>
      <c r="B74" s="75" t="n"/>
      <c r="C74" s="75" t="n"/>
      <c r="D74" s="75" t="n"/>
      <c r="E74" s="75" t="n"/>
      <c r="F74" s="75" t="n"/>
      <c r="G74" s="75" t="n"/>
      <c r="H74" s="129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69" t="n"/>
      <c r="T74" s="69" t="n"/>
      <c r="U74" s="69" t="n"/>
      <c r="V74" s="69" t="n"/>
      <c r="W74" s="69" t="n"/>
      <c r="X74" s="69" t="n"/>
      <c r="Y74" s="69" t="n"/>
      <c r="Z74" s="69" t="n"/>
    </row>
    <row r="75" ht="15.75" customHeight="1" s="673">
      <c r="A75" s="69" t="n"/>
      <c r="B75" s="75" t="n"/>
      <c r="C75" s="75" t="n"/>
      <c r="D75" s="75" t="n"/>
      <c r="E75" s="75" t="n"/>
      <c r="F75" s="75" t="n"/>
      <c r="G75" s="75" t="n"/>
      <c r="H75" s="129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69" t="n"/>
      <c r="T75" s="69" t="n"/>
      <c r="U75" s="69" t="n"/>
      <c r="V75" s="69" t="n"/>
      <c r="W75" s="69" t="n"/>
      <c r="X75" s="69" t="n"/>
      <c r="Y75" s="69" t="n"/>
      <c r="Z75" s="69" t="n"/>
    </row>
    <row r="76" ht="15.75" customHeight="1" s="673">
      <c r="A76" s="69" t="n"/>
      <c r="B76" s="75" t="n"/>
      <c r="C76" s="75" t="n"/>
      <c r="D76" s="75" t="n"/>
      <c r="E76" s="75" t="n"/>
      <c r="F76" s="75" t="n"/>
      <c r="G76" s="75" t="n"/>
      <c r="H76" s="129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69" t="n"/>
      <c r="T76" s="69" t="n"/>
      <c r="U76" s="69" t="n"/>
      <c r="V76" s="69" t="n"/>
      <c r="W76" s="69" t="n"/>
      <c r="X76" s="69" t="n"/>
      <c r="Y76" s="69" t="n"/>
      <c r="Z76" s="69" t="n"/>
    </row>
    <row r="77" ht="15.75" customHeight="1" s="673">
      <c r="A77" s="69" t="n"/>
      <c r="B77" s="75" t="n"/>
      <c r="C77" s="75" t="n"/>
      <c r="D77" s="75" t="n"/>
      <c r="E77" s="75" t="n"/>
      <c r="F77" s="75" t="n"/>
      <c r="G77" s="75" t="n"/>
      <c r="H77" s="129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69" t="n"/>
      <c r="T77" s="69" t="n"/>
      <c r="U77" s="69" t="n"/>
      <c r="V77" s="69" t="n"/>
      <c r="W77" s="69" t="n"/>
      <c r="X77" s="69" t="n"/>
      <c r="Y77" s="69" t="n"/>
      <c r="Z77" s="69" t="n"/>
    </row>
    <row r="78" ht="15.75" customHeight="1" s="673">
      <c r="A78" s="69" t="n"/>
      <c r="B78" s="129" t="n"/>
      <c r="C78" s="129" t="n"/>
      <c r="D78" s="129" t="n"/>
      <c r="E78" s="129" t="n"/>
      <c r="F78" s="129" t="n"/>
      <c r="G78" s="75" t="n"/>
      <c r="H78" s="129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69" t="n"/>
      <c r="T78" s="69" t="n"/>
      <c r="U78" s="69" t="n"/>
      <c r="V78" s="69" t="n"/>
      <c r="W78" s="69" t="n"/>
      <c r="X78" s="69" t="n"/>
      <c r="Y78" s="69" t="n"/>
      <c r="Z78" s="69" t="n"/>
    </row>
    <row r="79" ht="15.75" customHeight="1" s="673">
      <c r="A79" s="69" t="n"/>
      <c r="B79" s="129" t="n"/>
      <c r="C79" s="129" t="n"/>
      <c r="D79" s="129" t="n"/>
      <c r="E79" s="129" t="n"/>
      <c r="F79" s="129" t="n"/>
      <c r="G79" s="75" t="n"/>
      <c r="H79" s="129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69" t="n"/>
      <c r="T79" s="69" t="n"/>
      <c r="U79" s="69" t="n"/>
      <c r="V79" s="69" t="n"/>
      <c r="W79" s="69" t="n"/>
      <c r="X79" s="69" t="n"/>
      <c r="Y79" s="69" t="n"/>
      <c r="Z79" s="69" t="n"/>
    </row>
    <row r="80" ht="15.75" customHeight="1" s="673">
      <c r="A80" s="69" t="n"/>
      <c r="B80" s="129" t="n"/>
      <c r="C80" s="129" t="n"/>
      <c r="D80" s="129" t="n"/>
      <c r="E80" s="129" t="n"/>
      <c r="F80" s="129" t="n"/>
      <c r="G80" s="75" t="n"/>
      <c r="H80" s="129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69" t="n"/>
      <c r="T80" s="69" t="n"/>
      <c r="U80" s="69" t="n"/>
      <c r="V80" s="69" t="n"/>
      <c r="W80" s="69" t="n"/>
      <c r="X80" s="69" t="n"/>
      <c r="Y80" s="69" t="n"/>
      <c r="Z80" s="69" t="n"/>
    </row>
    <row r="81" ht="15.75" customHeight="1" s="673">
      <c r="A81" s="69" t="n"/>
      <c r="B81" s="129" t="n"/>
      <c r="C81" s="129" t="n"/>
      <c r="D81" s="129" t="n"/>
      <c r="E81" s="129" t="n"/>
      <c r="F81" s="129" t="n"/>
      <c r="G81" s="75" t="n"/>
      <c r="H81" s="129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69" t="n"/>
      <c r="T81" s="69" t="n"/>
      <c r="U81" s="69" t="n"/>
      <c r="V81" s="69" t="n"/>
      <c r="W81" s="69" t="n"/>
      <c r="X81" s="69" t="n"/>
      <c r="Y81" s="69" t="n"/>
      <c r="Z81" s="69" t="n"/>
    </row>
    <row r="82" ht="15.75" customHeight="1" s="673">
      <c r="A82" s="69" t="n"/>
      <c r="B82" s="129" t="n"/>
      <c r="C82" s="129" t="n"/>
      <c r="D82" s="129" t="n"/>
      <c r="E82" s="129" t="n"/>
      <c r="F82" s="129" t="n"/>
      <c r="G82" s="75" t="n"/>
      <c r="H82" s="130" t="n"/>
      <c r="I82" s="69" t="n"/>
      <c r="J82" s="69" t="n"/>
      <c r="K82" s="69" t="n"/>
      <c r="L82" s="69" t="n"/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  <c r="Z82" s="69" t="n"/>
    </row>
    <row r="83" ht="15.75" customHeight="1" s="673">
      <c r="A83" s="69" t="n"/>
      <c r="B83" s="129" t="n"/>
      <c r="C83" s="129" t="n"/>
      <c r="D83" s="129" t="n"/>
      <c r="E83" s="129" t="n"/>
      <c r="F83" s="129" t="n"/>
      <c r="G83" s="75" t="n"/>
      <c r="H83" s="130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  <c r="Z83" s="69" t="n"/>
    </row>
    <row r="84" ht="15.75" customHeight="1" s="673">
      <c r="A84" s="69" t="n"/>
      <c r="B84" s="129" t="n"/>
      <c r="C84" s="129" t="n"/>
      <c r="D84" s="129" t="n"/>
      <c r="E84" s="129" t="n"/>
      <c r="F84" s="129" t="n"/>
      <c r="G84" s="75" t="n"/>
      <c r="H84" s="130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</row>
    <row r="85" ht="15.75" customHeight="1" s="673">
      <c r="A85" s="69" t="n"/>
      <c r="B85" s="129" t="n"/>
      <c r="C85" s="129" t="n"/>
      <c r="D85" s="129" t="n"/>
      <c r="E85" s="129" t="n"/>
      <c r="F85" s="129" t="n"/>
      <c r="G85" s="129" t="n"/>
      <c r="H85" s="130" t="n"/>
      <c r="I85" s="69" t="n"/>
      <c r="J85" s="69" t="n"/>
      <c r="K85" s="6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</row>
    <row r="86" ht="15.75" customHeight="1" s="673">
      <c r="A86" s="69" t="n"/>
      <c r="B86" s="130" t="n"/>
      <c r="C86" s="130" t="n"/>
      <c r="D86" s="130" t="n"/>
      <c r="E86" s="130" t="n"/>
      <c r="F86" s="130" t="n"/>
      <c r="G86" s="129" t="n"/>
      <c r="H86" s="130" t="n"/>
      <c r="I86" s="6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  <c r="Z86" s="69" t="n"/>
    </row>
    <row r="87" ht="15.75" customHeight="1" s="673">
      <c r="A87" s="69" t="n"/>
      <c r="B87" s="130" t="n"/>
      <c r="C87" s="130" t="n"/>
      <c r="D87" s="130" t="n"/>
      <c r="E87" s="130" t="n"/>
      <c r="F87" s="130" t="n"/>
      <c r="G87" s="129" t="n"/>
      <c r="H87" s="130" t="n"/>
      <c r="I87" s="69" t="n"/>
      <c r="J87" s="69" t="n"/>
      <c r="K87" s="69" t="n"/>
      <c r="L87" s="69" t="n"/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  <c r="Z87" s="69" t="n"/>
    </row>
    <row r="88" ht="15.75" customHeight="1" s="673">
      <c r="A88" s="69" t="n"/>
      <c r="B88" s="130" t="n"/>
      <c r="C88" s="130" t="n"/>
      <c r="D88" s="130" t="n"/>
      <c r="E88" s="130" t="n"/>
      <c r="F88" s="130" t="n"/>
      <c r="G88" s="129" t="n"/>
      <c r="H88" s="130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</row>
    <row r="89" ht="15.75" customHeight="1" s="673">
      <c r="A89" s="69" t="n"/>
      <c r="B89" s="130" t="n"/>
      <c r="C89" s="130" t="n"/>
      <c r="D89" s="130" t="n"/>
      <c r="E89" s="130" t="n"/>
      <c r="F89" s="130" t="n"/>
      <c r="G89" s="129" t="n"/>
      <c r="H89" s="130" t="n"/>
      <c r="I89" s="69" t="n"/>
      <c r="J89" s="69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</row>
    <row r="90" ht="15.75" customHeight="1" s="673">
      <c r="A90" s="69" t="n"/>
      <c r="B90" s="130" t="n"/>
      <c r="C90" s="130" t="n"/>
      <c r="D90" s="130" t="n"/>
      <c r="E90" s="130" t="n"/>
      <c r="F90" s="130" t="n"/>
      <c r="G90" s="129" t="n"/>
      <c r="H90" s="130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</row>
    <row r="91" ht="15.75" customHeight="1" s="673">
      <c r="A91" s="69" t="n"/>
      <c r="B91" s="130" t="n"/>
      <c r="C91" s="130" t="n"/>
      <c r="D91" s="130" t="n"/>
      <c r="E91" s="130" t="n"/>
      <c r="F91" s="130" t="n"/>
      <c r="G91" s="129" t="n"/>
      <c r="H91" s="131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  <c r="Z91" s="69" t="n"/>
    </row>
    <row r="92" ht="15.75" customHeight="1" s="673">
      <c r="A92" s="69" t="n"/>
      <c r="B92" s="130" t="n"/>
      <c r="C92" s="130" t="n"/>
      <c r="D92" s="130" t="n"/>
      <c r="E92" s="130" t="n"/>
      <c r="F92" s="130" t="n"/>
      <c r="G92" s="129" t="n"/>
      <c r="H92" s="131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</row>
    <row r="93" ht="15.75" customHeight="1" s="673">
      <c r="A93" s="69" t="n"/>
      <c r="B93" s="130" t="n"/>
      <c r="C93" s="130" t="n"/>
      <c r="D93" s="130" t="n"/>
      <c r="E93" s="130" t="n"/>
      <c r="F93" s="130" t="n"/>
      <c r="G93" s="130" t="n"/>
      <c r="H93" s="131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</row>
    <row r="94" ht="15.75" customHeight="1" s="673">
      <c r="A94" s="69" t="n"/>
      <c r="B94" s="130" t="n"/>
      <c r="C94" s="130" t="n"/>
      <c r="D94" s="130" t="n"/>
      <c r="E94" s="130" t="n"/>
      <c r="F94" s="130" t="n"/>
      <c r="G94" s="130" t="n"/>
      <c r="H94" s="131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</row>
    <row r="95" ht="15.75" customHeight="1" s="673">
      <c r="A95" s="69" t="n"/>
      <c r="B95" s="131" t="n"/>
      <c r="C95" s="131" t="n"/>
      <c r="D95" s="131" t="n"/>
      <c r="E95" s="131" t="n"/>
      <c r="F95" s="131" t="n"/>
      <c r="G95" s="130" t="n"/>
      <c r="H95" s="131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</row>
    <row r="96" ht="15.75" customHeight="1" s="673">
      <c r="A96" s="69" t="n"/>
      <c r="B96" s="131" t="n"/>
      <c r="C96" s="131" t="n"/>
      <c r="D96" s="131" t="n"/>
      <c r="E96" s="131" t="n"/>
      <c r="F96" s="131" t="n"/>
      <c r="G96" s="130" t="n"/>
      <c r="H96" s="131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</row>
    <row r="97" ht="15.75" customHeight="1" s="673">
      <c r="A97" s="69" t="n"/>
      <c r="B97" s="131" t="n"/>
      <c r="C97" s="131" t="n"/>
      <c r="D97" s="131" t="n"/>
      <c r="E97" s="131" t="n"/>
      <c r="F97" s="131" t="n"/>
      <c r="G97" s="130" t="n"/>
      <c r="H97" s="131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</row>
    <row r="98" ht="15.75" customHeight="1" s="673">
      <c r="A98" s="69" t="n"/>
      <c r="B98" s="131" t="n"/>
      <c r="C98" s="131" t="n"/>
      <c r="D98" s="131" t="n"/>
      <c r="E98" s="131" t="n"/>
      <c r="F98" s="131" t="n"/>
      <c r="G98" s="130" t="n"/>
      <c r="H98" s="131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</row>
    <row r="99" ht="15.75" customHeight="1" s="673">
      <c r="A99" s="69" t="n"/>
      <c r="B99" s="131" t="n"/>
      <c r="C99" s="131" t="n"/>
      <c r="D99" s="131" t="n"/>
      <c r="E99" s="131" t="n"/>
      <c r="F99" s="131" t="n"/>
      <c r="G99" s="130" t="n"/>
      <c r="H99" s="131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</row>
    <row r="100" ht="15.75" customHeight="1" s="673">
      <c r="A100" s="69" t="n"/>
      <c r="B100" s="131" t="n"/>
      <c r="C100" s="131" t="n"/>
      <c r="D100" s="131" t="n"/>
      <c r="E100" s="131" t="n"/>
      <c r="F100" s="131" t="n"/>
      <c r="G100" s="130" t="n"/>
      <c r="H100" s="131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</row>
    <row r="101" ht="15.75" customHeight="1" s="673">
      <c r="A101" s="69" t="n"/>
      <c r="B101" s="131" t="n"/>
      <c r="C101" s="131" t="n"/>
      <c r="D101" s="131" t="n"/>
      <c r="E101" s="131" t="n"/>
      <c r="F101" s="131" t="n"/>
      <c r="G101" s="130" t="n"/>
      <c r="H101" s="131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</row>
    <row r="102" ht="15.75" customHeight="1" s="673">
      <c r="A102" s="69" t="n"/>
      <c r="B102" s="131" t="n"/>
      <c r="C102" s="131" t="n"/>
      <c r="D102" s="131" t="n"/>
      <c r="E102" s="131" t="n"/>
      <c r="F102" s="131" t="n"/>
      <c r="G102" s="131" t="n"/>
      <c r="H102" s="131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</row>
    <row r="103" ht="15.75" customHeight="1" s="673">
      <c r="A103" s="69" t="n"/>
      <c r="B103" s="131" t="n"/>
      <c r="C103" s="131" t="n"/>
      <c r="D103" s="131" t="n"/>
      <c r="E103" s="131" t="n"/>
      <c r="F103" s="131" t="n"/>
      <c r="G103" s="131" t="n"/>
      <c r="H103" s="131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69" t="n"/>
    </row>
    <row r="104" ht="15.75" customHeight="1" s="673">
      <c r="A104" s="69" t="n"/>
      <c r="B104" s="131" t="n"/>
      <c r="C104" s="131" t="n"/>
      <c r="D104" s="131" t="n"/>
      <c r="E104" s="131" t="n"/>
      <c r="F104" s="131" t="n"/>
      <c r="G104" s="131" t="n"/>
      <c r="H104" s="131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</row>
    <row r="105" ht="15.75" customHeight="1" s="673">
      <c r="A105" s="69" t="n"/>
      <c r="B105" s="131" t="n"/>
      <c r="C105" s="131" t="n"/>
      <c r="D105" s="131" t="n"/>
      <c r="E105" s="131" t="n"/>
      <c r="F105" s="131" t="n"/>
      <c r="G105" s="131" t="n"/>
      <c r="H105" s="131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</row>
    <row r="106" ht="15.75" customHeight="1" s="673">
      <c r="A106" s="69" t="n"/>
      <c r="B106" s="131" t="n"/>
      <c r="C106" s="131" t="n"/>
      <c r="D106" s="131" t="n"/>
      <c r="E106" s="131" t="n"/>
      <c r="F106" s="131" t="n"/>
      <c r="G106" s="131" t="n"/>
      <c r="H106" s="131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</row>
    <row r="107" ht="15.75" customHeight="1" s="673">
      <c r="A107" s="69" t="n"/>
      <c r="B107" s="131" t="n"/>
      <c r="C107" s="131" t="n"/>
      <c r="D107" s="131" t="n"/>
      <c r="E107" s="131" t="n"/>
      <c r="F107" s="131" t="n"/>
      <c r="G107" s="131" t="n"/>
      <c r="H107" s="131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  <c r="Z107" s="69" t="n"/>
    </row>
    <row r="108" ht="15.75" customHeight="1" s="673">
      <c r="A108" s="69" t="n"/>
      <c r="B108" s="131" t="n"/>
      <c r="C108" s="131" t="n"/>
      <c r="D108" s="131" t="n"/>
      <c r="E108" s="131" t="n"/>
      <c r="F108" s="131" t="n"/>
      <c r="G108" s="131" t="n"/>
      <c r="H108" s="131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</row>
    <row r="109" ht="15.75" customHeight="1" s="673">
      <c r="A109" s="69" t="n"/>
      <c r="B109" s="131" t="n"/>
      <c r="C109" s="131" t="n"/>
      <c r="D109" s="131" t="n"/>
      <c r="E109" s="131" t="n"/>
      <c r="F109" s="131" t="n"/>
      <c r="G109" s="131" t="n"/>
      <c r="H109" s="131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</row>
    <row r="110" ht="15.75" customHeight="1" s="673">
      <c r="A110" s="69" t="n"/>
      <c r="B110" s="131" t="n"/>
      <c r="C110" s="131" t="n"/>
      <c r="D110" s="131" t="n"/>
      <c r="E110" s="131" t="n"/>
      <c r="F110" s="131" t="n"/>
      <c r="G110" s="131" t="n"/>
      <c r="H110" s="131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</row>
    <row r="111" ht="15.75" customHeight="1" s="673">
      <c r="A111" s="69" t="n"/>
      <c r="B111" s="131" t="n"/>
      <c r="C111" s="131" t="n"/>
      <c r="D111" s="131" t="n"/>
      <c r="E111" s="131" t="n"/>
      <c r="F111" s="131" t="n"/>
      <c r="G111" s="131" t="n"/>
      <c r="H111" s="131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</row>
    <row r="112" ht="15.75" customHeight="1" s="673">
      <c r="A112" s="69" t="n"/>
      <c r="B112" s="131" t="n"/>
      <c r="C112" s="131" t="n"/>
      <c r="D112" s="131" t="n"/>
      <c r="E112" s="131" t="n"/>
      <c r="F112" s="131" t="n"/>
      <c r="G112" s="131" t="n"/>
      <c r="H112" s="131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</row>
    <row r="113" ht="15.75" customHeight="1" s="673">
      <c r="A113" s="69" t="n"/>
      <c r="B113" s="131" t="n"/>
      <c r="C113" s="131" t="n"/>
      <c r="D113" s="131" t="n"/>
      <c r="E113" s="131" t="n"/>
      <c r="F113" s="131" t="n"/>
      <c r="G113" s="131" t="n"/>
      <c r="H113" s="131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</row>
    <row r="114" ht="15.75" customHeight="1" s="673">
      <c r="A114" s="69" t="n"/>
      <c r="B114" s="131" t="n"/>
      <c r="C114" s="131" t="n"/>
      <c r="D114" s="131" t="n"/>
      <c r="E114" s="131" t="n"/>
      <c r="F114" s="131" t="n"/>
      <c r="G114" s="131" t="n"/>
      <c r="H114" s="131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</row>
    <row r="115" ht="15.75" customHeight="1" s="673">
      <c r="A115" s="69" t="n"/>
      <c r="B115" s="131" t="n"/>
      <c r="C115" s="131" t="n"/>
      <c r="D115" s="131" t="n"/>
      <c r="E115" s="131" t="n"/>
      <c r="F115" s="131" t="n"/>
      <c r="G115" s="131" t="n"/>
      <c r="H115" s="131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  <c r="Z115" s="69" t="n"/>
    </row>
    <row r="116" ht="15.75" customHeight="1" s="673">
      <c r="A116" s="69" t="n"/>
      <c r="B116" s="131" t="n"/>
      <c r="C116" s="131" t="n"/>
      <c r="D116" s="131" t="n"/>
      <c r="E116" s="131" t="n"/>
      <c r="F116" s="131" t="n"/>
      <c r="G116" s="131" t="n"/>
      <c r="H116" s="131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</row>
    <row r="117" ht="15.75" customHeight="1" s="673">
      <c r="A117" s="69" t="n"/>
      <c r="B117" s="131" t="n"/>
      <c r="C117" s="131" t="n"/>
      <c r="D117" s="131" t="n"/>
      <c r="E117" s="131" t="n"/>
      <c r="F117" s="131" t="n"/>
      <c r="G117" s="131" t="n"/>
      <c r="H117" s="131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</row>
    <row r="118" ht="15.75" customHeight="1" s="673">
      <c r="A118" s="69" t="n"/>
      <c r="B118" s="131" t="n"/>
      <c r="C118" s="131" t="n"/>
      <c r="D118" s="131" t="n"/>
      <c r="E118" s="131" t="n"/>
      <c r="F118" s="131" t="n"/>
      <c r="G118" s="131" t="n"/>
      <c r="H118" s="131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</row>
    <row r="119" ht="15.75" customHeight="1" s="673">
      <c r="A119" s="69" t="n"/>
      <c r="B119" s="131" t="n"/>
      <c r="C119" s="131" t="n"/>
      <c r="D119" s="131" t="n"/>
      <c r="E119" s="131" t="n"/>
      <c r="F119" s="131" t="n"/>
      <c r="G119" s="131" t="n"/>
      <c r="H119" s="131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</row>
    <row r="120" ht="15.75" customHeight="1" s="673">
      <c r="A120" s="69" t="n"/>
      <c r="B120" s="131" t="n"/>
      <c r="C120" s="131" t="n"/>
      <c r="D120" s="131" t="n"/>
      <c r="E120" s="131" t="n"/>
      <c r="F120" s="131" t="n"/>
      <c r="G120" s="131" t="n"/>
      <c r="H120" s="131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</row>
    <row r="121" ht="15.75" customHeight="1" s="673">
      <c r="A121" s="69" t="n"/>
      <c r="B121" s="131" t="n"/>
      <c r="C121" s="131" t="n"/>
      <c r="D121" s="131" t="n"/>
      <c r="E121" s="131" t="n"/>
      <c r="F121" s="131" t="n"/>
      <c r="G121" s="131" t="n"/>
      <c r="H121" s="131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</row>
    <row r="122" ht="15.75" customHeight="1" s="673">
      <c r="A122" s="69" t="n"/>
      <c r="B122" s="131" t="n"/>
      <c r="C122" s="131" t="n"/>
      <c r="D122" s="131" t="n"/>
      <c r="E122" s="131" t="n"/>
      <c r="F122" s="131" t="n"/>
      <c r="G122" s="131" t="n"/>
      <c r="H122" s="131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</row>
    <row r="123" ht="15.75" customHeight="1" s="673">
      <c r="A123" s="69" t="n"/>
      <c r="B123" s="131" t="n"/>
      <c r="C123" s="131" t="n"/>
      <c r="D123" s="131" t="n"/>
      <c r="E123" s="131" t="n"/>
      <c r="F123" s="131" t="n"/>
      <c r="G123" s="131" t="n"/>
      <c r="H123" s="131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</row>
    <row r="124" ht="15.75" customHeight="1" s="673">
      <c r="A124" s="69" t="n"/>
      <c r="B124" s="131" t="n"/>
      <c r="C124" s="131" t="n"/>
      <c r="D124" s="131" t="n"/>
      <c r="E124" s="131" t="n"/>
      <c r="F124" s="131" t="n"/>
      <c r="G124" s="131" t="n"/>
      <c r="H124" s="131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</row>
    <row r="125" ht="15.75" customHeight="1" s="673">
      <c r="A125" s="69" t="n"/>
      <c r="B125" s="131" t="n"/>
      <c r="C125" s="131" t="n"/>
      <c r="D125" s="131" t="n"/>
      <c r="E125" s="131" t="n"/>
      <c r="F125" s="131" t="n"/>
      <c r="G125" s="131" t="n"/>
      <c r="H125" s="131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</row>
    <row r="126" ht="15.75" customHeight="1" s="673">
      <c r="A126" s="69" t="n"/>
      <c r="B126" s="131" t="n"/>
      <c r="C126" s="131" t="n"/>
      <c r="D126" s="131" t="n"/>
      <c r="E126" s="131" t="n"/>
      <c r="F126" s="131" t="n"/>
      <c r="G126" s="131" t="n"/>
      <c r="H126" s="131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</row>
    <row r="127" ht="15.75" customHeight="1" s="673">
      <c r="A127" s="69" t="n"/>
      <c r="B127" s="131" t="n"/>
      <c r="C127" s="131" t="n"/>
      <c r="D127" s="131" t="n"/>
      <c r="E127" s="131" t="n"/>
      <c r="F127" s="131" t="n"/>
      <c r="G127" s="131" t="n"/>
      <c r="H127" s="131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</row>
    <row r="128" ht="15.75" customHeight="1" s="673">
      <c r="A128" s="69" t="n"/>
      <c r="B128" s="131" t="n"/>
      <c r="C128" s="131" t="n"/>
      <c r="D128" s="131" t="n"/>
      <c r="E128" s="131" t="n"/>
      <c r="F128" s="131" t="n"/>
      <c r="G128" s="131" t="n"/>
      <c r="H128" s="131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</row>
    <row r="129" ht="15.75" customHeight="1" s="673">
      <c r="A129" s="69" t="n"/>
      <c r="B129" s="131" t="n"/>
      <c r="C129" s="131" t="n"/>
      <c r="D129" s="131" t="n"/>
      <c r="E129" s="131" t="n"/>
      <c r="F129" s="131" t="n"/>
      <c r="G129" s="131" t="n"/>
      <c r="H129" s="131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</row>
    <row r="130" ht="15.75" customHeight="1" s="673">
      <c r="A130" s="69" t="n"/>
      <c r="B130" s="131" t="n"/>
      <c r="C130" s="131" t="n"/>
      <c r="D130" s="131" t="n"/>
      <c r="E130" s="131" t="n"/>
      <c r="F130" s="131" t="n"/>
      <c r="G130" s="131" t="n"/>
      <c r="H130" s="131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</row>
    <row r="131" ht="15.75" customHeight="1" s="673">
      <c r="A131" s="69" t="n"/>
      <c r="B131" s="131" t="n"/>
      <c r="C131" s="131" t="n"/>
      <c r="D131" s="131" t="n"/>
      <c r="E131" s="131" t="n"/>
      <c r="F131" s="131" t="n"/>
      <c r="G131" s="131" t="n"/>
      <c r="H131" s="131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</row>
    <row r="132" ht="15.75" customHeight="1" s="673">
      <c r="A132" s="69" t="n"/>
      <c r="B132" s="131" t="n"/>
      <c r="C132" s="131" t="n"/>
      <c r="D132" s="131" t="n"/>
      <c r="E132" s="131" t="n"/>
      <c r="F132" s="131" t="n"/>
      <c r="G132" s="131" t="n"/>
      <c r="H132" s="131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</row>
    <row r="133" ht="15.75" customHeight="1" s="673">
      <c r="A133" s="69" t="n"/>
      <c r="B133" s="131" t="n"/>
      <c r="C133" s="131" t="n"/>
      <c r="D133" s="131" t="n"/>
      <c r="E133" s="131" t="n"/>
      <c r="F133" s="131" t="n"/>
      <c r="G133" s="131" t="n"/>
      <c r="H133" s="131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</row>
    <row r="134" ht="15.75" customHeight="1" s="673">
      <c r="A134" s="69" t="n"/>
      <c r="B134" s="131" t="n"/>
      <c r="C134" s="131" t="n"/>
      <c r="D134" s="131" t="n"/>
      <c r="E134" s="131" t="n"/>
      <c r="F134" s="131" t="n"/>
      <c r="G134" s="131" t="n"/>
      <c r="H134" s="131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</row>
    <row r="135" ht="15.75" customHeight="1" s="673">
      <c r="A135" s="69" t="n"/>
      <c r="B135" s="131" t="n"/>
      <c r="C135" s="131" t="n"/>
      <c r="D135" s="131" t="n"/>
      <c r="E135" s="131" t="n"/>
      <c r="F135" s="131" t="n"/>
      <c r="G135" s="131" t="n"/>
      <c r="H135" s="131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  <c r="Z135" s="69" t="n"/>
    </row>
    <row r="136" ht="15.75" customHeight="1" s="673">
      <c r="A136" s="69" t="n"/>
      <c r="B136" s="131" t="n"/>
      <c r="C136" s="131" t="n"/>
      <c r="D136" s="131" t="n"/>
      <c r="E136" s="131" t="n"/>
      <c r="F136" s="131" t="n"/>
      <c r="G136" s="131" t="n"/>
      <c r="H136" s="131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</row>
    <row r="137" ht="15.75" customHeight="1" s="673">
      <c r="A137" s="69" t="n"/>
      <c r="B137" s="131" t="n"/>
      <c r="C137" s="131" t="n"/>
      <c r="D137" s="131" t="n"/>
      <c r="E137" s="131" t="n"/>
      <c r="F137" s="131" t="n"/>
      <c r="G137" s="131" t="n"/>
      <c r="H137" s="131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</row>
    <row r="138" ht="15.75" customHeight="1" s="673">
      <c r="A138" s="69" t="n"/>
      <c r="B138" s="131" t="n"/>
      <c r="C138" s="131" t="n"/>
      <c r="D138" s="131" t="n"/>
      <c r="E138" s="131" t="n"/>
      <c r="F138" s="131" t="n"/>
      <c r="G138" s="131" t="n"/>
      <c r="H138" s="131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</row>
    <row r="139" ht="15.75" customHeight="1" s="673">
      <c r="A139" s="69" t="n"/>
      <c r="B139" s="131" t="n"/>
      <c r="C139" s="131" t="n"/>
      <c r="D139" s="131" t="n"/>
      <c r="E139" s="131" t="n"/>
      <c r="F139" s="131" t="n"/>
      <c r="G139" s="131" t="n"/>
      <c r="H139" s="131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</row>
    <row r="140" ht="15.75" customHeight="1" s="673">
      <c r="A140" s="69" t="n"/>
      <c r="B140" s="131" t="n"/>
      <c r="C140" s="131" t="n"/>
      <c r="D140" s="131" t="n"/>
      <c r="E140" s="131" t="n"/>
      <c r="F140" s="131" t="n"/>
      <c r="G140" s="131" t="n"/>
      <c r="H140" s="131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</row>
    <row r="141" ht="15.75" customHeight="1" s="673">
      <c r="A141" s="69" t="n"/>
      <c r="B141" s="131" t="n"/>
      <c r="C141" s="131" t="n"/>
      <c r="D141" s="131" t="n"/>
      <c r="E141" s="131" t="n"/>
      <c r="F141" s="131" t="n"/>
      <c r="G141" s="131" t="n"/>
      <c r="H141" s="131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</row>
    <row r="142" ht="15.75" customHeight="1" s="673">
      <c r="A142" s="69" t="n"/>
      <c r="B142" s="131" t="n"/>
      <c r="C142" s="131" t="n"/>
      <c r="D142" s="131" t="n"/>
      <c r="E142" s="131" t="n"/>
      <c r="F142" s="131" t="n"/>
      <c r="G142" s="131" t="n"/>
      <c r="H142" s="131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</row>
    <row r="143" ht="15.75" customHeight="1" s="673">
      <c r="A143" s="69" t="n"/>
      <c r="B143" s="131" t="n"/>
      <c r="C143" s="131" t="n"/>
      <c r="D143" s="131" t="n"/>
      <c r="E143" s="131" t="n"/>
      <c r="F143" s="131" t="n"/>
      <c r="G143" s="131" t="n"/>
      <c r="H143" s="131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</row>
    <row r="144" ht="15.75" customHeight="1" s="673">
      <c r="A144" s="69" t="n"/>
      <c r="B144" s="131" t="n"/>
      <c r="C144" s="131" t="n"/>
      <c r="D144" s="131" t="n"/>
      <c r="E144" s="131" t="n"/>
      <c r="F144" s="131" t="n"/>
      <c r="G144" s="131" t="n"/>
      <c r="H144" s="131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</row>
    <row r="145" ht="15.75" customHeight="1" s="673">
      <c r="A145" s="69" t="n"/>
      <c r="B145" s="131" t="n"/>
      <c r="C145" s="131" t="n"/>
      <c r="D145" s="131" t="n"/>
      <c r="E145" s="131" t="n"/>
      <c r="F145" s="131" t="n"/>
      <c r="G145" s="131" t="n"/>
      <c r="H145" s="131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</row>
    <row r="146" ht="15.75" customHeight="1" s="673">
      <c r="A146" s="69" t="n"/>
      <c r="B146" s="131" t="n"/>
      <c r="C146" s="131" t="n"/>
      <c r="D146" s="131" t="n"/>
      <c r="E146" s="131" t="n"/>
      <c r="F146" s="131" t="n"/>
      <c r="G146" s="131" t="n"/>
      <c r="H146" s="131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</row>
    <row r="147" ht="15.75" customHeight="1" s="673">
      <c r="A147" s="69" t="n"/>
      <c r="B147" s="131" t="n"/>
      <c r="C147" s="131" t="n"/>
      <c r="D147" s="131" t="n"/>
      <c r="E147" s="131" t="n"/>
      <c r="F147" s="131" t="n"/>
      <c r="G147" s="131" t="n"/>
      <c r="H147" s="131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</row>
    <row r="148" ht="15.75" customHeight="1" s="673">
      <c r="A148" s="69" t="n"/>
      <c r="B148" s="131" t="n"/>
      <c r="C148" s="131" t="n"/>
      <c r="D148" s="131" t="n"/>
      <c r="E148" s="131" t="n"/>
      <c r="F148" s="131" t="n"/>
      <c r="G148" s="131" t="n"/>
      <c r="H148" s="131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</row>
    <row r="149" ht="15.75" customHeight="1" s="673">
      <c r="A149" s="69" t="n"/>
      <c r="B149" s="131" t="n"/>
      <c r="C149" s="131" t="n"/>
      <c r="D149" s="131" t="n"/>
      <c r="E149" s="131" t="n"/>
      <c r="F149" s="131" t="n"/>
      <c r="G149" s="131" t="n"/>
      <c r="H149" s="131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</row>
    <row r="150" ht="15.75" customHeight="1" s="673">
      <c r="A150" s="69" t="n"/>
      <c r="B150" s="131" t="n"/>
      <c r="C150" s="131" t="n"/>
      <c r="D150" s="131" t="n"/>
      <c r="E150" s="131" t="n"/>
      <c r="F150" s="131" t="n"/>
      <c r="G150" s="131" t="n"/>
      <c r="H150" s="131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</row>
    <row r="151" ht="15.75" customHeight="1" s="673">
      <c r="A151" s="69" t="n"/>
      <c r="B151" s="131" t="n"/>
      <c r="C151" s="131" t="n"/>
      <c r="D151" s="131" t="n"/>
      <c r="E151" s="131" t="n"/>
      <c r="F151" s="131" t="n"/>
      <c r="G151" s="131" t="n"/>
      <c r="H151" s="131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</row>
    <row r="152" ht="15.75" customHeight="1" s="673">
      <c r="A152" s="69" t="n"/>
      <c r="B152" s="131" t="n"/>
      <c r="C152" s="131" t="n"/>
      <c r="D152" s="131" t="n"/>
      <c r="E152" s="131" t="n"/>
      <c r="F152" s="131" t="n"/>
      <c r="G152" s="131" t="n"/>
      <c r="H152" s="131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</row>
    <row r="153" ht="15.75" customHeight="1" s="673">
      <c r="A153" s="69" t="n"/>
      <c r="B153" s="131" t="n"/>
      <c r="C153" s="131" t="n"/>
      <c r="D153" s="131" t="n"/>
      <c r="E153" s="131" t="n"/>
      <c r="F153" s="131" t="n"/>
      <c r="G153" s="131" t="n"/>
      <c r="H153" s="131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</row>
    <row r="154" ht="15.75" customHeight="1" s="673">
      <c r="A154" s="69" t="n"/>
      <c r="B154" s="131" t="n"/>
      <c r="C154" s="131" t="n"/>
      <c r="D154" s="131" t="n"/>
      <c r="E154" s="131" t="n"/>
      <c r="F154" s="131" t="n"/>
      <c r="G154" s="131" t="n"/>
      <c r="H154" s="131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</row>
    <row r="155" ht="15.75" customHeight="1" s="673">
      <c r="A155" s="69" t="n"/>
      <c r="B155" s="131" t="n"/>
      <c r="C155" s="131" t="n"/>
      <c r="D155" s="131" t="n"/>
      <c r="E155" s="131" t="n"/>
      <c r="F155" s="131" t="n"/>
      <c r="G155" s="131" t="n"/>
      <c r="H155" s="131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</row>
    <row r="156" ht="15.75" customHeight="1" s="673">
      <c r="A156" s="69" t="n"/>
      <c r="B156" s="131" t="n"/>
      <c r="C156" s="131" t="n"/>
      <c r="D156" s="131" t="n"/>
      <c r="E156" s="131" t="n"/>
      <c r="F156" s="131" t="n"/>
      <c r="G156" s="131" t="n"/>
      <c r="H156" s="131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</row>
    <row r="157" ht="15.75" customHeight="1" s="673">
      <c r="A157" s="69" t="n"/>
      <c r="B157" s="131" t="n"/>
      <c r="C157" s="131" t="n"/>
      <c r="D157" s="131" t="n"/>
      <c r="E157" s="131" t="n"/>
      <c r="F157" s="131" t="n"/>
      <c r="G157" s="131" t="n"/>
      <c r="H157" s="131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</row>
    <row r="158" ht="15.75" customHeight="1" s="673">
      <c r="A158" s="69" t="n"/>
      <c r="B158" s="131" t="n"/>
      <c r="C158" s="131" t="n"/>
      <c r="D158" s="131" t="n"/>
      <c r="E158" s="131" t="n"/>
      <c r="F158" s="131" t="n"/>
      <c r="G158" s="131" t="n"/>
      <c r="H158" s="131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</row>
    <row r="159" ht="15.75" customHeight="1" s="673">
      <c r="A159" s="69" t="n"/>
      <c r="B159" s="131" t="n"/>
      <c r="C159" s="131" t="n"/>
      <c r="D159" s="131" t="n"/>
      <c r="E159" s="131" t="n"/>
      <c r="F159" s="131" t="n"/>
      <c r="G159" s="131" t="n"/>
      <c r="H159" s="131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</row>
    <row r="160" ht="15.75" customHeight="1" s="673">
      <c r="A160" s="69" t="n"/>
      <c r="B160" s="131" t="n"/>
      <c r="C160" s="131" t="n"/>
      <c r="D160" s="131" t="n"/>
      <c r="E160" s="131" t="n"/>
      <c r="F160" s="131" t="n"/>
      <c r="G160" s="131" t="n"/>
      <c r="H160" s="131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</row>
    <row r="161" ht="15.75" customHeight="1" s="673">
      <c r="A161" s="69" t="n"/>
      <c r="B161" s="131" t="n"/>
      <c r="C161" s="131" t="n"/>
      <c r="D161" s="131" t="n"/>
      <c r="E161" s="131" t="n"/>
      <c r="F161" s="131" t="n"/>
      <c r="G161" s="131" t="n"/>
      <c r="H161" s="131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</row>
    <row r="162" ht="15.75" customHeight="1" s="673">
      <c r="A162" s="69" t="n"/>
      <c r="B162" s="131" t="n"/>
      <c r="C162" s="131" t="n"/>
      <c r="D162" s="131" t="n"/>
      <c r="E162" s="131" t="n"/>
      <c r="F162" s="131" t="n"/>
      <c r="G162" s="131" t="n"/>
      <c r="H162" s="131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</row>
    <row r="163" ht="15.75" customHeight="1" s="673">
      <c r="A163" s="69" t="n"/>
      <c r="B163" s="131" t="n"/>
      <c r="C163" s="131" t="n"/>
      <c r="D163" s="131" t="n"/>
      <c r="E163" s="131" t="n"/>
      <c r="F163" s="131" t="n"/>
      <c r="G163" s="131" t="n"/>
      <c r="H163" s="131" t="n"/>
      <c r="I163" s="69" t="n"/>
      <c r="J163" s="69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</row>
    <row r="164" ht="15.75" customHeight="1" s="673">
      <c r="A164" s="69" t="n"/>
      <c r="B164" s="131" t="n"/>
      <c r="C164" s="131" t="n"/>
      <c r="D164" s="131" t="n"/>
      <c r="E164" s="131" t="n"/>
      <c r="F164" s="131" t="n"/>
      <c r="G164" s="131" t="n"/>
      <c r="H164" s="131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</row>
    <row r="165" ht="15.75" customHeight="1" s="673">
      <c r="A165" s="69" t="n"/>
      <c r="B165" s="131" t="n"/>
      <c r="C165" s="131" t="n"/>
      <c r="D165" s="131" t="n"/>
      <c r="E165" s="131" t="n"/>
      <c r="F165" s="131" t="n"/>
      <c r="G165" s="131" t="n"/>
      <c r="H165" s="131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  <c r="Z165" s="69" t="n"/>
    </row>
    <row r="166" ht="15.75" customHeight="1" s="673">
      <c r="A166" s="69" t="n"/>
      <c r="B166" s="131" t="n"/>
      <c r="C166" s="131" t="n"/>
      <c r="D166" s="131" t="n"/>
      <c r="E166" s="131" t="n"/>
      <c r="F166" s="131" t="n"/>
      <c r="G166" s="131" t="n"/>
      <c r="H166" s="131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</row>
    <row r="167" ht="15.75" customHeight="1" s="673">
      <c r="A167" s="69" t="n"/>
      <c r="B167" s="131" t="n"/>
      <c r="C167" s="131" t="n"/>
      <c r="D167" s="131" t="n"/>
      <c r="E167" s="131" t="n"/>
      <c r="F167" s="131" t="n"/>
      <c r="G167" s="131" t="n"/>
      <c r="H167" s="131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</row>
    <row r="168" ht="15.75" customHeight="1" s="673">
      <c r="A168" s="69" t="n"/>
      <c r="B168" s="131" t="n"/>
      <c r="C168" s="131" t="n"/>
      <c r="D168" s="131" t="n"/>
      <c r="E168" s="131" t="n"/>
      <c r="F168" s="131" t="n"/>
      <c r="G168" s="131" t="n"/>
      <c r="H168" s="131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</row>
    <row r="169" ht="15.75" customHeight="1" s="673">
      <c r="A169" s="69" t="n"/>
      <c r="B169" s="131" t="n"/>
      <c r="C169" s="131" t="n"/>
      <c r="D169" s="131" t="n"/>
      <c r="E169" s="131" t="n"/>
      <c r="F169" s="131" t="n"/>
      <c r="G169" s="131" t="n"/>
      <c r="H169" s="131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</row>
    <row r="170" ht="15.75" customHeight="1" s="673">
      <c r="A170" s="69" t="n"/>
      <c r="B170" s="131" t="n"/>
      <c r="C170" s="131" t="n"/>
      <c r="D170" s="131" t="n"/>
      <c r="E170" s="131" t="n"/>
      <c r="F170" s="131" t="n"/>
      <c r="G170" s="131" t="n"/>
      <c r="H170" s="131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</row>
    <row r="171" ht="15.75" customHeight="1" s="673">
      <c r="A171" s="69" t="n"/>
      <c r="B171" s="131" t="n"/>
      <c r="C171" s="131" t="n"/>
      <c r="D171" s="131" t="n"/>
      <c r="E171" s="131" t="n"/>
      <c r="F171" s="131" t="n"/>
      <c r="G171" s="131" t="n"/>
      <c r="H171" s="131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</row>
    <row r="172" ht="15.75" customHeight="1" s="673">
      <c r="A172" s="69" t="n"/>
      <c r="B172" s="131" t="n"/>
      <c r="C172" s="131" t="n"/>
      <c r="D172" s="131" t="n"/>
      <c r="E172" s="131" t="n"/>
      <c r="F172" s="131" t="n"/>
      <c r="G172" s="131" t="n"/>
      <c r="H172" s="131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</row>
    <row r="173" ht="15.75" customHeight="1" s="673">
      <c r="A173" s="69" t="n"/>
      <c r="B173" s="131" t="n"/>
      <c r="C173" s="131" t="n"/>
      <c r="D173" s="131" t="n"/>
      <c r="E173" s="131" t="n"/>
      <c r="F173" s="131" t="n"/>
      <c r="G173" s="131" t="n"/>
      <c r="H173" s="131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</row>
    <row r="174" ht="15.75" customHeight="1" s="673">
      <c r="A174" s="69" t="n"/>
      <c r="B174" s="131" t="n"/>
      <c r="C174" s="131" t="n"/>
      <c r="D174" s="131" t="n"/>
      <c r="E174" s="131" t="n"/>
      <c r="F174" s="131" t="n"/>
      <c r="G174" s="131" t="n"/>
      <c r="H174" s="131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</row>
    <row r="175" ht="15.75" customHeight="1" s="673">
      <c r="A175" s="69" t="n"/>
      <c r="B175" s="131" t="n"/>
      <c r="C175" s="131" t="n"/>
      <c r="D175" s="131" t="n"/>
      <c r="E175" s="131" t="n"/>
      <c r="F175" s="131" t="n"/>
      <c r="G175" s="131" t="n"/>
      <c r="H175" s="131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</row>
    <row r="176" ht="15.75" customHeight="1" s="673">
      <c r="A176" s="69" t="n"/>
      <c r="B176" s="131" t="n"/>
      <c r="C176" s="131" t="n"/>
      <c r="D176" s="131" t="n"/>
      <c r="E176" s="131" t="n"/>
      <c r="F176" s="131" t="n"/>
      <c r="G176" s="131" t="n"/>
      <c r="H176" s="131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</row>
    <row r="177" ht="15.75" customHeight="1" s="673">
      <c r="A177" s="69" t="n"/>
      <c r="B177" s="131" t="n"/>
      <c r="C177" s="131" t="n"/>
      <c r="D177" s="131" t="n"/>
      <c r="E177" s="131" t="n"/>
      <c r="F177" s="131" t="n"/>
      <c r="G177" s="131" t="n"/>
      <c r="H177" s="131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</row>
    <row r="178" ht="15.75" customHeight="1" s="673">
      <c r="A178" s="69" t="n"/>
      <c r="B178" s="131" t="n"/>
      <c r="C178" s="131" t="n"/>
      <c r="D178" s="131" t="n"/>
      <c r="E178" s="131" t="n"/>
      <c r="F178" s="131" t="n"/>
      <c r="G178" s="131" t="n"/>
      <c r="H178" s="131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</row>
    <row r="179" ht="15.75" customHeight="1" s="673">
      <c r="A179" s="69" t="n"/>
      <c r="B179" s="131" t="n"/>
      <c r="C179" s="131" t="n"/>
      <c r="D179" s="131" t="n"/>
      <c r="E179" s="131" t="n"/>
      <c r="F179" s="131" t="n"/>
      <c r="G179" s="131" t="n"/>
      <c r="H179" s="131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</row>
    <row r="180" ht="15.75" customHeight="1" s="673">
      <c r="A180" s="69" t="n"/>
      <c r="B180" s="131" t="n"/>
      <c r="C180" s="131" t="n"/>
      <c r="D180" s="131" t="n"/>
      <c r="E180" s="131" t="n"/>
      <c r="F180" s="131" t="n"/>
      <c r="G180" s="131" t="n"/>
      <c r="H180" s="131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</row>
    <row r="181" ht="15.75" customHeight="1" s="673">
      <c r="A181" s="69" t="n"/>
      <c r="B181" s="131" t="n"/>
      <c r="C181" s="131" t="n"/>
      <c r="D181" s="131" t="n"/>
      <c r="E181" s="131" t="n"/>
      <c r="F181" s="131" t="n"/>
      <c r="G181" s="131" t="n"/>
      <c r="H181" s="131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</row>
    <row r="182" ht="15.75" customHeight="1" s="673">
      <c r="A182" s="69" t="n"/>
      <c r="B182" s="131" t="n"/>
      <c r="C182" s="131" t="n"/>
      <c r="D182" s="131" t="n"/>
      <c r="E182" s="131" t="n"/>
      <c r="F182" s="131" t="n"/>
      <c r="G182" s="131" t="n"/>
      <c r="H182" s="131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</row>
    <row r="183" ht="15.75" customHeight="1" s="673">
      <c r="A183" s="69" t="n"/>
      <c r="B183" s="131" t="n"/>
      <c r="C183" s="131" t="n"/>
      <c r="D183" s="131" t="n"/>
      <c r="E183" s="131" t="n"/>
      <c r="F183" s="131" t="n"/>
      <c r="G183" s="131" t="n"/>
      <c r="H183" s="131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</row>
    <row r="184" ht="15.75" customHeight="1" s="673">
      <c r="A184" s="69" t="n"/>
      <c r="B184" s="131" t="n"/>
      <c r="C184" s="131" t="n"/>
      <c r="D184" s="131" t="n"/>
      <c r="E184" s="131" t="n"/>
      <c r="F184" s="131" t="n"/>
      <c r="G184" s="131" t="n"/>
      <c r="H184" s="131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</row>
    <row r="185" ht="15.75" customHeight="1" s="673">
      <c r="A185" s="69" t="n"/>
      <c r="B185" s="131" t="n"/>
      <c r="C185" s="131" t="n"/>
      <c r="D185" s="131" t="n"/>
      <c r="E185" s="131" t="n"/>
      <c r="F185" s="131" t="n"/>
      <c r="G185" s="131" t="n"/>
      <c r="H185" s="131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  <c r="Z185" s="69" t="n"/>
    </row>
    <row r="186" ht="15.75" customHeight="1" s="673">
      <c r="A186" s="69" t="n"/>
      <c r="B186" s="131" t="n"/>
      <c r="C186" s="131" t="n"/>
      <c r="D186" s="131" t="n"/>
      <c r="E186" s="131" t="n"/>
      <c r="F186" s="131" t="n"/>
      <c r="G186" s="131" t="n"/>
      <c r="H186" s="131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</row>
    <row r="187" ht="15.75" customHeight="1" s="673">
      <c r="A187" s="69" t="n"/>
      <c r="B187" s="131" t="n"/>
      <c r="C187" s="131" t="n"/>
      <c r="D187" s="131" t="n"/>
      <c r="E187" s="131" t="n"/>
      <c r="F187" s="131" t="n"/>
      <c r="G187" s="131" t="n"/>
      <c r="H187" s="131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</row>
    <row r="188" ht="15.75" customHeight="1" s="673">
      <c r="A188" s="69" t="n"/>
      <c r="B188" s="131" t="n"/>
      <c r="C188" s="131" t="n"/>
      <c r="D188" s="131" t="n"/>
      <c r="E188" s="131" t="n"/>
      <c r="F188" s="131" t="n"/>
      <c r="G188" s="131" t="n"/>
      <c r="H188" s="131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</row>
    <row r="189" ht="15.75" customHeight="1" s="673">
      <c r="A189" s="69" t="n"/>
      <c r="B189" s="131" t="n"/>
      <c r="C189" s="131" t="n"/>
      <c r="D189" s="131" t="n"/>
      <c r="E189" s="131" t="n"/>
      <c r="F189" s="131" t="n"/>
      <c r="G189" s="131" t="n"/>
      <c r="H189" s="131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</row>
    <row r="190" ht="15.75" customHeight="1" s="673">
      <c r="A190" s="69" t="n"/>
      <c r="B190" s="131" t="n"/>
      <c r="C190" s="131" t="n"/>
      <c r="D190" s="131" t="n"/>
      <c r="E190" s="131" t="n"/>
      <c r="F190" s="131" t="n"/>
      <c r="G190" s="131" t="n"/>
      <c r="H190" s="131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</row>
    <row r="191" ht="15.75" customHeight="1" s="673">
      <c r="A191" s="69" t="n"/>
      <c r="B191" s="131" t="n"/>
      <c r="C191" s="131" t="n"/>
      <c r="D191" s="131" t="n"/>
      <c r="E191" s="131" t="n"/>
      <c r="F191" s="131" t="n"/>
      <c r="G191" s="131" t="n"/>
      <c r="H191" s="131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</row>
    <row r="192" ht="15.75" customHeight="1" s="673">
      <c r="A192" s="69" t="n"/>
      <c r="B192" s="131" t="n"/>
      <c r="C192" s="131" t="n"/>
      <c r="D192" s="131" t="n"/>
      <c r="E192" s="131" t="n"/>
      <c r="F192" s="131" t="n"/>
      <c r="G192" s="131" t="n"/>
      <c r="H192" s="131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</row>
    <row r="193" ht="15.75" customHeight="1" s="673">
      <c r="A193" s="69" t="n"/>
      <c r="B193" s="131" t="n"/>
      <c r="C193" s="131" t="n"/>
      <c r="D193" s="131" t="n"/>
      <c r="E193" s="131" t="n"/>
      <c r="F193" s="131" t="n"/>
      <c r="G193" s="131" t="n"/>
      <c r="H193" s="131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</row>
    <row r="194" ht="15.75" customHeight="1" s="673">
      <c r="A194" s="69" t="n"/>
      <c r="B194" s="131" t="n"/>
      <c r="C194" s="131" t="n"/>
      <c r="D194" s="131" t="n"/>
      <c r="E194" s="131" t="n"/>
      <c r="F194" s="131" t="n"/>
      <c r="G194" s="131" t="n"/>
      <c r="H194" s="131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</row>
    <row r="195" ht="15.75" customHeight="1" s="673">
      <c r="A195" s="69" t="n"/>
      <c r="B195" s="131" t="n"/>
      <c r="C195" s="131" t="n"/>
      <c r="D195" s="131" t="n"/>
      <c r="E195" s="131" t="n"/>
      <c r="F195" s="131" t="n"/>
      <c r="G195" s="131" t="n"/>
      <c r="H195" s="131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</row>
    <row r="196" ht="15.75" customHeight="1" s="673">
      <c r="A196" s="69" t="n"/>
      <c r="B196" s="131" t="n"/>
      <c r="C196" s="131" t="n"/>
      <c r="D196" s="131" t="n"/>
      <c r="E196" s="131" t="n"/>
      <c r="F196" s="131" t="n"/>
      <c r="G196" s="131" t="n"/>
      <c r="H196" s="131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</row>
    <row r="197" ht="15.75" customHeight="1" s="673">
      <c r="A197" s="69" t="n"/>
      <c r="B197" s="131" t="n"/>
      <c r="C197" s="131" t="n"/>
      <c r="D197" s="131" t="n"/>
      <c r="E197" s="131" t="n"/>
      <c r="F197" s="131" t="n"/>
      <c r="G197" s="131" t="n"/>
      <c r="H197" s="131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</row>
    <row r="198" ht="15.75" customHeight="1" s="673">
      <c r="A198" s="69" t="n"/>
      <c r="B198" s="131" t="n"/>
      <c r="C198" s="131" t="n"/>
      <c r="D198" s="131" t="n"/>
      <c r="E198" s="131" t="n"/>
      <c r="F198" s="131" t="n"/>
      <c r="G198" s="131" t="n"/>
      <c r="H198" s="131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</row>
    <row r="199" ht="15.75" customHeight="1" s="673">
      <c r="A199" s="69" t="n"/>
      <c r="B199" s="131" t="n"/>
      <c r="C199" s="131" t="n"/>
      <c r="D199" s="131" t="n"/>
      <c r="E199" s="131" t="n"/>
      <c r="F199" s="131" t="n"/>
      <c r="G199" s="131" t="n"/>
      <c r="H199" s="131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</row>
    <row r="200" ht="15.75" customHeight="1" s="673">
      <c r="A200" s="69" t="n"/>
      <c r="B200" s="131" t="n"/>
      <c r="C200" s="131" t="n"/>
      <c r="D200" s="131" t="n"/>
      <c r="E200" s="131" t="n"/>
      <c r="F200" s="131" t="n"/>
      <c r="G200" s="131" t="n"/>
      <c r="H200" s="131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</row>
    <row r="201" ht="15.75" customHeight="1" s="673">
      <c r="A201" s="69" t="n"/>
      <c r="B201" s="131" t="n"/>
      <c r="C201" s="131" t="n"/>
      <c r="D201" s="131" t="n"/>
      <c r="E201" s="131" t="n"/>
      <c r="F201" s="131" t="n"/>
      <c r="G201" s="131" t="n"/>
      <c r="H201" s="131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</row>
    <row r="202" ht="15.75" customHeight="1" s="673">
      <c r="A202" s="69" t="n"/>
      <c r="B202" s="131" t="n"/>
      <c r="C202" s="131" t="n"/>
      <c r="D202" s="131" t="n"/>
      <c r="E202" s="131" t="n"/>
      <c r="F202" s="131" t="n"/>
      <c r="G202" s="131" t="n"/>
      <c r="H202" s="131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</row>
    <row r="203" ht="15.75" customHeight="1" s="673">
      <c r="A203" s="69" t="n"/>
      <c r="B203" s="131" t="n"/>
      <c r="C203" s="131" t="n"/>
      <c r="D203" s="131" t="n"/>
      <c r="E203" s="131" t="n"/>
      <c r="F203" s="131" t="n"/>
      <c r="G203" s="131" t="n"/>
      <c r="H203" s="131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</row>
    <row r="204" ht="15.75" customHeight="1" s="673">
      <c r="A204" s="69" t="n"/>
      <c r="B204" s="131" t="n"/>
      <c r="C204" s="131" t="n"/>
      <c r="D204" s="131" t="n"/>
      <c r="E204" s="131" t="n"/>
      <c r="F204" s="131" t="n"/>
      <c r="G204" s="131" t="n"/>
      <c r="H204" s="131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</row>
    <row r="205" ht="15.75" customHeight="1" s="673">
      <c r="A205" s="69" t="n"/>
      <c r="B205" s="131" t="n"/>
      <c r="C205" s="131" t="n"/>
      <c r="D205" s="131" t="n"/>
      <c r="E205" s="131" t="n"/>
      <c r="F205" s="131" t="n"/>
      <c r="G205" s="131" t="n"/>
      <c r="H205" s="131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</row>
    <row r="206" ht="15.75" customHeight="1" s="673">
      <c r="A206" s="69" t="n"/>
      <c r="B206" s="131" t="n"/>
      <c r="C206" s="131" t="n"/>
      <c r="D206" s="131" t="n"/>
      <c r="E206" s="131" t="n"/>
      <c r="F206" s="131" t="n"/>
      <c r="G206" s="131" t="n"/>
      <c r="H206" s="131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</row>
    <row r="207" ht="15.75" customHeight="1" s="673">
      <c r="A207" s="69" t="n"/>
      <c r="B207" s="131" t="n"/>
      <c r="C207" s="131" t="n"/>
      <c r="D207" s="131" t="n"/>
      <c r="E207" s="131" t="n"/>
      <c r="F207" s="131" t="n"/>
      <c r="G207" s="131" t="n"/>
      <c r="H207" s="131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</row>
    <row r="208" ht="15.75" customHeight="1" s="673">
      <c r="A208" s="69" t="n"/>
      <c r="B208" s="131" t="n"/>
      <c r="C208" s="131" t="n"/>
      <c r="D208" s="131" t="n"/>
      <c r="E208" s="131" t="n"/>
      <c r="F208" s="131" t="n"/>
      <c r="G208" s="131" t="n"/>
      <c r="H208" s="131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</row>
    <row r="209" ht="15.75" customHeight="1" s="673">
      <c r="A209" s="69" t="n"/>
      <c r="B209" s="131" t="n"/>
      <c r="C209" s="131" t="n"/>
      <c r="D209" s="131" t="n"/>
      <c r="E209" s="131" t="n"/>
      <c r="F209" s="131" t="n"/>
      <c r="G209" s="131" t="n"/>
      <c r="H209" s="131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</row>
    <row r="210" ht="15.75" customHeight="1" s="673">
      <c r="A210" s="69" t="n"/>
      <c r="B210" s="131" t="n"/>
      <c r="C210" s="131" t="n"/>
      <c r="D210" s="131" t="n"/>
      <c r="E210" s="131" t="n"/>
      <c r="F210" s="131" t="n"/>
      <c r="G210" s="131" t="n"/>
      <c r="H210" s="131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</row>
    <row r="211" ht="15.75" customHeight="1" s="673">
      <c r="A211" s="69" t="n"/>
      <c r="B211" s="131" t="n"/>
      <c r="C211" s="131" t="n"/>
      <c r="D211" s="131" t="n"/>
      <c r="E211" s="131" t="n"/>
      <c r="F211" s="131" t="n"/>
      <c r="G211" s="131" t="n"/>
      <c r="H211" s="131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  <c r="Z211" s="69" t="n"/>
    </row>
    <row r="212" ht="15.75" customHeight="1" s="673">
      <c r="A212" s="69" t="n"/>
      <c r="B212" s="131" t="n"/>
      <c r="C212" s="131" t="n"/>
      <c r="D212" s="131" t="n"/>
      <c r="E212" s="131" t="n"/>
      <c r="F212" s="131" t="n"/>
      <c r="G212" s="131" t="n"/>
      <c r="H212" s="131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</row>
    <row r="213" ht="15.75" customHeight="1" s="673">
      <c r="A213" s="69" t="n"/>
      <c r="B213" s="131" t="n"/>
      <c r="C213" s="131" t="n"/>
      <c r="D213" s="131" t="n"/>
      <c r="E213" s="131" t="n"/>
      <c r="F213" s="131" t="n"/>
      <c r="G213" s="131" t="n"/>
      <c r="H213" s="131" t="n"/>
      <c r="I213" s="69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  <c r="Z213" s="69" t="n"/>
    </row>
    <row r="214" ht="15.75" customHeight="1" s="673">
      <c r="A214" s="69" t="n"/>
      <c r="B214" s="131" t="n"/>
      <c r="C214" s="131" t="n"/>
      <c r="D214" s="131" t="n"/>
      <c r="E214" s="131" t="n"/>
      <c r="F214" s="131" t="n"/>
      <c r="G214" s="131" t="n"/>
      <c r="H214" s="131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</row>
    <row r="215" ht="15.75" customHeight="1" s="673">
      <c r="A215" s="69" t="n"/>
      <c r="B215" s="131" t="n"/>
      <c r="C215" s="131" t="n"/>
      <c r="D215" s="131" t="n"/>
      <c r="E215" s="131" t="n"/>
      <c r="F215" s="131" t="n"/>
      <c r="G215" s="131" t="n"/>
      <c r="H215" s="131" t="n"/>
      <c r="I215" s="69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</row>
    <row r="216" ht="15.75" customHeight="1" s="673">
      <c r="A216" s="69" t="n"/>
      <c r="B216" s="131" t="n"/>
      <c r="C216" s="131" t="n"/>
      <c r="D216" s="131" t="n"/>
      <c r="E216" s="131" t="n"/>
      <c r="F216" s="131" t="n"/>
      <c r="G216" s="131" t="n"/>
      <c r="H216" s="131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</row>
    <row r="217" ht="15.75" customHeight="1" s="673">
      <c r="A217" s="69" t="n"/>
      <c r="B217" s="131" t="n"/>
      <c r="C217" s="131" t="n"/>
      <c r="D217" s="131" t="n"/>
      <c r="E217" s="131" t="n"/>
      <c r="F217" s="131" t="n"/>
      <c r="G217" s="131" t="n"/>
      <c r="H217" s="131" t="n"/>
      <c r="I217" s="69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  <c r="Z217" s="69" t="n"/>
    </row>
    <row r="218" ht="15.75" customHeight="1" s="673">
      <c r="A218" s="69" t="n"/>
      <c r="B218" s="131" t="n"/>
      <c r="C218" s="131" t="n"/>
      <c r="D218" s="131" t="n"/>
      <c r="E218" s="131" t="n"/>
      <c r="F218" s="131" t="n"/>
      <c r="G218" s="131" t="n"/>
      <c r="H218" s="131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</row>
    <row r="219" ht="15.75" customHeight="1" s="673">
      <c r="A219" s="69" t="n"/>
      <c r="B219" s="131" t="n"/>
      <c r="C219" s="131" t="n"/>
      <c r="D219" s="131" t="n"/>
      <c r="E219" s="131" t="n"/>
      <c r="F219" s="131" t="n"/>
      <c r="G219" s="131" t="n"/>
      <c r="H219" s="131" t="n"/>
      <c r="I219" s="69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  <c r="Z219" s="69" t="n"/>
    </row>
    <row r="220" ht="15.75" customHeight="1" s="673">
      <c r="A220" s="69" t="n"/>
      <c r="B220" s="131" t="n"/>
      <c r="C220" s="131" t="n"/>
      <c r="D220" s="131" t="n"/>
      <c r="E220" s="131" t="n"/>
      <c r="F220" s="131" t="n"/>
      <c r="G220" s="131" t="n"/>
      <c r="H220" s="131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</row>
    <row r="221" ht="15.75" customHeight="1" s="673">
      <c r="A221" s="69" t="n"/>
      <c r="B221" s="131" t="n"/>
      <c r="C221" s="131" t="n"/>
      <c r="D221" s="131" t="n"/>
      <c r="E221" s="131" t="n"/>
      <c r="F221" s="131" t="n"/>
      <c r="G221" s="131" t="n"/>
      <c r="H221" s="131" t="n"/>
      <c r="I221" s="69" t="n"/>
      <c r="J221" s="69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</row>
    <row r="222" ht="15.75" customHeight="1" s="673">
      <c r="A222" s="69" t="n"/>
      <c r="B222" s="131" t="n"/>
      <c r="C222" s="131" t="n"/>
      <c r="D222" s="131" t="n"/>
      <c r="E222" s="131" t="n"/>
      <c r="F222" s="131" t="n"/>
      <c r="G222" s="131" t="n"/>
      <c r="H222" s="131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</row>
    <row r="223" ht="15.75" customHeight="1" s="673">
      <c r="A223" s="69" t="n"/>
      <c r="B223" s="131" t="n"/>
      <c r="C223" s="131" t="n"/>
      <c r="D223" s="131" t="n"/>
      <c r="E223" s="131" t="n"/>
      <c r="F223" s="131" t="n"/>
      <c r="G223" s="131" t="n"/>
      <c r="H223" s="131" t="n"/>
      <c r="I223" s="69" t="n"/>
      <c r="J223" s="69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  <c r="Z223" s="69" t="n"/>
    </row>
    <row r="224" ht="15.75" customHeight="1" s="673">
      <c r="A224" s="69" t="n"/>
      <c r="B224" s="131" t="n"/>
      <c r="C224" s="131" t="n"/>
      <c r="D224" s="131" t="n"/>
      <c r="E224" s="131" t="n"/>
      <c r="F224" s="131" t="n"/>
      <c r="G224" s="131" t="n"/>
      <c r="H224" s="131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</row>
    <row r="225" ht="15.75" customHeight="1" s="673">
      <c r="A225" s="69" t="n"/>
      <c r="B225" s="131" t="n"/>
      <c r="C225" s="131" t="n"/>
      <c r="D225" s="131" t="n"/>
      <c r="E225" s="131" t="n"/>
      <c r="F225" s="131" t="n"/>
      <c r="G225" s="131" t="n"/>
      <c r="H225" s="131" t="n"/>
      <c r="I225" s="69" t="n"/>
      <c r="J225" s="69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  <c r="Z225" s="69" t="n"/>
    </row>
    <row r="226" ht="15.75" customHeight="1" s="673">
      <c r="A226" s="69" t="n"/>
      <c r="B226" s="131" t="n"/>
      <c r="C226" s="131" t="n"/>
      <c r="D226" s="131" t="n"/>
      <c r="E226" s="131" t="n"/>
      <c r="F226" s="131" t="n"/>
      <c r="G226" s="131" t="n"/>
      <c r="H226" s="131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</row>
    <row r="227" ht="15.75" customHeight="1" s="673">
      <c r="A227" s="69" t="n"/>
      <c r="B227" s="131" t="n"/>
      <c r="C227" s="131" t="n"/>
      <c r="D227" s="131" t="n"/>
      <c r="E227" s="131" t="n"/>
      <c r="F227" s="131" t="n"/>
      <c r="G227" s="131" t="n"/>
      <c r="H227" s="131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  <c r="Z227" s="69" t="n"/>
    </row>
    <row r="228" ht="15.75" customHeight="1" s="673">
      <c r="A228" s="69" t="n"/>
      <c r="B228" s="131" t="n"/>
      <c r="C228" s="131" t="n"/>
      <c r="D228" s="131" t="n"/>
      <c r="E228" s="131" t="n"/>
      <c r="F228" s="131" t="n"/>
      <c r="G228" s="131" t="n"/>
      <c r="H228" s="131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</row>
    <row r="229" ht="15.75" customHeight="1" s="673">
      <c r="A229" s="69" t="n"/>
      <c r="B229" s="131" t="n"/>
      <c r="C229" s="131" t="n"/>
      <c r="D229" s="131" t="n"/>
      <c r="E229" s="131" t="n"/>
      <c r="F229" s="131" t="n"/>
      <c r="G229" s="131" t="n"/>
      <c r="H229" s="131" t="n"/>
      <c r="I229" s="69" t="n"/>
      <c r="J229" s="69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  <c r="Z229" s="69" t="n"/>
    </row>
    <row r="230" ht="15.75" customHeight="1" s="673">
      <c r="A230" s="69" t="n"/>
      <c r="B230" s="131" t="n"/>
      <c r="C230" s="131" t="n"/>
      <c r="D230" s="131" t="n"/>
      <c r="E230" s="131" t="n"/>
      <c r="F230" s="131" t="n"/>
      <c r="G230" s="131" t="n"/>
      <c r="H230" s="131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</row>
    <row r="231" ht="15.75" customHeight="1" s="673">
      <c r="A231" s="69" t="n"/>
      <c r="B231" s="131" t="n"/>
      <c r="C231" s="131" t="n"/>
      <c r="D231" s="131" t="n"/>
      <c r="E231" s="131" t="n"/>
      <c r="F231" s="131" t="n"/>
      <c r="G231" s="131" t="n"/>
      <c r="H231" s="131" t="n"/>
      <c r="I231" s="69" t="n"/>
      <c r="J231" s="69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  <c r="Z231" s="69" t="n"/>
    </row>
    <row r="232" ht="15.75" customHeight="1" s="673">
      <c r="A232" s="69" t="n"/>
      <c r="B232" s="131" t="n"/>
      <c r="C232" s="131" t="n"/>
      <c r="D232" s="131" t="n"/>
      <c r="E232" s="131" t="n"/>
      <c r="F232" s="131" t="n"/>
      <c r="G232" s="131" t="n"/>
      <c r="H232" s="131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</row>
    <row r="233" ht="15.75" customHeight="1" s="673">
      <c r="A233" s="69" t="n"/>
      <c r="B233" s="131" t="n"/>
      <c r="C233" s="131" t="n"/>
      <c r="D233" s="131" t="n"/>
      <c r="E233" s="131" t="n"/>
      <c r="F233" s="131" t="n"/>
      <c r="G233" s="131" t="n"/>
      <c r="H233" s="131" t="n"/>
      <c r="I233" s="69" t="n"/>
      <c r="J233" s="69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  <c r="Z233" s="69" t="n"/>
    </row>
    <row r="234" ht="15.75" customHeight="1" s="673">
      <c r="A234" s="69" t="n"/>
      <c r="B234" s="131" t="n"/>
      <c r="C234" s="131" t="n"/>
      <c r="D234" s="131" t="n"/>
      <c r="E234" s="131" t="n"/>
      <c r="F234" s="131" t="n"/>
      <c r="G234" s="131" t="n"/>
      <c r="H234" s="131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</row>
    <row r="235" ht="15.75" customHeight="1" s="673">
      <c r="A235" s="69" t="n"/>
      <c r="B235" s="131" t="n"/>
      <c r="C235" s="131" t="n"/>
      <c r="D235" s="131" t="n"/>
      <c r="E235" s="131" t="n"/>
      <c r="F235" s="131" t="n"/>
      <c r="G235" s="131" t="n"/>
      <c r="H235" s="131" t="n"/>
      <c r="I235" s="69" t="n"/>
      <c r="J235" s="69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  <c r="Z235" s="69" t="n"/>
    </row>
    <row r="236" ht="15.75" customHeight="1" s="673">
      <c r="A236" s="69" t="n"/>
      <c r="B236" s="131" t="n"/>
      <c r="C236" s="131" t="n"/>
      <c r="D236" s="131" t="n"/>
      <c r="E236" s="131" t="n"/>
      <c r="F236" s="131" t="n"/>
      <c r="G236" s="131" t="n"/>
      <c r="H236" s="131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</row>
    <row r="237" ht="15.75" customHeight="1" s="673">
      <c r="A237" s="69" t="n"/>
      <c r="B237" s="131" t="n"/>
      <c r="C237" s="131" t="n"/>
      <c r="D237" s="131" t="n"/>
      <c r="E237" s="131" t="n"/>
      <c r="F237" s="131" t="n"/>
      <c r="G237" s="131" t="n"/>
      <c r="H237" s="131" t="n"/>
      <c r="I237" s="69" t="n"/>
      <c r="J237" s="69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  <c r="Z237" s="69" t="n"/>
    </row>
    <row r="238" ht="15.75" customHeight="1" s="673">
      <c r="A238" s="69" t="n"/>
      <c r="B238" s="131" t="n"/>
      <c r="C238" s="131" t="n"/>
      <c r="D238" s="131" t="n"/>
      <c r="E238" s="131" t="n"/>
      <c r="F238" s="131" t="n"/>
      <c r="G238" s="131" t="n"/>
      <c r="H238" s="131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</row>
    <row r="239" ht="15.75" customHeight="1" s="673">
      <c r="A239" s="69" t="n"/>
      <c r="B239" s="131" t="n"/>
      <c r="C239" s="131" t="n"/>
      <c r="D239" s="131" t="n"/>
      <c r="E239" s="131" t="n"/>
      <c r="F239" s="131" t="n"/>
      <c r="G239" s="131" t="n"/>
      <c r="H239" s="131" t="n"/>
      <c r="I239" s="69" t="n"/>
      <c r="J239" s="69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  <c r="Z239" s="69" t="n"/>
    </row>
    <row r="240" ht="15.75" customHeight="1" s="673">
      <c r="A240" s="69" t="n"/>
      <c r="B240" s="131" t="n"/>
      <c r="C240" s="131" t="n"/>
      <c r="D240" s="131" t="n"/>
      <c r="E240" s="131" t="n"/>
      <c r="F240" s="131" t="n"/>
      <c r="G240" s="131" t="n"/>
      <c r="H240" s="131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</row>
    <row r="241" ht="15.75" customHeight="1" s="673">
      <c r="A241" s="69" t="n"/>
      <c r="B241" s="131" t="n"/>
      <c r="C241" s="131" t="n"/>
      <c r="D241" s="131" t="n"/>
      <c r="E241" s="131" t="n"/>
      <c r="F241" s="131" t="n"/>
      <c r="G241" s="131" t="n"/>
      <c r="H241" s="131" t="n"/>
      <c r="I241" s="69" t="n"/>
      <c r="J241" s="69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  <c r="Z241" s="69" t="n"/>
    </row>
    <row r="242" ht="15.75" customHeight="1" s="673">
      <c r="A242" s="69" t="n"/>
      <c r="B242" s="131" t="n"/>
      <c r="C242" s="131" t="n"/>
      <c r="D242" s="131" t="n"/>
      <c r="E242" s="131" t="n"/>
      <c r="F242" s="131" t="n"/>
      <c r="G242" s="131" t="n"/>
      <c r="H242" s="131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</row>
    <row r="243" ht="15.75" customHeight="1" s="673">
      <c r="A243" s="69" t="n"/>
      <c r="B243" s="131" t="n"/>
      <c r="C243" s="131" t="n"/>
      <c r="D243" s="131" t="n"/>
      <c r="E243" s="131" t="n"/>
      <c r="F243" s="131" t="n"/>
      <c r="G243" s="131" t="n"/>
      <c r="H243" s="131" t="n"/>
      <c r="I243" s="69" t="n"/>
      <c r="J243" s="69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  <c r="Z243" s="69" t="n"/>
    </row>
    <row r="244" ht="15.75" customHeight="1" s="673">
      <c r="A244" s="69" t="n"/>
      <c r="B244" s="131" t="n"/>
      <c r="C244" s="131" t="n"/>
      <c r="D244" s="131" t="n"/>
      <c r="E244" s="131" t="n"/>
      <c r="F244" s="131" t="n"/>
      <c r="G244" s="131" t="n"/>
      <c r="H244" s="131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</row>
    <row r="245" ht="15.75" customHeight="1" s="673">
      <c r="A245" s="69" t="n"/>
      <c r="B245" s="131" t="n"/>
      <c r="C245" s="131" t="n"/>
      <c r="D245" s="131" t="n"/>
      <c r="E245" s="131" t="n"/>
      <c r="F245" s="131" t="n"/>
      <c r="G245" s="131" t="n"/>
      <c r="H245" s="131" t="n"/>
      <c r="I245" s="69" t="n"/>
      <c r="J245" s="69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  <c r="Z245" s="69" t="n"/>
    </row>
    <row r="246" ht="15.75" customHeight="1" s="673">
      <c r="A246" s="52" t="n"/>
      <c r="B246" s="52" t="n"/>
      <c r="C246" s="52" t="n"/>
      <c r="D246" s="52" t="n"/>
      <c r="E246" s="52" t="n"/>
      <c r="F246" s="52" t="n"/>
      <c r="G246" s="52" t="n"/>
      <c r="H246" s="52" t="n"/>
      <c r="I246" s="52" t="n"/>
      <c r="J246" s="52" t="n"/>
      <c r="K246" s="52" t="n"/>
      <c r="L246" s="52" t="n"/>
      <c r="M246" s="52" t="n"/>
      <c r="N246" s="52" t="n"/>
      <c r="O246" s="52" t="n"/>
      <c r="P246" s="52" t="n"/>
      <c r="Q246" s="52" t="n"/>
      <c r="R246" s="52" t="n"/>
      <c r="S246" s="52" t="n"/>
      <c r="T246" s="52" t="n"/>
      <c r="U246" s="52" t="n"/>
      <c r="V246" s="52" t="n"/>
      <c r="W246" s="52" t="n"/>
      <c r="X246" s="52" t="n"/>
      <c r="Y246" s="52" t="n"/>
      <c r="Z246" s="52" t="n"/>
    </row>
    <row r="247" ht="15.75" customHeight="1" s="673">
      <c r="A247" s="52" t="n"/>
      <c r="B247" s="52" t="n"/>
      <c r="C247" s="52" t="n"/>
      <c r="D247" s="52" t="n"/>
      <c r="E247" s="52" t="n"/>
      <c r="F247" s="52" t="n"/>
      <c r="G247" s="52" t="n"/>
      <c r="H247" s="52" t="n"/>
      <c r="I247" s="52" t="n"/>
      <c r="J247" s="52" t="n"/>
      <c r="K247" s="52" t="n"/>
      <c r="L247" s="52" t="n"/>
      <c r="M247" s="52" t="n"/>
      <c r="N247" s="52" t="n"/>
      <c r="O247" s="52" t="n"/>
      <c r="P247" s="52" t="n"/>
      <c r="Q247" s="52" t="n"/>
      <c r="R247" s="52" t="n"/>
      <c r="S247" s="52" t="n"/>
      <c r="T247" s="52" t="n"/>
      <c r="U247" s="52" t="n"/>
      <c r="V247" s="52" t="n"/>
      <c r="W247" s="52" t="n"/>
      <c r="X247" s="52" t="n"/>
      <c r="Y247" s="52" t="n"/>
      <c r="Z247" s="52" t="n"/>
    </row>
    <row r="248" ht="15.75" customHeight="1" s="673">
      <c r="A248" s="52" t="n"/>
      <c r="B248" s="52" t="n"/>
      <c r="C248" s="52" t="n"/>
      <c r="D248" s="52" t="n"/>
      <c r="E248" s="52" t="n"/>
      <c r="F248" s="52" t="n"/>
      <c r="G248" s="52" t="n"/>
      <c r="H248" s="52" t="n"/>
      <c r="I248" s="52" t="n"/>
      <c r="J248" s="52" t="n"/>
      <c r="K248" s="52" t="n"/>
      <c r="L248" s="52" t="n"/>
      <c r="M248" s="52" t="n"/>
      <c r="N248" s="52" t="n"/>
      <c r="O248" s="52" t="n"/>
      <c r="P248" s="52" t="n"/>
      <c r="Q248" s="52" t="n"/>
      <c r="R248" s="52" t="n"/>
      <c r="S248" s="52" t="n"/>
      <c r="T248" s="52" t="n"/>
      <c r="U248" s="52" t="n"/>
      <c r="V248" s="52" t="n"/>
      <c r="W248" s="52" t="n"/>
      <c r="X248" s="52" t="n"/>
      <c r="Y248" s="52" t="n"/>
      <c r="Z248" s="52" t="n"/>
    </row>
    <row r="249" ht="15.75" customHeight="1" s="673">
      <c r="A249" s="52" t="n"/>
      <c r="B249" s="52" t="n"/>
      <c r="C249" s="52" t="n"/>
      <c r="D249" s="52" t="n"/>
      <c r="E249" s="52" t="n"/>
      <c r="F249" s="52" t="n"/>
      <c r="G249" s="52" t="n"/>
      <c r="H249" s="52" t="n"/>
      <c r="I249" s="52" t="n"/>
      <c r="J249" s="52" t="n"/>
      <c r="K249" s="52" t="n"/>
      <c r="L249" s="52" t="n"/>
      <c r="M249" s="52" t="n"/>
      <c r="N249" s="52" t="n"/>
      <c r="O249" s="52" t="n"/>
      <c r="P249" s="52" t="n"/>
      <c r="Q249" s="52" t="n"/>
      <c r="R249" s="52" t="n"/>
      <c r="S249" s="52" t="n"/>
      <c r="T249" s="52" t="n"/>
      <c r="U249" s="52" t="n"/>
      <c r="V249" s="52" t="n"/>
      <c r="W249" s="52" t="n"/>
      <c r="X249" s="52" t="n"/>
      <c r="Y249" s="52" t="n"/>
      <c r="Z249" s="52" t="n"/>
    </row>
    <row r="250" ht="15.75" customHeight="1" s="673">
      <c r="A250" s="52" t="n"/>
      <c r="B250" s="52" t="n"/>
      <c r="C250" s="52" t="n"/>
      <c r="D250" s="52" t="n"/>
      <c r="E250" s="52" t="n"/>
      <c r="F250" s="52" t="n"/>
      <c r="G250" s="52" t="n"/>
      <c r="H250" s="52" t="n"/>
      <c r="I250" s="52" t="n"/>
      <c r="J250" s="52" t="n"/>
      <c r="K250" s="52" t="n"/>
      <c r="L250" s="52" t="n"/>
      <c r="M250" s="52" t="n"/>
      <c r="N250" s="52" t="n"/>
      <c r="O250" s="52" t="n"/>
      <c r="P250" s="52" t="n"/>
      <c r="Q250" s="52" t="n"/>
      <c r="R250" s="52" t="n"/>
      <c r="S250" s="52" t="n"/>
      <c r="T250" s="52" t="n"/>
      <c r="U250" s="52" t="n"/>
      <c r="V250" s="52" t="n"/>
      <c r="W250" s="52" t="n"/>
      <c r="X250" s="52" t="n"/>
      <c r="Y250" s="52" t="n"/>
      <c r="Z250" s="52" t="n"/>
    </row>
    <row r="251" ht="15.75" customHeight="1" s="673">
      <c r="A251" s="52" t="n"/>
      <c r="B251" s="52" t="n"/>
      <c r="C251" s="52" t="n"/>
      <c r="D251" s="52" t="n"/>
      <c r="E251" s="52" t="n"/>
      <c r="F251" s="52" t="n"/>
      <c r="G251" s="52" t="n"/>
      <c r="H251" s="52" t="n"/>
      <c r="I251" s="52" t="n"/>
      <c r="J251" s="52" t="n"/>
      <c r="K251" s="52" t="n"/>
      <c r="L251" s="52" t="n"/>
      <c r="M251" s="52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  <c r="X251" s="52" t="n"/>
      <c r="Y251" s="52" t="n"/>
      <c r="Z251" s="52" t="n"/>
    </row>
    <row r="252" ht="15.75" customHeight="1" s="673">
      <c r="A252" s="52" t="n"/>
      <c r="B252" s="52" t="n"/>
      <c r="C252" s="52" t="n"/>
      <c r="D252" s="52" t="n"/>
      <c r="E252" s="52" t="n"/>
      <c r="F252" s="52" t="n"/>
      <c r="G252" s="52" t="n"/>
      <c r="H252" s="52" t="n"/>
      <c r="I252" s="52" t="n"/>
      <c r="J252" s="52" t="n"/>
      <c r="K252" s="52" t="n"/>
      <c r="L252" s="52" t="n"/>
      <c r="M252" s="52" t="n"/>
      <c r="N252" s="52" t="n"/>
      <c r="O252" s="52" t="n"/>
      <c r="P252" s="52" t="n"/>
      <c r="Q252" s="52" t="n"/>
      <c r="R252" s="52" t="n"/>
      <c r="S252" s="52" t="n"/>
      <c r="T252" s="52" t="n"/>
      <c r="U252" s="52" t="n"/>
      <c r="V252" s="52" t="n"/>
      <c r="W252" s="52" t="n"/>
      <c r="X252" s="52" t="n"/>
      <c r="Y252" s="52" t="n"/>
      <c r="Z252" s="52" t="n"/>
    </row>
    <row r="253" ht="15.75" customHeight="1" s="673">
      <c r="A253" s="52" t="n"/>
      <c r="B253" s="52" t="n"/>
      <c r="C253" s="52" t="n"/>
      <c r="D253" s="52" t="n"/>
      <c r="E253" s="52" t="n"/>
      <c r="F253" s="52" t="n"/>
      <c r="G253" s="52" t="n"/>
      <c r="H253" s="52" t="n"/>
      <c r="I253" s="52" t="n"/>
      <c r="J253" s="52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  <c r="X253" s="52" t="n"/>
      <c r="Y253" s="52" t="n"/>
      <c r="Z253" s="52" t="n"/>
    </row>
    <row r="254" ht="15.75" customHeight="1" s="673">
      <c r="A254" s="52" t="n"/>
      <c r="B254" s="52" t="n"/>
      <c r="C254" s="52" t="n"/>
      <c r="D254" s="52" t="n"/>
      <c r="E254" s="52" t="n"/>
      <c r="F254" s="52" t="n"/>
      <c r="G254" s="52" t="n"/>
      <c r="H254" s="52" t="n"/>
      <c r="I254" s="52" t="n"/>
      <c r="J254" s="52" t="n"/>
      <c r="K254" s="52" t="n"/>
      <c r="L254" s="52" t="n"/>
      <c r="M254" s="52" t="n"/>
      <c r="N254" s="52" t="n"/>
      <c r="O254" s="52" t="n"/>
      <c r="P254" s="52" t="n"/>
      <c r="Q254" s="52" t="n"/>
      <c r="R254" s="52" t="n"/>
      <c r="S254" s="52" t="n"/>
      <c r="T254" s="52" t="n"/>
      <c r="U254" s="52" t="n"/>
      <c r="V254" s="52" t="n"/>
      <c r="W254" s="52" t="n"/>
      <c r="X254" s="52" t="n"/>
      <c r="Y254" s="52" t="n"/>
      <c r="Z254" s="52" t="n"/>
    </row>
    <row r="255" ht="15.75" customHeight="1" s="673">
      <c r="A255" s="52" t="n"/>
      <c r="B255" s="52" t="n"/>
      <c r="C255" s="52" t="n"/>
      <c r="D255" s="52" t="n"/>
      <c r="E255" s="52" t="n"/>
      <c r="F255" s="52" t="n"/>
      <c r="G255" s="52" t="n"/>
      <c r="H255" s="52" t="n"/>
      <c r="I255" s="52" t="n"/>
      <c r="J255" s="52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52" t="n"/>
      <c r="T255" s="52" t="n"/>
      <c r="U255" s="52" t="n"/>
      <c r="V255" s="52" t="n"/>
      <c r="W255" s="52" t="n"/>
      <c r="X255" s="52" t="n"/>
      <c r="Y255" s="52" t="n"/>
      <c r="Z255" s="52" t="n"/>
    </row>
    <row r="256" ht="15.75" customHeight="1" s="673">
      <c r="A256" s="52" t="n"/>
      <c r="B256" s="52" t="n"/>
      <c r="C256" s="52" t="n"/>
      <c r="D256" s="52" t="n"/>
      <c r="E256" s="52" t="n"/>
      <c r="F256" s="52" t="n"/>
      <c r="G256" s="52" t="n"/>
      <c r="H256" s="52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  <c r="X256" s="52" t="n"/>
      <c r="Y256" s="52" t="n"/>
      <c r="Z256" s="52" t="n"/>
    </row>
    <row r="257" ht="15.75" customHeight="1" s="673">
      <c r="A257" s="52" t="n"/>
      <c r="B257" s="52" t="n"/>
      <c r="C257" s="52" t="n"/>
      <c r="D257" s="52" t="n"/>
      <c r="E257" s="52" t="n"/>
      <c r="F257" s="52" t="n"/>
      <c r="G257" s="52" t="n"/>
      <c r="H257" s="52" t="n"/>
      <c r="I257" s="52" t="n"/>
      <c r="J257" s="52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  <c r="X257" s="52" t="n"/>
      <c r="Y257" s="52" t="n"/>
      <c r="Z257" s="52" t="n"/>
    </row>
    <row r="258" ht="15.75" customHeight="1" s="673">
      <c r="A258" s="52" t="n"/>
      <c r="B258" s="52" t="n"/>
      <c r="C258" s="52" t="n"/>
      <c r="D258" s="52" t="n"/>
      <c r="E258" s="52" t="n"/>
      <c r="F258" s="52" t="n"/>
      <c r="G258" s="52" t="n"/>
      <c r="H258" s="52" t="n"/>
      <c r="I258" s="52" t="n"/>
      <c r="J258" s="52" t="n"/>
      <c r="K258" s="52" t="n"/>
      <c r="L258" s="52" t="n"/>
      <c r="M258" s="52" t="n"/>
      <c r="N258" s="52" t="n"/>
      <c r="O258" s="52" t="n"/>
      <c r="P258" s="52" t="n"/>
      <c r="Q258" s="52" t="n"/>
      <c r="R258" s="52" t="n"/>
      <c r="S258" s="52" t="n"/>
      <c r="T258" s="52" t="n"/>
      <c r="U258" s="52" t="n"/>
      <c r="V258" s="52" t="n"/>
      <c r="W258" s="52" t="n"/>
      <c r="X258" s="52" t="n"/>
      <c r="Y258" s="52" t="n"/>
      <c r="Z258" s="52" t="n"/>
    </row>
    <row r="259" ht="15.75" customHeight="1" s="673">
      <c r="A259" s="52" t="n"/>
      <c r="B259" s="52" t="n"/>
      <c r="C259" s="52" t="n"/>
      <c r="D259" s="52" t="n"/>
      <c r="E259" s="52" t="n"/>
      <c r="F259" s="52" t="n"/>
      <c r="G259" s="52" t="n"/>
      <c r="H259" s="52" t="n"/>
      <c r="I259" s="52" t="n"/>
      <c r="J259" s="52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  <c r="X259" s="52" t="n"/>
      <c r="Y259" s="52" t="n"/>
      <c r="Z259" s="52" t="n"/>
    </row>
    <row r="260" ht="15.75" customHeight="1" s="673">
      <c r="A260" s="52" t="n"/>
      <c r="B260" s="52" t="n"/>
      <c r="C260" s="52" t="n"/>
      <c r="D260" s="52" t="n"/>
      <c r="E260" s="52" t="n"/>
      <c r="F260" s="52" t="n"/>
      <c r="G260" s="52" t="n"/>
      <c r="H260" s="52" t="n"/>
      <c r="I260" s="52" t="n"/>
      <c r="J260" s="52" t="n"/>
      <c r="K260" s="52" t="n"/>
      <c r="L260" s="52" t="n"/>
      <c r="M260" s="52" t="n"/>
      <c r="N260" s="52" t="n"/>
      <c r="O260" s="52" t="n"/>
      <c r="P260" s="52" t="n"/>
      <c r="Q260" s="52" t="n"/>
      <c r="R260" s="52" t="n"/>
      <c r="S260" s="52" t="n"/>
      <c r="T260" s="52" t="n"/>
      <c r="U260" s="52" t="n"/>
      <c r="V260" s="52" t="n"/>
      <c r="W260" s="52" t="n"/>
      <c r="X260" s="52" t="n"/>
      <c r="Y260" s="52" t="n"/>
      <c r="Z260" s="52" t="n"/>
    </row>
    <row r="261" ht="15.75" customHeight="1" s="673">
      <c r="A261" s="52" t="n"/>
      <c r="B261" s="52" t="n"/>
      <c r="C261" s="52" t="n"/>
      <c r="D261" s="52" t="n"/>
      <c r="E261" s="52" t="n"/>
      <c r="F261" s="52" t="n"/>
      <c r="G261" s="52" t="n"/>
      <c r="H261" s="52" t="n"/>
      <c r="I261" s="52" t="n"/>
      <c r="J261" s="52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  <c r="X261" s="52" t="n"/>
      <c r="Y261" s="52" t="n"/>
      <c r="Z261" s="52" t="n"/>
    </row>
    <row r="262" ht="15.75" customHeight="1" s="673">
      <c r="A262" s="52" t="n"/>
      <c r="B262" s="52" t="n"/>
      <c r="C262" s="52" t="n"/>
      <c r="D262" s="52" t="n"/>
      <c r="E262" s="52" t="n"/>
      <c r="F262" s="52" t="n"/>
      <c r="G262" s="52" t="n"/>
      <c r="H262" s="52" t="n"/>
      <c r="I262" s="52" t="n"/>
      <c r="J262" s="52" t="n"/>
      <c r="K262" s="52" t="n"/>
      <c r="L262" s="52" t="n"/>
      <c r="M262" s="52" t="n"/>
      <c r="N262" s="52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  <c r="X262" s="52" t="n"/>
      <c r="Y262" s="52" t="n"/>
      <c r="Z262" s="52" t="n"/>
    </row>
    <row r="263" ht="15.75" customHeight="1" s="673">
      <c r="A263" s="52" t="n"/>
      <c r="B263" s="52" t="n"/>
      <c r="C263" s="52" t="n"/>
      <c r="D263" s="52" t="n"/>
      <c r="E263" s="52" t="n"/>
      <c r="F263" s="52" t="n"/>
      <c r="G263" s="52" t="n"/>
      <c r="H263" s="52" t="n"/>
      <c r="I263" s="52" t="n"/>
      <c r="J263" s="52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  <c r="X263" s="52" t="n"/>
      <c r="Y263" s="52" t="n"/>
      <c r="Z263" s="52" t="n"/>
    </row>
    <row r="264" ht="15.75" customHeight="1" s="673">
      <c r="A264" s="52" t="n"/>
      <c r="B264" s="52" t="n"/>
      <c r="C264" s="52" t="n"/>
      <c r="D264" s="52" t="n"/>
      <c r="E264" s="52" t="n"/>
      <c r="F264" s="52" t="n"/>
      <c r="G264" s="52" t="n"/>
      <c r="H264" s="52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  <c r="X264" s="52" t="n"/>
      <c r="Y264" s="52" t="n"/>
      <c r="Z264" s="52" t="n"/>
    </row>
    <row r="265" ht="15.75" customHeight="1" s="673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  <c r="Z265" s="52" t="n"/>
    </row>
    <row r="266" ht="15.75" customHeight="1" s="673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</row>
    <row r="267" ht="15.75" customHeight="1" s="673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</row>
    <row r="268" ht="15.75" customHeight="1" s="673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</row>
    <row r="269" ht="15.75" customHeight="1" s="673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mergeCells count="19">
    <mergeCell ref="B16:F16"/>
    <mergeCell ref="B25:F25"/>
    <mergeCell ref="B18:F18"/>
    <mergeCell ref="B27:F27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B9:F9"/>
    <mergeCell ref="B30:F30"/>
    <mergeCell ref="B24:F24"/>
    <mergeCell ref="B15:F15"/>
    <mergeCell ref="B32:F32"/>
    <mergeCell ref="B26:F26"/>
  </mergeCells>
  <pageMargins left="0.5905511811023623" right="0.5905511811023623" top="0.5905511811023623" bottom="0.5905511811023623" header="0" footer="0"/>
  <pageSetup orientation="landscape" paperSize="9"/>
</worksheet>
</file>

<file path=xl/worksheets/sheet11.xml><?xml version="1.0" encoding="utf-8"?>
<worksheet xmlns="http://schemas.openxmlformats.org/spreadsheetml/2006/main">
  <sheetPr>
    <outlinePr summaryBelow="0" summaryRight="0"/>
    <pageSetUpPr fitToPage="1"/>
  </sheetPr>
  <dimension ref="A1:AA1000"/>
  <sheetViews>
    <sheetView workbookViewId="0">
      <selection activeCell="A1" sqref="A1"/>
    </sheetView>
  </sheetViews>
  <sheetFormatPr baseColWidth="8" defaultColWidth="12.63" defaultRowHeight="15" customHeight="1"/>
  <cols>
    <col width="26.25" customWidth="1" style="673" min="1" max="1"/>
    <col width="23" customWidth="1" style="673" min="2" max="2"/>
    <col width="23.75" customWidth="1" style="673" min="3" max="3"/>
    <col width="14" customWidth="1" style="673" min="4" max="4"/>
    <col width="19" customWidth="1" style="673" min="5" max="5"/>
    <col width="17.88" customWidth="1" style="673" min="6" max="6"/>
    <col width="15.63" customWidth="1" style="673" min="13" max="14"/>
  </cols>
  <sheetData>
    <row r="1">
      <c r="A1" s="350" t="n"/>
      <c r="B1" s="52" t="n"/>
      <c r="C1" s="52" t="n"/>
      <c r="D1" s="52" t="n"/>
      <c r="E1" s="52" t="n"/>
      <c r="F1" s="52" t="n"/>
      <c r="M1" s="52" t="n"/>
      <c r="N1" s="52" t="n"/>
    </row>
    <row r="2">
      <c r="A2" s="350" t="n"/>
      <c r="B2" s="52" t="n"/>
      <c r="C2" s="52" t="n"/>
      <c r="D2" s="52" t="n"/>
      <c r="E2" s="52" t="n"/>
      <c r="F2" s="52" t="n"/>
      <c r="M2" s="52" t="n"/>
      <c r="N2" s="52" t="n"/>
    </row>
    <row r="3">
      <c r="A3" s="350" t="n"/>
      <c r="B3" s="52" t="n"/>
      <c r="C3" s="52" t="n"/>
      <c r="D3" s="52" t="n"/>
      <c r="E3" s="52" t="n"/>
      <c r="F3" s="52" t="n"/>
      <c r="M3" s="52" t="n"/>
      <c r="N3" s="52" t="n"/>
    </row>
    <row r="4">
      <c r="A4" s="350" t="n"/>
      <c r="B4" s="350" t="n"/>
      <c r="C4" s="248" t="inlineStr">
        <is>
          <t>RESULTADO X DISTRIBUIÇÃO DE DIVIDENDOS</t>
        </is>
      </c>
      <c r="D4" s="678" t="n"/>
      <c r="E4" s="676" t="n"/>
      <c r="F4" s="350" t="n"/>
      <c r="G4" s="350" t="n"/>
      <c r="H4" s="350" t="n"/>
      <c r="I4" s="350" t="n"/>
      <c r="J4" s="350" t="n"/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  <c r="T4" s="350" t="n"/>
      <c r="U4" s="350" t="n"/>
      <c r="V4" s="350" t="n"/>
      <c r="W4" s="350" t="n"/>
      <c r="X4" s="350" t="n"/>
      <c r="Y4" s="350" t="n"/>
      <c r="Z4" s="350" t="n"/>
      <c r="AA4" s="350" t="n"/>
    </row>
    <row r="5">
      <c r="A5" s="350" t="n"/>
      <c r="B5" s="350" t="n"/>
      <c r="C5" s="249" t="inlineStr">
        <is>
          <t>RECEITA PJ 2026</t>
        </is>
      </c>
      <c r="D5" s="676" t="n"/>
      <c r="E5" s="353">
        <f>RECEITAS!G64</f>
        <v/>
      </c>
      <c r="F5" s="52" t="n"/>
      <c r="G5" s="350" t="n"/>
      <c r="H5" s="350" t="n"/>
      <c r="I5" s="350" t="n"/>
      <c r="J5" s="350" t="n"/>
      <c r="K5" s="350" t="n"/>
      <c r="L5" s="350" t="n"/>
      <c r="M5" s="350" t="n"/>
      <c r="N5" s="350" t="n"/>
      <c r="O5" s="350" t="n"/>
      <c r="P5" s="350" t="n"/>
      <c r="Q5" s="350" t="n"/>
      <c r="R5" s="350" t="n"/>
      <c r="S5" s="350" t="n"/>
      <c r="T5" s="350" t="n"/>
      <c r="U5" s="350" t="n"/>
      <c r="V5" s="350" t="n"/>
      <c r="W5" s="350" t="n"/>
      <c r="X5" s="350" t="n"/>
      <c r="Y5" s="350" t="n"/>
      <c r="Z5" s="350" t="n"/>
      <c r="AA5" s="350" t="n"/>
    </row>
    <row r="6">
      <c r="A6" s="350" t="n"/>
      <c r="B6" s="350" t="n"/>
      <c r="C6" s="249" t="inlineStr">
        <is>
          <t>IMPOSTO PJ 2026</t>
        </is>
      </c>
      <c r="D6" s="676" t="n"/>
      <c r="E6" s="353">
        <f>RESULTADO!F44</f>
        <v/>
      </c>
      <c r="F6" s="52" t="n"/>
      <c r="G6" s="350" t="n"/>
      <c r="H6" s="350" t="n"/>
      <c r="I6" s="350" t="n"/>
      <c r="J6" s="350" t="n"/>
      <c r="K6" s="350" t="n"/>
      <c r="L6" s="350" t="n"/>
      <c r="M6" s="350" t="n"/>
      <c r="N6" s="350" t="n"/>
      <c r="O6" s="350" t="n"/>
      <c r="P6" s="350" t="n"/>
      <c r="Q6" s="350" t="n"/>
      <c r="R6" s="350" t="n"/>
      <c r="S6" s="350" t="n"/>
      <c r="T6" s="350" t="n"/>
      <c r="U6" s="350" t="n"/>
      <c r="V6" s="350" t="n"/>
      <c r="W6" s="350" t="n"/>
      <c r="X6" s="350" t="n"/>
      <c r="Y6" s="350" t="n"/>
      <c r="Z6" s="350" t="n"/>
      <c r="AA6" s="350" t="n"/>
    </row>
    <row r="7">
      <c r="A7" s="350" t="n"/>
      <c r="B7" s="350" t="n"/>
      <c r="C7" s="249" t="inlineStr">
        <is>
          <t>OUTRAS RECEITAS</t>
        </is>
      </c>
      <c r="D7" s="676" t="n"/>
      <c r="E7" s="353" t="n"/>
      <c r="F7" s="350" t="n"/>
      <c r="G7" s="350" t="n"/>
      <c r="H7" s="350" t="n"/>
      <c r="I7" s="350" t="n"/>
      <c r="J7" s="350" t="n"/>
      <c r="K7" s="350" t="n"/>
      <c r="L7" s="350" t="n"/>
      <c r="M7" s="350" t="n"/>
      <c r="N7" s="350" t="n"/>
      <c r="O7" s="350" t="n"/>
      <c r="P7" s="350" t="n"/>
      <c r="Q7" s="350" t="n"/>
      <c r="R7" s="350" t="n"/>
      <c r="S7" s="350" t="n"/>
      <c r="T7" s="350" t="n"/>
      <c r="U7" s="350" t="n"/>
      <c r="V7" s="350" t="n"/>
      <c r="W7" s="350" t="n"/>
      <c r="X7" s="350" t="n"/>
      <c r="Y7" s="350" t="n"/>
      <c r="Z7" s="350" t="n"/>
      <c r="AA7" s="350" t="n"/>
    </row>
    <row r="8">
      <c r="A8" s="350" t="n"/>
      <c r="B8" s="350" t="n"/>
      <c r="C8" s="249" t="inlineStr">
        <is>
          <t>DEMAIS DESPESAS</t>
        </is>
      </c>
      <c r="D8" s="676" t="n"/>
      <c r="E8" s="353" t="n">
        <v>100000</v>
      </c>
      <c r="F8" s="350" t="n"/>
      <c r="G8" s="350" t="n"/>
      <c r="H8" s="350" t="n"/>
      <c r="I8" s="350" t="n"/>
      <c r="J8" s="350" t="n"/>
      <c r="K8" s="350" t="n"/>
      <c r="L8" s="350" t="n"/>
      <c r="M8" s="350" t="n"/>
      <c r="N8" s="350" t="n"/>
      <c r="O8" s="350" t="n"/>
      <c r="P8" s="350" t="n"/>
      <c r="Q8" s="350" t="n"/>
      <c r="R8" s="350" t="n"/>
      <c r="S8" s="350" t="n"/>
      <c r="T8" s="350" t="n"/>
      <c r="U8" s="350" t="n"/>
      <c r="V8" s="350" t="n"/>
      <c r="W8" s="350" t="n"/>
      <c r="X8" s="350" t="n"/>
      <c r="Y8" s="350" t="n"/>
      <c r="Z8" s="350" t="n"/>
      <c r="AA8" s="350" t="n"/>
    </row>
    <row r="9">
      <c r="A9" s="350" t="n"/>
      <c r="B9" s="350" t="n"/>
      <c r="C9" s="249" t="inlineStr">
        <is>
          <t>DIVIDENDOS A DISTRIBUIR</t>
        </is>
      </c>
      <c r="D9" s="676" t="n"/>
      <c r="E9" s="353">
        <f>E5-E6-E8+E7</f>
        <v/>
      </c>
      <c r="F9" s="52" t="n"/>
      <c r="M9" s="52" t="n"/>
      <c r="N9" s="52" t="n"/>
      <c r="R9" s="350" t="n"/>
      <c r="S9" s="350" t="n"/>
      <c r="T9" s="350" t="n"/>
      <c r="U9" s="350" t="n"/>
      <c r="V9" s="350" t="n"/>
      <c r="W9" s="350" t="n"/>
      <c r="X9" s="350" t="n"/>
      <c r="Y9" s="350" t="n"/>
      <c r="Z9" s="350" t="n"/>
      <c r="AA9" s="350" t="n"/>
    </row>
    <row r="10">
      <c r="A10" s="350" t="n"/>
      <c r="B10" s="350" t="n"/>
      <c r="C10" s="249" t="inlineStr">
        <is>
          <t>LUCRO ACUMULADO ATÉ 2025</t>
        </is>
      </c>
      <c r="D10" s="676" t="n"/>
      <c r="E10" s="353" t="n">
        <v>0</v>
      </c>
      <c r="F10" s="52" t="n"/>
      <c r="M10" s="52" t="n"/>
      <c r="N10" s="52" t="n"/>
      <c r="R10" s="350" t="n"/>
      <c r="S10" s="350" t="n"/>
      <c r="T10" s="350" t="n"/>
      <c r="U10" s="350" t="n"/>
      <c r="V10" s="350" t="n"/>
      <c r="W10" s="350" t="n"/>
      <c r="X10" s="350" t="n"/>
      <c r="Y10" s="350" t="n"/>
      <c r="Z10" s="350" t="n"/>
      <c r="AA10" s="350" t="n"/>
    </row>
    <row r="11">
      <c r="A11" s="350" t="n"/>
      <c r="B11" s="350" t="n"/>
      <c r="C11" s="249" t="inlineStr">
        <is>
          <t>DIVIDENDOS TRIBUTÁVEL</t>
        </is>
      </c>
      <c r="D11" s="676" t="n"/>
      <c r="E11" s="353">
        <f>E9-E10</f>
        <v/>
      </c>
      <c r="F11" s="52" t="n"/>
      <c r="M11" s="52" t="n"/>
      <c r="N11" s="52" t="n"/>
      <c r="R11" s="350" t="n"/>
      <c r="S11" s="350" t="n"/>
      <c r="T11" s="350" t="n"/>
      <c r="U11" s="350" t="n"/>
      <c r="V11" s="350" t="n"/>
      <c r="W11" s="350" t="n"/>
      <c r="X11" s="350" t="n"/>
      <c r="Y11" s="350" t="n"/>
      <c r="Z11" s="350" t="n"/>
      <c r="AA11" s="350" t="n"/>
    </row>
    <row r="12" ht="31.5" customHeight="1" s="673">
      <c r="A12" s="350" t="n"/>
      <c r="B12" s="350" t="n"/>
      <c r="C12" s="354" t="n"/>
      <c r="D12" s="354" t="n"/>
      <c r="E12" s="355" t="n"/>
      <c r="F12" s="350" t="n"/>
      <c r="G12" s="350" t="n"/>
      <c r="H12" s="350" t="n"/>
      <c r="I12" s="350" t="n"/>
      <c r="J12" s="350" t="n"/>
      <c r="K12" s="350" t="n"/>
      <c r="L12" s="350" t="n"/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  <c r="Z12" s="350" t="n"/>
      <c r="AA12" s="350" t="n"/>
    </row>
    <row r="13" ht="31.5" customHeight="1" s="673">
      <c r="A13" s="350" t="n"/>
      <c r="B13" s="350" t="n"/>
      <c r="C13" s="248" t="inlineStr">
        <is>
          <t>PARCEIROS</t>
        </is>
      </c>
      <c r="D13" s="248" t="inlineStr">
        <is>
          <t>%</t>
        </is>
      </c>
      <c r="E13" s="356" t="inlineStr">
        <is>
          <t>DISTRIBUIÇÃO TRIBUTÁVEL</t>
        </is>
      </c>
      <c r="F13" s="52" t="n"/>
      <c r="M13" s="52" t="n"/>
      <c r="N13" s="52" t="n"/>
      <c r="R13" s="350" t="n"/>
      <c r="S13" s="350" t="n"/>
      <c r="T13" s="350" t="n"/>
      <c r="U13" s="350" t="n"/>
      <c r="V13" s="350" t="n"/>
      <c r="W13" s="350" t="n"/>
      <c r="X13" s="350" t="n"/>
      <c r="Y13" s="350" t="n"/>
      <c r="Z13" s="350" t="n"/>
      <c r="AA13" s="350" t="n"/>
    </row>
    <row r="14">
      <c r="A14" s="350" t="n"/>
      <c r="B14" s="350" t="n"/>
      <c r="C14" s="249">
        <f>RESULTADO!B28</f>
        <v/>
      </c>
      <c r="D14" s="250">
        <f>RESULTADO!C28</f>
        <v/>
      </c>
      <c r="E14" s="353">
        <f>IF($E$11*D14&gt;0,$E$11*D14,0)</f>
        <v/>
      </c>
      <c r="F14" s="350" t="n"/>
      <c r="G14" s="350" t="n"/>
      <c r="H14" s="350" t="n"/>
      <c r="I14" s="350" t="n"/>
      <c r="J14" s="350" t="n"/>
      <c r="K14" s="350" t="n"/>
      <c r="L14" s="350" t="n"/>
      <c r="M14" s="350" t="n"/>
      <c r="N14" s="350" t="n"/>
      <c r="O14" s="350" t="n"/>
      <c r="P14" s="350" t="n"/>
      <c r="Q14" s="350" t="n"/>
      <c r="R14" s="350" t="n"/>
      <c r="S14" s="350" t="n"/>
      <c r="T14" s="350" t="n"/>
      <c r="U14" s="350" t="n"/>
      <c r="V14" s="350" t="n"/>
      <c r="W14" s="350" t="n"/>
      <c r="X14" s="350" t="n"/>
      <c r="Y14" s="350" t="n"/>
      <c r="Z14" s="350" t="n"/>
      <c r="AA14" s="350" t="n"/>
    </row>
    <row r="15">
      <c r="A15" s="350" t="n"/>
      <c r="B15" s="350" t="n"/>
      <c r="C15" s="249">
        <f>RESULTADO!B29</f>
        <v/>
      </c>
      <c r="D15" s="250">
        <f>RESULTADO!C29</f>
        <v/>
      </c>
      <c r="E15" s="353">
        <f>IF($E$11*D15&gt;0,$E$11*D15,0)</f>
        <v/>
      </c>
      <c r="F15" s="350" t="n"/>
      <c r="G15" s="350" t="n"/>
      <c r="H15" s="350" t="n"/>
      <c r="I15" s="350" t="n"/>
      <c r="J15" s="350" t="n"/>
      <c r="K15" s="350" t="n"/>
      <c r="L15" s="350" t="n"/>
      <c r="M15" s="350" t="n"/>
      <c r="N15" s="350" t="n"/>
      <c r="O15" s="350" t="n"/>
      <c r="P15" s="350" t="n"/>
      <c r="Q15" s="350" t="n"/>
      <c r="R15" s="350" t="n"/>
      <c r="S15" s="350" t="n"/>
      <c r="T15" s="350" t="n"/>
      <c r="U15" s="350" t="n"/>
      <c r="V15" s="350" t="n"/>
      <c r="W15" s="350" t="n"/>
      <c r="X15" s="350" t="n"/>
      <c r="Y15" s="350" t="n"/>
      <c r="Z15" s="350" t="n"/>
      <c r="AA15" s="350" t="n"/>
    </row>
    <row r="16">
      <c r="A16" s="350" t="n"/>
      <c r="B16" s="350" t="n"/>
      <c r="C16" s="249">
        <f>RESULTADO!B30</f>
        <v/>
      </c>
      <c r="D16" s="250">
        <f>RESULTADO!C30</f>
        <v/>
      </c>
      <c r="E16" s="353">
        <f>IF($E$11*D16&gt;0,$E$11*D16,0)</f>
        <v/>
      </c>
      <c r="F16" s="350" t="n"/>
      <c r="G16" s="350" t="n"/>
      <c r="H16" s="350" t="n"/>
      <c r="I16" s="350" t="n"/>
      <c r="J16" s="350" t="n"/>
      <c r="K16" s="350" t="n"/>
      <c r="L16" s="350" t="n"/>
      <c r="M16" s="350" t="n"/>
      <c r="N16" s="350" t="n"/>
      <c r="O16" s="350" t="n"/>
      <c r="P16" s="350" t="n"/>
      <c r="Q16" s="350" t="n"/>
      <c r="R16" s="350" t="n"/>
      <c r="S16" s="350" t="n"/>
      <c r="T16" s="350" t="n"/>
      <c r="U16" s="350" t="n"/>
      <c r="V16" s="350" t="n"/>
      <c r="W16" s="350" t="n"/>
      <c r="X16" s="350" t="n"/>
      <c r="Y16" s="350" t="n"/>
      <c r="Z16" s="350" t="n"/>
      <c r="AA16" s="350" t="n"/>
    </row>
    <row r="17">
      <c r="A17" s="350" t="n"/>
      <c r="B17" s="350" t="n"/>
      <c r="C17" s="249">
        <f>RESULTADO!B31</f>
        <v/>
      </c>
      <c r="D17" s="250">
        <f>RESULTADO!C31</f>
        <v/>
      </c>
      <c r="E17" s="353">
        <f>IF($E$11*D17&gt;0,$E$11*D17,0)</f>
        <v/>
      </c>
      <c r="F17" s="350" t="n"/>
      <c r="G17" s="350" t="n"/>
      <c r="H17" s="350" t="n"/>
      <c r="I17" s="350" t="n"/>
      <c r="J17" s="350" t="n"/>
      <c r="K17" s="350" t="n"/>
      <c r="L17" s="350" t="n"/>
      <c r="M17" s="350" t="n"/>
      <c r="N17" s="350" t="n"/>
      <c r="O17" s="350" t="n"/>
      <c r="P17" s="350" t="n"/>
      <c r="Q17" s="350" t="n"/>
      <c r="R17" s="350" t="n"/>
      <c r="S17" s="350" t="n"/>
      <c r="T17" s="350" t="n"/>
      <c r="U17" s="350" t="n"/>
      <c r="V17" s="350" t="n"/>
      <c r="W17" s="350" t="n"/>
      <c r="X17" s="350" t="n"/>
      <c r="Y17" s="350" t="n"/>
      <c r="Z17" s="350" t="n"/>
      <c r="AA17" s="350" t="n"/>
    </row>
    <row r="18">
      <c r="A18" s="350" t="n"/>
      <c r="B18" s="350" t="n"/>
      <c r="C18" s="249">
        <f>RESULTADO!B32</f>
        <v/>
      </c>
      <c r="D18" s="250">
        <f>RESULTADO!C32</f>
        <v/>
      </c>
      <c r="E18" s="353">
        <f>IF($E$11*D18&gt;0,$E$11*D18,0)</f>
        <v/>
      </c>
      <c r="F18" s="350" t="n"/>
      <c r="G18" s="350" t="n"/>
      <c r="H18" s="350" t="n"/>
      <c r="I18" s="350" t="n"/>
      <c r="J18" s="350" t="n"/>
      <c r="K18" s="350" t="n"/>
      <c r="L18" s="350" t="n"/>
      <c r="M18" s="350" t="n"/>
      <c r="N18" s="350" t="n"/>
      <c r="O18" s="350" t="n"/>
      <c r="P18" s="350" t="n"/>
      <c r="Q18" s="350" t="n"/>
      <c r="R18" s="350" t="n"/>
      <c r="S18" s="350" t="n"/>
      <c r="T18" s="350" t="n"/>
      <c r="U18" s="350" t="n"/>
      <c r="V18" s="350" t="n"/>
      <c r="W18" s="350" t="n"/>
      <c r="X18" s="350" t="n"/>
      <c r="Y18" s="350" t="n"/>
      <c r="Z18" s="350" t="n"/>
      <c r="AA18" s="350" t="n"/>
    </row>
    <row r="19">
      <c r="A19" s="350" t="n"/>
      <c r="B19" s="350" t="n"/>
      <c r="C19" s="249">
        <f>RESULTADO!B33</f>
        <v/>
      </c>
      <c r="D19" s="250">
        <f>RESULTADO!C33</f>
        <v/>
      </c>
      <c r="E19" s="353">
        <f>IF($E$11*D19&gt;0,$E$11*D19,0)</f>
        <v/>
      </c>
      <c r="F19" s="350" t="n"/>
      <c r="G19" s="350" t="n"/>
      <c r="H19" s="350" t="n"/>
      <c r="I19" s="350" t="n"/>
      <c r="J19" s="350" t="n"/>
      <c r="K19" s="350" t="n"/>
      <c r="L19" s="350" t="n"/>
      <c r="M19" s="350" t="n"/>
      <c r="N19" s="350" t="n"/>
      <c r="O19" s="350" t="n"/>
      <c r="P19" s="350" t="n"/>
      <c r="Q19" s="350" t="n"/>
      <c r="R19" s="350" t="n"/>
      <c r="S19" s="350" t="n"/>
      <c r="T19" s="350" t="n"/>
      <c r="U19" s="350" t="n"/>
      <c r="V19" s="350" t="n"/>
      <c r="W19" s="350" t="n"/>
      <c r="X19" s="350" t="n"/>
      <c r="Y19" s="350" t="n"/>
      <c r="Z19" s="350" t="n"/>
      <c r="AA19" s="350" t="n"/>
    </row>
    <row r="20">
      <c r="A20" s="350" t="n"/>
      <c r="B20" s="350" t="n"/>
      <c r="C20" s="249">
        <f>RESULTADO!B34</f>
        <v/>
      </c>
      <c r="D20" s="250">
        <f>RESULTADO!C34</f>
        <v/>
      </c>
      <c r="E20" s="353">
        <f>IF($E$11*D20&gt;0,$E$11*D20,0)</f>
        <v/>
      </c>
      <c r="F20" s="350" t="n"/>
      <c r="G20" s="350" t="n"/>
      <c r="H20" s="350" t="n"/>
      <c r="I20" s="350" t="n"/>
      <c r="J20" s="350" t="n"/>
      <c r="K20" s="350" t="n"/>
      <c r="L20" s="350" t="n"/>
      <c r="M20" s="350" t="n"/>
      <c r="N20" s="350" t="n"/>
      <c r="O20" s="350" t="n"/>
      <c r="P20" s="350" t="n"/>
      <c r="Q20" s="350" t="n"/>
      <c r="R20" s="350" t="n"/>
      <c r="S20" s="350" t="n"/>
      <c r="T20" s="350" t="n"/>
      <c r="U20" s="350" t="n"/>
      <c r="V20" s="350" t="n"/>
      <c r="W20" s="350" t="n"/>
      <c r="X20" s="350" t="n"/>
      <c r="Y20" s="350" t="n"/>
      <c r="Z20" s="350" t="n"/>
      <c r="AA20" s="350" t="n"/>
    </row>
    <row r="21" ht="15.75" customHeight="1" s="673">
      <c r="A21" s="350" t="n"/>
      <c r="B21" s="350" t="n"/>
      <c r="C21" s="249">
        <f>RESULTADO!B35</f>
        <v/>
      </c>
      <c r="D21" s="250">
        <f>RESULTADO!C35</f>
        <v/>
      </c>
      <c r="E21" s="353">
        <f>IF($E$11*D21&gt;0,$E$11*D21,0)</f>
        <v/>
      </c>
      <c r="F21" s="350" t="n"/>
      <c r="G21" s="350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</row>
    <row r="22" ht="15.75" customHeight="1" s="673">
      <c r="A22" s="350" t="n"/>
      <c r="B22" s="350" t="n"/>
      <c r="C22" s="357" t="inlineStr">
        <is>
          <t>TOTAL</t>
        </is>
      </c>
      <c r="D22" s="250">
        <f>SUM(D14:D21)</f>
        <v/>
      </c>
      <c r="E22" s="353">
        <f>SUM(E14:E21)</f>
        <v/>
      </c>
      <c r="F22" s="358" t="n"/>
      <c r="G22" s="350" t="n"/>
      <c r="H22" s="350" t="n"/>
      <c r="I22" s="350" t="n"/>
      <c r="J22" s="350" t="n"/>
      <c r="K22" s="350" t="n"/>
      <c r="L22" s="350" t="n"/>
      <c r="M22" s="350" t="n"/>
      <c r="N22" s="350" t="n"/>
      <c r="O22" s="350" t="n"/>
      <c r="P22" s="350" t="n"/>
      <c r="Q22" s="350" t="n"/>
      <c r="R22" s="350" t="n"/>
      <c r="S22" s="350" t="n"/>
      <c r="T22" s="350" t="n"/>
      <c r="U22" s="350" t="n"/>
      <c r="V22" s="350" t="n"/>
      <c r="W22" s="350" t="n"/>
      <c r="X22" s="350" t="n"/>
      <c r="Y22" s="350" t="n"/>
      <c r="Z22" s="350" t="n"/>
      <c r="AA22" s="350" t="n"/>
    </row>
    <row r="23" ht="15.75" customHeight="1" s="673">
      <c r="A23" s="350" t="n"/>
      <c r="B23" s="350" t="n"/>
      <c r="C23" s="350" t="n"/>
      <c r="D23" s="350" t="n"/>
      <c r="E23" s="350" t="n"/>
      <c r="F23" s="350" t="n"/>
      <c r="G23" s="350" t="n"/>
      <c r="H23" s="350" t="n"/>
      <c r="I23" s="350" t="n"/>
      <c r="J23" s="350" t="n"/>
      <c r="K23" s="350" t="n"/>
      <c r="L23" s="350" t="n"/>
      <c r="M23" s="350" t="n"/>
      <c r="N23" s="350" t="n"/>
      <c r="O23" s="350" t="n"/>
      <c r="P23" s="350" t="n"/>
      <c r="Q23" s="350" t="n"/>
      <c r="R23" s="350" t="n"/>
      <c r="S23" s="350" t="n"/>
      <c r="T23" s="350" t="n"/>
      <c r="U23" s="350" t="n"/>
      <c r="V23" s="350" t="n"/>
      <c r="W23" s="350" t="n"/>
      <c r="X23" s="350" t="n"/>
      <c r="Y23" s="350" t="n"/>
      <c r="Z23" s="350" t="n"/>
      <c r="AA23" s="350" t="n"/>
    </row>
    <row r="24" ht="15.75" customHeight="1" s="673">
      <c r="A24" s="350" t="n"/>
      <c r="B24" s="248" t="inlineStr">
        <is>
          <t>Renda Global Real</t>
        </is>
      </c>
      <c r="C24" s="248" t="inlineStr">
        <is>
          <t>PARCEIROS</t>
        </is>
      </c>
      <c r="D24" s="248" t="inlineStr">
        <is>
          <t>ALÍQUOTA</t>
        </is>
      </c>
      <c r="E24" s="248" t="inlineStr">
        <is>
          <t>CÁLCULO</t>
        </is>
      </c>
      <c r="F24" s="248" t="inlineStr">
        <is>
          <t>IMPOSTO DEVIDO</t>
        </is>
      </c>
      <c r="G24" s="350" t="n"/>
      <c r="H24" s="350" t="n"/>
      <c r="I24" s="350" t="n"/>
      <c r="J24" s="350" t="n"/>
      <c r="K24" s="350" t="n"/>
      <c r="L24" s="350" t="n"/>
      <c r="M24" s="350" t="n"/>
      <c r="N24" s="350" t="n"/>
      <c r="O24" s="350" t="n"/>
      <c r="P24" s="350" t="n"/>
      <c r="Q24" s="350" t="n"/>
      <c r="R24" s="350" t="n"/>
      <c r="S24" s="350" t="n"/>
      <c r="T24" s="350" t="n"/>
      <c r="U24" s="350" t="n"/>
      <c r="V24" s="350" t="n"/>
      <c r="W24" s="350" t="n"/>
      <c r="X24" s="350" t="n"/>
      <c r="Y24" s="350" t="n"/>
      <c r="Z24" s="350" t="n"/>
      <c r="AA24" s="350" t="n"/>
    </row>
    <row r="25" ht="15.75" customHeight="1" s="673">
      <c r="A25" s="350" t="n"/>
      <c r="B25" s="359">
        <f>E14 + IF('RESULTADO DETALHADO'!B24 = "ARBITRAMENTO",'RESULTADO DETALHADO'!D21  * 0.2, MAX(0,'RESULTADO DETALHADO'!D23  - RESULTADO!G50)) + PARTICULAR!O9</f>
        <v/>
      </c>
      <c r="C25" s="249">
        <f>C14</f>
        <v/>
      </c>
      <c r="D25" s="250">
        <f>IF(B25 &lt; 600000, 0, IF(B25 &gt; 1200000, 10%, ((B25/60000)-10)/100))</f>
        <v/>
      </c>
      <c r="E25" s="353">
        <f>B25*D25</f>
        <v/>
      </c>
      <c r="F25" s="353">
        <f>MAX(E25,MIN(IF(MAX(0,B25-MIN(B25*0.2,17640))&lt;=28467.2,0,IF(MAX(0,B25-MIN(B25*0.2,17640))&lt;=33919.8,MAX(0,B25-MIN(B25*0.2,17640))*0.075-2135.04,IF(MAX(0,B25-MIN(B25*0.2,17640))&lt;=45012.6,MAX(0,B25-MIN(B25*0.2,17640))*0.15-4679.03,IF(MAX(0,B25-MIN(B25*0.2,17640))&lt;=55976.16,MAX(0,B25-MIN(B25*0.2,17640))*0.225-8054.97,MAX(0,B25-MIN(B25*0.2,17640))*0.275-10853.78)))),IF(B25&lt;=28467.2,0,IF(B25&lt;=33919.8,B25*0.075-2135.04,IF(B25&lt;=45012.6,B25*0.15-4679.03,IF(B25&lt;=55976.16,B25*0.225-8054.97,B25*0.275-10853.78))))))</f>
        <v/>
      </c>
      <c r="G25" s="350" t="n"/>
      <c r="H25" s="350" t="n"/>
      <c r="I25" s="350" t="n"/>
      <c r="J25" s="350" t="n"/>
      <c r="K25" s="350" t="n"/>
      <c r="L25" s="350" t="n"/>
      <c r="M25" s="350" t="n"/>
      <c r="N25" s="350" t="n"/>
      <c r="O25" s="350" t="n"/>
      <c r="P25" s="350" t="n"/>
      <c r="Q25" s="350" t="n"/>
      <c r="R25" s="350" t="n"/>
      <c r="S25" s="350" t="n"/>
      <c r="T25" s="350" t="n"/>
      <c r="U25" s="350" t="n"/>
      <c r="V25" s="350" t="n"/>
      <c r="W25" s="350" t="n"/>
      <c r="X25" s="350" t="n"/>
      <c r="Y25" s="350" t="n"/>
      <c r="Z25" s="350" t="n"/>
      <c r="AA25" s="350" t="n"/>
    </row>
    <row r="26" ht="15.75" customHeight="1" s="673">
      <c r="A26" s="350" t="n"/>
      <c r="B26" s="359">
        <f>E15 + IF('RESULTADO DETALHADO'!B33 = "ARBITRAMENTO",'RESULTADO DETALHADO'!D30  * 0.2, MAX(0,'RESULTADO DETALHADO'!D32  - RESULTADO!G51)) + PARTICULAR!O13</f>
        <v/>
      </c>
      <c r="C26" s="249">
        <f>C15</f>
        <v/>
      </c>
      <c r="D26" s="250">
        <f>IF(B26 &lt; 600000, 0, IF(B26 &gt; 1200000, 10%, ((B26/60000)-10)/100))</f>
        <v/>
      </c>
      <c r="E26" s="353">
        <f>B26*D26</f>
        <v/>
      </c>
      <c r="F26" s="353">
        <f>MAX(E26,MIN(IF(MAX(0,B26-MIN(B26*0.2,17640))&lt;=28467.2,0,IF(MAX(0,B26-MIN(B26*0.2,17640))&lt;=33919.8,MAX(0,B26-MIN(B26*0.2,17640))*0.075-2135.04,IF(MAX(0,B26-MIN(B26*0.2,17640))&lt;=45012.6,MAX(0,B26-MIN(B26*0.2,17640))*0.15-4679.03,IF(MAX(0,B26-MIN(B26*0.2,17640))&lt;=55976.16,MAX(0,B26-MIN(B26*0.2,17640))*0.225-8054.97,MAX(0,B26-MIN(B26*0.2,17640))*0.275-10853.78)))),IF(B26&lt;=28467.2,0,IF(B26&lt;=33919.8,B26*0.075-2135.04,IF(B26&lt;=45012.6,B26*0.15-4679.03,IF(B26&lt;=55976.16,B26*0.225-8054.97,B26*0.275-10853.78))))))</f>
        <v/>
      </c>
      <c r="G26" s="350" t="n"/>
      <c r="H26" s="350" t="n"/>
      <c r="I26" s="350" t="n"/>
      <c r="J26" s="350" t="n"/>
      <c r="K26" s="350" t="n"/>
      <c r="L26" s="350" t="n"/>
      <c r="M26" s="350" t="n"/>
      <c r="N26" s="350" t="n"/>
      <c r="O26" s="350" t="n"/>
      <c r="P26" s="350" t="n"/>
      <c r="Q26" s="350" t="n"/>
      <c r="R26" s="350" t="n"/>
      <c r="S26" s="350" t="n"/>
      <c r="T26" s="350" t="n"/>
      <c r="U26" s="350" t="n"/>
      <c r="V26" s="350" t="n"/>
      <c r="W26" s="350" t="n"/>
      <c r="X26" s="350" t="n"/>
      <c r="Y26" s="350" t="n"/>
      <c r="Z26" s="350" t="n"/>
      <c r="AA26" s="350" t="n"/>
    </row>
    <row r="27" ht="15.75" customHeight="1" s="673">
      <c r="A27" s="350" t="n"/>
      <c r="B27" s="359">
        <f>E16 + IF('RESULTADO DETALHADO'!B42 = "ARBITRAMENTO",'RESULTADO DETALHADO'!D39  * 0.2, MAX(0,'RESULTADO DETALHADO'!D41  - RESULTADO!G52)) + PARTICULAR!O21</f>
        <v/>
      </c>
      <c r="C27" s="249">
        <f>C16</f>
        <v/>
      </c>
      <c r="D27" s="250">
        <f>IF(B27 &lt; 600000, 0, IF(B27 &gt; 1200000, 10%, ((B27/60000)-10)/100))</f>
        <v/>
      </c>
      <c r="E27" s="353">
        <f>B27*D27</f>
        <v/>
      </c>
      <c r="F27" s="353">
        <f>MAX(E27,MIN(IF(MAX(0,B27-MIN(B27*0.2,17640))&lt;=28467.2,0,IF(MAX(0,B27-MIN(B27*0.2,17640))&lt;=33919.8,MAX(0,B27-MIN(B27*0.2,17640))*0.075-2135.04,IF(MAX(0,B27-MIN(B27*0.2,17640))&lt;=45012.6,MAX(0,B27-MIN(B27*0.2,17640))*0.15-4679.03,IF(MAX(0,B27-MIN(B27*0.2,17640))&lt;=55976.16,MAX(0,B27-MIN(B27*0.2,17640))*0.225-8054.97,MAX(0,B27-MIN(B27*0.2,17640))*0.275-10853.78)))),IF(B27&lt;=28467.2,0,IF(B27&lt;=33919.8,B27*0.075-2135.04,IF(B27&lt;=45012.6,B27*0.15-4679.03,IF(B27&lt;=55976.16,B27*0.225-8054.97,B27*0.275-10853.78))))))</f>
        <v/>
      </c>
      <c r="G27" s="350" t="n"/>
      <c r="H27" s="350" t="n"/>
      <c r="I27" s="350" t="n"/>
      <c r="J27" s="350" t="n"/>
      <c r="K27" s="350" t="n"/>
      <c r="L27" s="350" t="n"/>
      <c r="M27" s="350" t="n"/>
      <c r="N27" s="350" t="n"/>
      <c r="O27" s="350" t="n"/>
      <c r="P27" s="350" t="n"/>
      <c r="Q27" s="350" t="n"/>
      <c r="R27" s="350" t="n"/>
      <c r="S27" s="350" t="n"/>
      <c r="T27" s="350" t="n"/>
      <c r="U27" s="350" t="n"/>
      <c r="V27" s="350" t="n"/>
      <c r="W27" s="350" t="n"/>
      <c r="X27" s="350" t="n"/>
      <c r="Y27" s="350" t="n"/>
      <c r="Z27" s="350" t="n"/>
      <c r="AA27" s="350" t="n"/>
    </row>
    <row r="28" ht="15.75" customHeight="1" s="673">
      <c r="A28" s="350" t="n"/>
      <c r="B28" s="359">
        <f>E17 + IF('RESULTADO DETALHADO'!B51 = "ARBITRAMENTO",'RESULTADO DETALHADO'!D48  * 0.2, MAX(0,'RESULTADO DETALHADO'!D50  - RESULTADO!G53)) + PARTICULAR!O21</f>
        <v/>
      </c>
      <c r="C28" s="249">
        <f>C17</f>
        <v/>
      </c>
      <c r="D28" s="250">
        <f>IF(B28 &lt; 600000, 0, IF(B28 &gt; 1200000, 10%, ((B28/60000)-10)/100))</f>
        <v/>
      </c>
      <c r="E28" s="353">
        <f>B28*D28</f>
        <v/>
      </c>
      <c r="F28" s="353">
        <f>MAX(E28,MIN(IF(MAX(0,B28-MIN(B28*0.2,17640))&lt;=28467.2,0,IF(MAX(0,B28-MIN(B28*0.2,17640))&lt;=33919.8,MAX(0,B28-MIN(B28*0.2,17640))*0.075-2135.04,IF(MAX(0,B28-MIN(B28*0.2,17640))&lt;=45012.6,MAX(0,B28-MIN(B28*0.2,17640))*0.15-4679.03,IF(MAX(0,B28-MIN(B28*0.2,17640))&lt;=55976.16,MAX(0,B28-MIN(B28*0.2,17640))*0.225-8054.97,MAX(0,B28-MIN(B28*0.2,17640))*0.275-10853.78)))),IF(B28&lt;=28467.2,0,IF(B28&lt;=33919.8,B28*0.075-2135.04,IF(B28&lt;=45012.6,B28*0.15-4679.03,IF(B28&lt;=55976.16,B28*0.225-8054.97,B28*0.275-10853.78))))))</f>
        <v/>
      </c>
      <c r="M28" s="52" t="n"/>
      <c r="N28" s="52" t="n"/>
    </row>
    <row r="29" ht="15.75" customHeight="1" s="673">
      <c r="A29" s="350" t="n"/>
      <c r="B29" s="359">
        <f>E18 + IF('RESULTADO DETALHADO'!B60 = "ARBITRAMENTO",'RESULTADO DETALHADO'!D57  * 0.2, MAX(0,'RESULTADO DETALHADO'!D59  - RESULTADO!G54)) + PARTICULAR!O25</f>
        <v/>
      </c>
      <c r="C29" s="249">
        <f>C18</f>
        <v/>
      </c>
      <c r="D29" s="250">
        <f>IF(B29 &lt; 600000, 0, IF(B29 &gt; 1200000, 10%, ((B29/60000)-10)/100))</f>
        <v/>
      </c>
      <c r="E29" s="353">
        <f>B29*D29</f>
        <v/>
      </c>
      <c r="F29" s="353">
        <f>MAX(E29,MIN(IF(MAX(0,B29-MIN(B29*0.2,17640))&lt;=28467.2,0,IF(MAX(0,B29-MIN(B29*0.2,17640))&lt;=33919.8,MAX(0,B29-MIN(B29*0.2,17640))*0.075-2135.04,IF(MAX(0,B29-MIN(B29*0.2,17640))&lt;=45012.6,MAX(0,B29-MIN(B29*0.2,17640))*0.15-4679.03,IF(MAX(0,B29-MIN(B29*0.2,17640))&lt;=55976.16,MAX(0,B29-MIN(B29*0.2,17640))*0.225-8054.97,MAX(0,B29-MIN(B29*0.2,17640))*0.275-10853.78)))),IF(B29&lt;=28467.2,0,IF(B29&lt;=33919.8,B29*0.075-2135.04,IF(B29&lt;=45012.6,B29*0.15-4679.03,IF(B29&lt;=55976.16,B29*0.225-8054.97,B29*0.275-10853.78))))))</f>
        <v/>
      </c>
      <c r="M29" s="52" t="n"/>
      <c r="N29" s="52" t="n"/>
    </row>
    <row r="30" ht="15.75" customHeight="1" s="673">
      <c r="A30" s="350" t="n"/>
      <c r="B30" s="359">
        <f>E19 + IF('RESULTADO DETALHADO'!B69 = "ARBITRAMENTO",'RESULTADO DETALHADO'!D66  * 0.2, MAX(0,'RESULTADO DETALHADO'!D68  - RESULTADO!G55)) + PARTICULAR!O29</f>
        <v/>
      </c>
      <c r="C30" s="249">
        <f>C19</f>
        <v/>
      </c>
      <c r="D30" s="250">
        <f>IF(B30 &lt; 600000, 0, IF(B30 &gt; 1200000, 10%, ((B30/60000)-10)/100))</f>
        <v/>
      </c>
      <c r="E30" s="353">
        <f>B30*D30</f>
        <v/>
      </c>
      <c r="F30" s="353">
        <f>MAX(E30,MIN(IF(MAX(0,B30-MIN(B30*0.2,17640))&lt;=28467.2,0,IF(MAX(0,B30-MIN(B30*0.2,17640))&lt;=33919.8,MAX(0,B30-MIN(B30*0.2,17640))*0.075-2135.04,IF(MAX(0,B30-MIN(B30*0.2,17640))&lt;=45012.6,MAX(0,B30-MIN(B30*0.2,17640))*0.15-4679.03,IF(MAX(0,B30-MIN(B30*0.2,17640))&lt;=55976.16,MAX(0,B30-MIN(B30*0.2,17640))*0.225-8054.97,MAX(0,B30-MIN(B30*0.2,17640))*0.275-10853.78)))),IF(B30&lt;=28467.2,0,IF(B30&lt;=33919.8,B30*0.075-2135.04,IF(B30&lt;=45012.6,B30*0.15-4679.03,IF(B30&lt;=55976.16,B30*0.225-8054.97,B30*0.275-10853.78))))))</f>
        <v/>
      </c>
      <c r="M30" s="52" t="n"/>
      <c r="N30" s="52" t="n"/>
    </row>
    <row r="31" ht="15.75" customHeight="1" s="673">
      <c r="A31" s="350" t="n"/>
      <c r="B31" s="359">
        <f>E20 + IF('RESULTADO DETALHADO'!B78 = "ARBITRAMENTO",'RESULTADO DETALHADO'!D75  * 0.2, MAX(0,'RESULTADO DETALHADO'!D77  - RESULTADO!G56)) + PARTICULAR!O33</f>
        <v/>
      </c>
      <c r="C31" s="249">
        <f>C20</f>
        <v/>
      </c>
      <c r="D31" s="250">
        <f>IF(B31 &lt; 600000, 0, IF(B31 &gt; 1200000, 10%, ((B31/60000)-10)/100))</f>
        <v/>
      </c>
      <c r="E31" s="353">
        <f>B31*D31</f>
        <v/>
      </c>
      <c r="F31" s="353">
        <f>MAX(E31,MIN(IF(MAX(0,B31-MIN(B31*0.2,17640))&lt;=28467.2,0,IF(MAX(0,B31-MIN(B31*0.2,17640))&lt;=33919.8,MAX(0,B31-MIN(B31*0.2,17640))*0.075-2135.04,IF(MAX(0,B31-MIN(B31*0.2,17640))&lt;=45012.6,MAX(0,B31-MIN(B31*0.2,17640))*0.15-4679.03,IF(MAX(0,B31-MIN(B31*0.2,17640))&lt;=55976.16,MAX(0,B31-MIN(B31*0.2,17640))*0.225-8054.97,MAX(0,B31-MIN(B31*0.2,17640))*0.275-10853.78)))),IF(B31&lt;=28467.2,0,IF(B31&lt;=33919.8,B31*0.075-2135.04,IF(B31&lt;=45012.6,B31*0.15-4679.03,IF(B31&lt;=55976.16,B31*0.225-8054.97,B31*0.275-10853.78))))))</f>
        <v/>
      </c>
      <c r="M31" s="52" t="n"/>
      <c r="N31" s="52" t="n"/>
    </row>
    <row r="32" ht="15.75" customHeight="1" s="673">
      <c r="A32" s="350" t="n"/>
      <c r="B32" s="359">
        <f>E21 + IF('RESULTADO DETALHADO'!B87 = "ARBITRAMENTO",'RESULTADO DETALHADO'!D84  * 0.2, MAX(0,'RESULTADO DETALHADO'!D86  - RESULTADO!G57)) + PARTICULAR!O37</f>
        <v/>
      </c>
      <c r="C32" s="249">
        <f>C21</f>
        <v/>
      </c>
      <c r="D32" s="250">
        <f>IF(B32 &lt; 600000, 0, IF(B32 &gt; 1200000, 10%, ((B32/60000)-10)/100))</f>
        <v/>
      </c>
      <c r="E32" s="353">
        <f>B32*D32</f>
        <v/>
      </c>
      <c r="F32" s="353">
        <f>MAX(E32,MIN(IF(MAX(0,B32-MIN(B32*0.2,17640))&lt;=28467.2,0,IF(MAX(0,B32-MIN(B32*0.2,17640))&lt;=33919.8,MAX(0,B32-MIN(B32*0.2,17640))*0.075-2135.04,IF(MAX(0,B32-MIN(B32*0.2,17640))&lt;=45012.6,MAX(0,B32-MIN(B32*0.2,17640))*0.15-4679.03,IF(MAX(0,B32-MIN(B32*0.2,17640))&lt;=55976.16,MAX(0,B32-MIN(B32*0.2,17640))*0.225-8054.97,MAX(0,B32-MIN(B32*0.2,17640))*0.275-10853.78)))),IF(B32&lt;=28467.2,0,IF(B32&lt;=33919.8,B32*0.075-2135.04,IF(B32&lt;=45012.6,B32*0.15-4679.03,IF(B32&lt;=55976.16,B32*0.225-8054.97,B32*0.275-10853.78))))))</f>
        <v/>
      </c>
      <c r="M32" s="52" t="n"/>
      <c r="N32" s="52" t="n"/>
    </row>
    <row r="33" ht="15.75" customHeight="1" s="673">
      <c r="A33" s="350" t="n"/>
      <c r="B33" s="10" t="n"/>
      <c r="C33" s="709" t="inlineStr">
        <is>
          <t>TOTAL</t>
        </is>
      </c>
      <c r="D33" s="678" t="n"/>
      <c r="E33" s="676" t="n"/>
      <c r="F33" s="353">
        <f>SUM(F25:F32)</f>
        <v/>
      </c>
      <c r="M33" s="52" t="n"/>
      <c r="N33" s="52" t="n"/>
    </row>
    <row r="34" ht="15.75" customHeight="1" s="673">
      <c r="A34" s="350" t="n"/>
      <c r="B34" s="52" t="n"/>
      <c r="C34" s="52" t="n"/>
      <c r="D34" s="52" t="n"/>
      <c r="E34" s="52" t="n"/>
      <c r="F34" s="52" t="n"/>
      <c r="M34" s="52" t="n"/>
      <c r="N34" s="52" t="n"/>
    </row>
    <row r="35" ht="15.75" customHeight="1" s="673">
      <c r="A35" s="350" t="n"/>
      <c r="B35" s="52" t="n"/>
      <c r="C35" s="52" t="n"/>
      <c r="D35" s="52" t="n"/>
      <c r="E35" s="52" t="n"/>
      <c r="F35" s="52" t="n"/>
      <c r="M35" s="52" t="n"/>
      <c r="N35" s="52" t="n"/>
    </row>
    <row r="36" ht="15.75" customHeight="1" s="673">
      <c r="A36" s="248" t="inlineStr">
        <is>
          <t>VENDAS PJ</t>
        </is>
      </c>
      <c r="B36" s="678" t="n"/>
      <c r="C36" s="678" t="n"/>
      <c r="D36" s="678" t="n"/>
      <c r="E36" s="678" t="n"/>
      <c r="F36" s="678" t="n"/>
      <c r="G36" s="678" t="n"/>
      <c r="H36" s="678" t="n"/>
      <c r="I36" s="678" t="n"/>
      <c r="J36" s="678" t="n"/>
      <c r="K36" s="678" t="n"/>
      <c r="L36" s="678" t="n"/>
      <c r="M36" s="678" t="n"/>
      <c r="N36" s="676" t="n"/>
    </row>
    <row r="37" ht="15.75" customHeight="1" s="673">
      <c r="A37" s="360" t="inlineStr">
        <is>
          <t>PJ</t>
        </is>
      </c>
      <c r="B37" s="248" t="inlineStr">
        <is>
          <t>JANEIRO</t>
        </is>
      </c>
      <c r="C37" s="248" t="inlineStr">
        <is>
          <t>FEVEREIRO</t>
        </is>
      </c>
      <c r="D37" s="248" t="inlineStr">
        <is>
          <t>MARÇO</t>
        </is>
      </c>
      <c r="E37" s="248" t="inlineStr">
        <is>
          <t>ABRIL</t>
        </is>
      </c>
      <c r="F37" s="248" t="inlineStr">
        <is>
          <t>MAIO</t>
        </is>
      </c>
      <c r="G37" s="248" t="inlineStr">
        <is>
          <t>JUNHO</t>
        </is>
      </c>
      <c r="H37" s="248" t="inlineStr">
        <is>
          <t>JULHO</t>
        </is>
      </c>
      <c r="I37" s="248" t="inlineStr">
        <is>
          <t>AGOSTO</t>
        </is>
      </c>
      <c r="J37" s="248" t="inlineStr">
        <is>
          <t>SETEMBRO</t>
        </is>
      </c>
      <c r="K37" s="248" t="inlineStr">
        <is>
          <t>OUTUBRO</t>
        </is>
      </c>
      <c r="L37" s="248" t="inlineStr">
        <is>
          <t>NOVEMBRO</t>
        </is>
      </c>
      <c r="M37" s="248" t="inlineStr">
        <is>
          <t>DEZEMBRO</t>
        </is>
      </c>
      <c r="N37" s="248" t="inlineStr">
        <is>
          <t>TOTAL</t>
        </is>
      </c>
    </row>
    <row r="38" ht="15.75" customHeight="1" s="673">
      <c r="A38" s="353" t="inlineStr">
        <is>
          <t>RECEITA</t>
        </is>
      </c>
      <c r="B38" s="353">
        <f>SUMIFS(RECEITAS!$I:$I,RECEITAS!$D:$D,"PJ",RECEITAS!$F:$F,(LEFT(IRPFM!B$37,3)))</f>
        <v/>
      </c>
      <c r="C38" s="353">
        <f>SUMIFS(RECEITAS!$I:$I,RECEITAS!$D:$D,"PJ",RECEITAS!$F:$F,(LEFT(IRPFM!C$37,3)))</f>
        <v/>
      </c>
      <c r="D38" s="353">
        <f>SUMIFS(RECEITAS!$I:$I,RECEITAS!$D:$D,"PJ",RECEITAS!$F:$F,(LEFT(IRPFM!D$37,3)))</f>
        <v/>
      </c>
      <c r="E38" s="353">
        <f>SUMIFS(RECEITAS!$I:$I,RECEITAS!$D:$D,"PJ",RECEITAS!$F:$F,(LEFT(IRPFM!E$37,3)))</f>
        <v/>
      </c>
      <c r="F38" s="353">
        <f>SUMIFS(RECEITAS!$I:$I,RECEITAS!$D:$D,"PJ",RECEITAS!$F:$F,(LEFT(IRPFM!F$37,3)))</f>
        <v/>
      </c>
      <c r="G38" s="353">
        <f>SUMIFS(RECEITAS!$I:$I,RECEITAS!$D:$D,"PJ",RECEITAS!$F:$F,(LEFT(IRPFM!G$37,3)))</f>
        <v/>
      </c>
      <c r="H38" s="353">
        <f>SUMIFS(RECEITAS!$I:$I,RECEITAS!$D:$D,"PJ",RECEITAS!$F:$F,(LEFT(IRPFM!H$37,3)))</f>
        <v/>
      </c>
      <c r="I38" s="353">
        <f>SUMIFS(RECEITAS!$I:$I,RECEITAS!$D:$D,"PJ",RECEITAS!$F:$F,(LEFT(IRPFM!I$37,3)))</f>
        <v/>
      </c>
      <c r="J38" s="353">
        <f>SUMIFS(RECEITAS!$I:$I,RECEITAS!$D:$D,"PJ",RECEITAS!$F:$F,(LEFT(IRPFM!J$37,3)))</f>
        <v/>
      </c>
      <c r="K38" s="353">
        <f>SUMIFS(RECEITAS!$I:$I,RECEITAS!$D:$D,"PJ",RECEITAS!$F:$F,(LEFT(IRPFM!K$37,3)))</f>
        <v/>
      </c>
      <c r="L38" s="353">
        <f>SUMIFS(RECEITAS!$I:$I,RECEITAS!$D:$D,"PJ",RECEITAS!$F:$F,(LEFT(IRPFM!L$37,3)))</f>
        <v/>
      </c>
      <c r="M38" s="353">
        <f>SUMIFS(RECEITAS!$I:$I,RECEITAS!$D:$D,"PJ",RECEITAS!$F:$F,(LEFT(IRPFM!M$37,3)))</f>
        <v/>
      </c>
      <c r="N38" s="353">
        <f>SUM(B38:M38)</f>
        <v/>
      </c>
    </row>
    <row r="39" ht="15.75" customHeight="1" s="673">
      <c r="A39" s="353" t="inlineStr">
        <is>
          <t>DESPESAS</t>
        </is>
      </c>
      <c r="B39" s="353">
        <f>$E$8/12</f>
        <v/>
      </c>
      <c r="C39" s="353">
        <f>$E$8/12</f>
        <v/>
      </c>
      <c r="D39" s="353">
        <f>$E$8/12</f>
        <v/>
      </c>
      <c r="E39" s="353">
        <f>$E$8/12</f>
        <v/>
      </c>
      <c r="F39" s="353">
        <f>$E$8/12</f>
        <v/>
      </c>
      <c r="G39" s="353">
        <f>$E$8/12</f>
        <v/>
      </c>
      <c r="H39" s="353">
        <f>$E$8/12</f>
        <v/>
      </c>
      <c r="I39" s="353">
        <f>$E$8/12</f>
        <v/>
      </c>
      <c r="J39" s="353">
        <f>$E$8/12</f>
        <v/>
      </c>
      <c r="K39" s="353">
        <f>$E$8/12</f>
        <v/>
      </c>
      <c r="L39" s="353">
        <f>$E$8/12</f>
        <v/>
      </c>
      <c r="M39" s="353">
        <f>$E$8/12</f>
        <v/>
      </c>
      <c r="N39" s="353">
        <f>SUM(B39:M39)</f>
        <v/>
      </c>
    </row>
    <row r="40" ht="15.75" customHeight="1" s="673">
      <c r="A40" s="353" t="inlineStr">
        <is>
          <t>IMPOSTO</t>
        </is>
      </c>
      <c r="B40" s="353">
        <f>(B38/$E$5)*$E$6</f>
        <v/>
      </c>
      <c r="C40" s="353">
        <f>(C38/$E$5)*$E$6</f>
        <v/>
      </c>
      <c r="D40" s="353">
        <f>(D38/$E$5)*$E$6</f>
        <v/>
      </c>
      <c r="E40" s="353">
        <f>(E38/$E$5)*$E$6</f>
        <v/>
      </c>
      <c r="F40" s="353">
        <f>(F38/$E$5)*$E$6</f>
        <v/>
      </c>
      <c r="G40" s="353">
        <f>(G38/$E$5)*$E$6</f>
        <v/>
      </c>
      <c r="H40" s="353">
        <f>(H38/$E$5)*$E$6</f>
        <v/>
      </c>
      <c r="I40" s="353">
        <f>(I38/$E$5)*$E$6</f>
        <v/>
      </c>
      <c r="J40" s="353">
        <f>(J38/$E$5)*$E$6</f>
        <v/>
      </c>
      <c r="K40" s="353">
        <f>(K38/$E$5)*$E$6</f>
        <v/>
      </c>
      <c r="L40" s="353">
        <f>(L38/$E$5)*$E$6</f>
        <v/>
      </c>
      <c r="M40" s="353">
        <f>(M38/$E$5)*$E$6</f>
        <v/>
      </c>
      <c r="N40" s="353">
        <f>SUM(B40:M40)</f>
        <v/>
      </c>
    </row>
    <row r="41" ht="15.75" customHeight="1" s="673">
      <c r="A41" s="353" t="inlineStr">
        <is>
          <t>VALOR A DISTRIBUIR</t>
        </is>
      </c>
      <c r="B41" s="353">
        <f>IF(B38-B39-B40&gt;0,B38-B39-B40,0)</f>
        <v/>
      </c>
      <c r="C41" s="353">
        <f>IF(C38-C39-C40&gt;0,C38-C39-C40,0)</f>
        <v/>
      </c>
      <c r="D41" s="353">
        <f>IF(D38-D39-D40&gt;0,D38-D39-D40,0)</f>
        <v/>
      </c>
      <c r="E41" s="353">
        <f>IF(E38-E39-E40&gt;0,E38-E39-E40,0)</f>
        <v/>
      </c>
      <c r="F41" s="353">
        <f>IF(F38-F39-F40&gt;0,F38-F39-F40,0)</f>
        <v/>
      </c>
      <c r="G41" s="353">
        <f>IF(G38-G39-G40&gt;0,G38-G39-G40,0)</f>
        <v/>
      </c>
      <c r="H41" s="353">
        <f>IF(H38-H39-H40&gt;0,H38-H39-H40,0)</f>
        <v/>
      </c>
      <c r="I41" s="353">
        <f>IF(I38-I39-I40&gt;0,I38-I39-I40,0)</f>
        <v/>
      </c>
      <c r="J41" s="353">
        <f>IF(J38-J39-J40&gt;0,J38-J39-J40,0)</f>
        <v/>
      </c>
      <c r="K41" s="353">
        <f>IF(K38-K39-K40&gt;0,K38-K39-K40,0)</f>
        <v/>
      </c>
      <c r="L41" s="353">
        <f>IF(L38-L39-L40&gt;0,L38-L39-L40,0)</f>
        <v/>
      </c>
      <c r="M41" s="353">
        <f>IF(M38-M39-M40&gt;0,M38-M39-M40,0)</f>
        <v/>
      </c>
      <c r="N41" s="353">
        <f>SUM(B41:M41)</f>
        <v/>
      </c>
    </row>
    <row r="42" ht="15.75" customHeight="1" s="673">
      <c r="A42" s="353" t="inlineStr">
        <is>
          <t>LUCRO ISENTO</t>
        </is>
      </c>
      <c r="B42" s="353">
        <f>E10</f>
        <v/>
      </c>
      <c r="C42" s="353">
        <f>IF(B42-B41&gt;0,B42-B41,0)</f>
        <v/>
      </c>
      <c r="D42" s="353">
        <f>IF(C42-C41&gt;0,C42-C41,0)</f>
        <v/>
      </c>
      <c r="E42" s="353">
        <f>IF(D42-D41&gt;0,D42-D41,0)</f>
        <v/>
      </c>
      <c r="F42" s="353">
        <f>IF(E42-E41&gt;0,E42-E41,0)</f>
        <v/>
      </c>
      <c r="G42" s="353">
        <f>IF(F42-F41&gt;0,F42-F41,0)</f>
        <v/>
      </c>
      <c r="H42" s="353">
        <f>IF(G42-G41&gt;0,G42-G41,0)</f>
        <v/>
      </c>
      <c r="I42" s="353">
        <f>IF(H42-H41&gt;0,H42-H41,0)</f>
        <v/>
      </c>
      <c r="J42" s="353">
        <f>IF(I42-I41&gt;0,I42-I41,0)</f>
        <v/>
      </c>
      <c r="K42" s="353">
        <f>IF(J42-J41&gt;0,J42-J41,0)</f>
        <v/>
      </c>
      <c r="L42" s="353">
        <f>IF(K42-K41&gt;0,K42-K41,0)</f>
        <v/>
      </c>
      <c r="M42" s="353">
        <f>IF(L42-L41&gt;0,L42-L41,0)</f>
        <v/>
      </c>
      <c r="N42" s="353" t="n"/>
    </row>
    <row r="43" ht="15.75" customHeight="1" s="673">
      <c r="A43" s="353" t="inlineStr">
        <is>
          <t>BASE TRIBUTÁVEL</t>
        </is>
      </c>
      <c r="B43" s="353">
        <f>IF(B41-B42&lt;0,0,B41-B42)</f>
        <v/>
      </c>
      <c r="C43" s="353">
        <f>IF(C41-C42&lt;0,0,C41-C42)</f>
        <v/>
      </c>
      <c r="D43" s="353">
        <f>IF(D41-D42&lt;0,0,D41-D42)</f>
        <v/>
      </c>
      <c r="E43" s="353">
        <f>IF(E41-E42&lt;0,0,E41-E42)</f>
        <v/>
      </c>
      <c r="F43" s="353">
        <f>IF(F41-F42&lt;0,0,F41-F42)</f>
        <v/>
      </c>
      <c r="G43" s="353">
        <f>IF(G41-G42&lt;0,0,G41-G42)</f>
        <v/>
      </c>
      <c r="H43" s="353">
        <f>IF(H41-H42&lt;0,0,H41-H42)</f>
        <v/>
      </c>
      <c r="I43" s="353">
        <f>IF(I41-I42&lt;0,0,I41-I42)</f>
        <v/>
      </c>
      <c r="J43" s="353">
        <f>IF(J41-J42&lt;0,0,J41-J42)</f>
        <v/>
      </c>
      <c r="K43" s="353">
        <f>IF(K41-K42&lt;0,0,K41-K42)</f>
        <v/>
      </c>
      <c r="L43" s="353">
        <f>IF(L41-L42&lt;0,0,L41-L42)</f>
        <v/>
      </c>
      <c r="M43" s="353">
        <f>IF(M41-M42&lt;0,0,M41-M42)</f>
        <v/>
      </c>
      <c r="N43" s="353">
        <f>N38-N42</f>
        <v/>
      </c>
    </row>
    <row r="44" ht="15.75" customHeight="1" s="673">
      <c r="A44" s="350" t="n"/>
      <c r="B44" s="52" t="n"/>
      <c r="C44" s="52" t="n"/>
      <c r="D44" s="52" t="n"/>
      <c r="E44" s="52" t="n"/>
      <c r="F44" s="52" t="n"/>
      <c r="M44" s="52" t="n"/>
      <c r="N44" s="52" t="n"/>
    </row>
    <row r="45" ht="15.75" customHeight="1" s="673">
      <c r="A45" s="350" t="n"/>
      <c r="B45" s="52" t="n"/>
      <c r="C45" s="52" t="n"/>
      <c r="D45" s="52" t="n"/>
      <c r="E45" s="52" t="n"/>
      <c r="F45" s="52" t="n"/>
      <c r="M45" s="52" t="n"/>
      <c r="N45" s="52" t="n"/>
    </row>
    <row r="46" ht="15.75" customHeight="1" s="673">
      <c r="A46" s="350" t="n"/>
      <c r="B46" s="52" t="n"/>
      <c r="C46" s="52" t="n"/>
      <c r="D46" s="52" t="n"/>
      <c r="E46" s="52" t="n"/>
      <c r="F46" s="52" t="n"/>
      <c r="M46" s="52" t="n"/>
      <c r="N46" s="52" t="n"/>
    </row>
    <row r="47" ht="15.75" customHeight="1" s="673">
      <c r="A47" s="350" t="n"/>
      <c r="B47" s="52" t="n"/>
      <c r="C47" s="52" t="n"/>
      <c r="D47" s="52" t="n"/>
      <c r="E47" s="52" t="n"/>
      <c r="F47" s="52" t="n"/>
      <c r="M47" s="52" t="n"/>
      <c r="N47" s="52" t="n"/>
    </row>
    <row r="48" ht="15.75" customHeight="1" s="673">
      <c r="A48" s="248" t="inlineStr">
        <is>
          <t>RETENÇÃO NA FONTE 10%</t>
        </is>
      </c>
      <c r="B48" s="678" t="n"/>
      <c r="C48" s="678" t="n"/>
      <c r="D48" s="678" t="n"/>
      <c r="E48" s="678" t="n"/>
      <c r="F48" s="678" t="n"/>
      <c r="G48" s="678" t="n"/>
      <c r="H48" s="678" t="n"/>
      <c r="I48" s="678" t="n"/>
      <c r="J48" s="678" t="n"/>
      <c r="K48" s="678" t="n"/>
      <c r="L48" s="678" t="n"/>
      <c r="M48" s="678" t="n"/>
      <c r="N48" s="676" t="n"/>
    </row>
    <row r="49" ht="15.75" customHeight="1" s="673">
      <c r="A49" s="360" t="inlineStr">
        <is>
          <t>PARCEIRO 1</t>
        </is>
      </c>
      <c r="B49" s="248" t="inlineStr">
        <is>
          <t>JANEIRO</t>
        </is>
      </c>
      <c r="C49" s="248" t="inlineStr">
        <is>
          <t>FEVEREIRO</t>
        </is>
      </c>
      <c r="D49" s="248" t="inlineStr">
        <is>
          <t>MARÇO</t>
        </is>
      </c>
      <c r="E49" s="248" t="inlineStr">
        <is>
          <t>ABRIL</t>
        </is>
      </c>
      <c r="F49" s="248" t="inlineStr">
        <is>
          <t>MAIO</t>
        </is>
      </c>
      <c r="G49" s="248" t="inlineStr">
        <is>
          <t>JUNHO</t>
        </is>
      </c>
      <c r="H49" s="248" t="inlineStr">
        <is>
          <t>JULHO</t>
        </is>
      </c>
      <c r="I49" s="248" t="inlineStr">
        <is>
          <t>AGOSTO</t>
        </is>
      </c>
      <c r="J49" s="248" t="inlineStr">
        <is>
          <t>SETEMBRO</t>
        </is>
      </c>
      <c r="K49" s="248" t="inlineStr">
        <is>
          <t>OUTUBRO</t>
        </is>
      </c>
      <c r="L49" s="248" t="inlineStr">
        <is>
          <t>NOVEMBRO</t>
        </is>
      </c>
      <c r="M49" s="248" t="inlineStr">
        <is>
          <t>DEZEMBRO</t>
        </is>
      </c>
      <c r="N49" s="248" t="inlineStr">
        <is>
          <t>TOTAL</t>
        </is>
      </c>
    </row>
    <row r="50" ht="15.75" customHeight="1" s="673">
      <c r="A50" s="353" t="inlineStr">
        <is>
          <t>DISTRIBUIÇÃO</t>
        </is>
      </c>
      <c r="B50" s="353">
        <f>B43*$D$14</f>
        <v/>
      </c>
      <c r="C50" s="353">
        <f>C43*$D$14</f>
        <v/>
      </c>
      <c r="D50" s="353">
        <f>D43*$D$14</f>
        <v/>
      </c>
      <c r="E50" s="353">
        <f>E43*$D$14</f>
        <v/>
      </c>
      <c r="F50" s="353">
        <f>F43*$D$14</f>
        <v/>
      </c>
      <c r="G50" s="353">
        <f>G43*$D$14</f>
        <v/>
      </c>
      <c r="H50" s="353">
        <f>H43*$D$14</f>
        <v/>
      </c>
      <c r="I50" s="353">
        <f>I43*$D$14</f>
        <v/>
      </c>
      <c r="J50" s="353">
        <f>J43*$D$14</f>
        <v/>
      </c>
      <c r="K50" s="353">
        <f>K43*$D$14</f>
        <v/>
      </c>
      <c r="L50" s="353">
        <f>L43*$D$14</f>
        <v/>
      </c>
      <c r="M50" s="353">
        <f>M43*$D$14</f>
        <v/>
      </c>
      <c r="N50" s="353">
        <f>SUM(B50:M50)</f>
        <v/>
      </c>
    </row>
    <row r="51" ht="15.75" customHeight="1" s="673">
      <c r="A51" s="353" t="inlineStr">
        <is>
          <t>RETENÇÃO</t>
        </is>
      </c>
      <c r="B51" s="353">
        <f>IF(B50&gt;50000,B50*10%,0)</f>
        <v/>
      </c>
      <c r="C51" s="353">
        <f>IF(C50&gt;50000,C50*10%,0)</f>
        <v/>
      </c>
      <c r="D51" s="353">
        <f>IF(D50&gt;50000,D50*10%,0)</f>
        <v/>
      </c>
      <c r="E51" s="353">
        <f>IF(E50&gt;50000,E50*10%,0)</f>
        <v/>
      </c>
      <c r="F51" s="353">
        <f>IF(F50&gt;50000,F50*10%,0)</f>
        <v/>
      </c>
      <c r="G51" s="353">
        <f>IF(G50&gt;50000,G50*10%,0)</f>
        <v/>
      </c>
      <c r="H51" s="353">
        <f>IF(H50&gt;50000,H50*10%,0)</f>
        <v/>
      </c>
      <c r="I51" s="353">
        <f>IF(I50&gt;50000,I50*10%,0)</f>
        <v/>
      </c>
      <c r="J51" s="353">
        <f>IF(J50&gt;50000,J50*10%,0)</f>
        <v/>
      </c>
      <c r="K51" s="353">
        <f>IF(K50&gt;50000,K50*10%,0)</f>
        <v/>
      </c>
      <c r="L51" s="353">
        <f>IF(L50&gt;50000,L50*10%,0)</f>
        <v/>
      </c>
      <c r="M51" s="353">
        <f>IF(M50&gt;50000,M50*10%,0)</f>
        <v/>
      </c>
      <c r="N51" s="353">
        <f>SUM(B51:M51)</f>
        <v/>
      </c>
    </row>
    <row r="52" ht="15.75" customHeight="1" s="673">
      <c r="A52" s="350" t="n"/>
      <c r="B52" s="52" t="n"/>
      <c r="C52" s="52" t="n"/>
      <c r="D52" s="52" t="n"/>
      <c r="E52" s="52" t="n"/>
      <c r="F52" s="52" t="n"/>
      <c r="M52" s="52" t="n"/>
      <c r="N52" s="52" t="n"/>
    </row>
    <row r="53" ht="15.75" customHeight="1" s="673">
      <c r="A53" s="350" t="n"/>
      <c r="B53" s="52" t="n"/>
      <c r="C53" s="52" t="n"/>
      <c r="D53" s="52" t="n"/>
      <c r="E53" s="52" t="n"/>
      <c r="F53" s="52" t="n"/>
      <c r="M53" s="52" t="n"/>
      <c r="N53" s="52" t="n"/>
    </row>
    <row r="54" ht="15.75" customHeight="1" s="673">
      <c r="A54" s="248" t="inlineStr">
        <is>
          <t>RETENÇÃO NA FONTE 10%</t>
        </is>
      </c>
      <c r="B54" s="678" t="n"/>
      <c r="C54" s="678" t="n"/>
      <c r="D54" s="678" t="n"/>
      <c r="E54" s="678" t="n"/>
      <c r="F54" s="678" t="n"/>
      <c r="G54" s="678" t="n"/>
      <c r="H54" s="678" t="n"/>
      <c r="I54" s="678" t="n"/>
      <c r="J54" s="678" t="n"/>
      <c r="K54" s="678" t="n"/>
      <c r="L54" s="678" t="n"/>
      <c r="M54" s="678" t="n"/>
      <c r="N54" s="676" t="n"/>
    </row>
    <row r="55" ht="15.75" customHeight="1" s="673">
      <c r="A55" s="360" t="inlineStr">
        <is>
          <t>PARCEIRO 2</t>
        </is>
      </c>
      <c r="B55" s="248" t="inlineStr">
        <is>
          <t>JANEIRO</t>
        </is>
      </c>
      <c r="C55" s="248" t="inlineStr">
        <is>
          <t>FEVEREIRO</t>
        </is>
      </c>
      <c r="D55" s="248" t="inlineStr">
        <is>
          <t>MARÇO</t>
        </is>
      </c>
      <c r="E55" s="248" t="inlineStr">
        <is>
          <t>ABRIL</t>
        </is>
      </c>
      <c r="F55" s="248" t="inlineStr">
        <is>
          <t>MAIO</t>
        </is>
      </c>
      <c r="G55" s="248" t="inlineStr">
        <is>
          <t>JUNHO</t>
        </is>
      </c>
      <c r="H55" s="248" t="inlineStr">
        <is>
          <t>JULHO</t>
        </is>
      </c>
      <c r="I55" s="248" t="inlineStr">
        <is>
          <t>AGOSTO</t>
        </is>
      </c>
      <c r="J55" s="248" t="inlineStr">
        <is>
          <t>SETEMBRO</t>
        </is>
      </c>
      <c r="K55" s="248" t="inlineStr">
        <is>
          <t>OUTUBRO</t>
        </is>
      </c>
      <c r="L55" s="248" t="inlineStr">
        <is>
          <t>NOVEMBRO</t>
        </is>
      </c>
      <c r="M55" s="248" t="inlineStr">
        <is>
          <t>DEZEMBRO</t>
        </is>
      </c>
      <c r="N55" s="248" t="inlineStr">
        <is>
          <t>TOTAL</t>
        </is>
      </c>
    </row>
    <row r="56" ht="15.75" customHeight="1" s="673">
      <c r="A56" s="353" t="inlineStr">
        <is>
          <t>DISTRIBUIÇÃO</t>
        </is>
      </c>
      <c r="B56" s="353">
        <f>B43*$D$15</f>
        <v/>
      </c>
      <c r="C56" s="353">
        <f>C43*$D$15</f>
        <v/>
      </c>
      <c r="D56" s="353">
        <f>D43*$D$15</f>
        <v/>
      </c>
      <c r="E56" s="353">
        <f>E43*$D$15</f>
        <v/>
      </c>
      <c r="F56" s="353">
        <f>F43*$D$15</f>
        <v/>
      </c>
      <c r="G56" s="353">
        <f>G43*$D$15</f>
        <v/>
      </c>
      <c r="H56" s="353">
        <f>H43*$D$15</f>
        <v/>
      </c>
      <c r="I56" s="353">
        <f>I43*$D$15</f>
        <v/>
      </c>
      <c r="J56" s="353">
        <f>J43*$D$15</f>
        <v/>
      </c>
      <c r="K56" s="353">
        <f>K43*$D$15</f>
        <v/>
      </c>
      <c r="L56" s="353">
        <f>L43*$D$15</f>
        <v/>
      </c>
      <c r="M56" s="353">
        <f>M43*$D$15</f>
        <v/>
      </c>
      <c r="N56" s="353">
        <f>SUM(B56:M56)</f>
        <v/>
      </c>
    </row>
    <row r="57" ht="15.75" customHeight="1" s="673">
      <c r="A57" s="353" t="inlineStr">
        <is>
          <t>RETENÇÃO</t>
        </is>
      </c>
      <c r="B57" s="353">
        <f>IF(B56&gt;50000,B56*10%,0)</f>
        <v/>
      </c>
      <c r="C57" s="353">
        <f>IF(C56&gt;50000,C56*10%,0)</f>
        <v/>
      </c>
      <c r="D57" s="353">
        <f>IF(D56&gt;50000,D56*10%,0)</f>
        <v/>
      </c>
      <c r="E57" s="353">
        <f>IF(E56&gt;50000,E56*10%,0)</f>
        <v/>
      </c>
      <c r="F57" s="353">
        <f>IF(F56&gt;50000,F56*10%,0)</f>
        <v/>
      </c>
      <c r="G57" s="353">
        <f>IF(G56&gt;50000,G56*10%,0)</f>
        <v/>
      </c>
      <c r="H57" s="353">
        <f>IF(H56&gt;50000,H56*10%,0)</f>
        <v/>
      </c>
      <c r="I57" s="353">
        <f>IF(I56&gt;50000,I56*10%,0)</f>
        <v/>
      </c>
      <c r="J57" s="353">
        <f>IF(J56&gt;50000,J56*10%,0)</f>
        <v/>
      </c>
      <c r="K57" s="353">
        <f>IF(K56&gt;50000,K56*10%,0)</f>
        <v/>
      </c>
      <c r="L57" s="353">
        <f>IF(L56&gt;50000,L56*10%,0)</f>
        <v/>
      </c>
      <c r="M57" s="353">
        <f>IF(M56&gt;50000,M56*10%,0)</f>
        <v/>
      </c>
      <c r="N57" s="353">
        <f>SUM(B57:M57)</f>
        <v/>
      </c>
    </row>
    <row r="58" ht="15.75" customHeight="1" s="673">
      <c r="A58" s="350" t="n"/>
      <c r="B58" s="52" t="n"/>
      <c r="C58" s="52" t="n"/>
      <c r="D58" s="52" t="n"/>
      <c r="E58" s="52" t="n"/>
      <c r="F58" s="52" t="n"/>
      <c r="M58" s="52" t="n"/>
      <c r="N58" s="52" t="n"/>
    </row>
    <row r="59" ht="15.75" customHeight="1" s="673">
      <c r="A59" s="350" t="n"/>
      <c r="B59" s="52" t="n"/>
      <c r="C59" s="52" t="n"/>
      <c r="D59" s="52" t="n"/>
      <c r="E59" s="52" t="n"/>
      <c r="F59" s="52" t="n"/>
      <c r="M59" s="52" t="n"/>
      <c r="N59" s="52" t="n"/>
    </row>
    <row r="60" ht="15.75" customHeight="1" s="673">
      <c r="A60" s="248" t="inlineStr">
        <is>
          <t>RETENÇÃO NA FONTE 10%</t>
        </is>
      </c>
      <c r="B60" s="678" t="n"/>
      <c r="C60" s="678" t="n"/>
      <c r="D60" s="678" t="n"/>
      <c r="E60" s="678" t="n"/>
      <c r="F60" s="678" t="n"/>
      <c r="G60" s="678" t="n"/>
      <c r="H60" s="678" t="n"/>
      <c r="I60" s="678" t="n"/>
      <c r="J60" s="678" t="n"/>
      <c r="K60" s="678" t="n"/>
      <c r="L60" s="678" t="n"/>
      <c r="M60" s="678" t="n"/>
      <c r="N60" s="676" t="n"/>
    </row>
    <row r="61" ht="15.75" customHeight="1" s="673">
      <c r="A61" s="360" t="inlineStr">
        <is>
          <t>PARCEIRO 3</t>
        </is>
      </c>
      <c r="B61" s="248" t="inlineStr">
        <is>
          <t>JANEIRO</t>
        </is>
      </c>
      <c r="C61" s="248" t="inlineStr">
        <is>
          <t>FEVEREIRO</t>
        </is>
      </c>
      <c r="D61" s="248" t="inlineStr">
        <is>
          <t>MARÇO</t>
        </is>
      </c>
      <c r="E61" s="248" t="inlineStr">
        <is>
          <t>ABRIL</t>
        </is>
      </c>
      <c r="F61" s="248" t="inlineStr">
        <is>
          <t>MAIO</t>
        </is>
      </c>
      <c r="G61" s="248" t="inlineStr">
        <is>
          <t>JUNHO</t>
        </is>
      </c>
      <c r="H61" s="248" t="inlineStr">
        <is>
          <t>JULHO</t>
        </is>
      </c>
      <c r="I61" s="248" t="inlineStr">
        <is>
          <t>AGOSTO</t>
        </is>
      </c>
      <c r="J61" s="248" t="inlineStr">
        <is>
          <t>SETEMBRO</t>
        </is>
      </c>
      <c r="K61" s="248" t="inlineStr">
        <is>
          <t>OUTUBRO</t>
        </is>
      </c>
      <c r="L61" s="248" t="inlineStr">
        <is>
          <t>NOVEMBRO</t>
        </is>
      </c>
      <c r="M61" s="248" t="inlineStr">
        <is>
          <t>DEZEMBRO</t>
        </is>
      </c>
      <c r="N61" s="248" t="inlineStr">
        <is>
          <t>TOTAL</t>
        </is>
      </c>
    </row>
    <row r="62" ht="15.75" customHeight="1" s="673">
      <c r="A62" s="353" t="inlineStr">
        <is>
          <t>DISTRIBUIÇÃO</t>
        </is>
      </c>
      <c r="B62" s="353">
        <f>B43*$D$16</f>
        <v/>
      </c>
      <c r="C62" s="353">
        <f>C43*$D$16</f>
        <v/>
      </c>
      <c r="D62" s="353">
        <f>D43*$D$16</f>
        <v/>
      </c>
      <c r="E62" s="353">
        <f>E43*$D$16</f>
        <v/>
      </c>
      <c r="F62" s="353">
        <f>F43*$D$16</f>
        <v/>
      </c>
      <c r="G62" s="353">
        <f>G43*$D$16</f>
        <v/>
      </c>
      <c r="H62" s="353">
        <f>H43*$D$16</f>
        <v/>
      </c>
      <c r="I62" s="353">
        <f>I43*$D$16</f>
        <v/>
      </c>
      <c r="J62" s="353">
        <f>J43*$D$16</f>
        <v/>
      </c>
      <c r="K62" s="353">
        <f>K43*$D$16</f>
        <v/>
      </c>
      <c r="L62" s="353">
        <f>L43*$D$16</f>
        <v/>
      </c>
      <c r="M62" s="353">
        <f>M43*$D$16</f>
        <v/>
      </c>
      <c r="N62" s="353">
        <f>SUM(B62:M62)</f>
        <v/>
      </c>
    </row>
    <row r="63" ht="15.75" customHeight="1" s="673">
      <c r="A63" s="353" t="inlineStr">
        <is>
          <t>RETENÇÃO</t>
        </is>
      </c>
      <c r="B63" s="353">
        <f>IF(B62&gt;50000,B62*10%,0)</f>
        <v/>
      </c>
      <c r="C63" s="353">
        <f>IF(C62&gt;50000,C62*10%,0)</f>
        <v/>
      </c>
      <c r="D63" s="353">
        <f>IF(D62&gt;50000,D62*10%,0)</f>
        <v/>
      </c>
      <c r="E63" s="353">
        <f>IF(E62&gt;50000,E62*10%,0)</f>
        <v/>
      </c>
      <c r="F63" s="353">
        <f>IF(F62&gt;50000,F62*10%,0)</f>
        <v/>
      </c>
      <c r="G63" s="353">
        <f>IF(G62&gt;50000,G62*10%,0)</f>
        <v/>
      </c>
      <c r="H63" s="353">
        <f>IF(H62&gt;50000,H62*10%,0)</f>
        <v/>
      </c>
      <c r="I63" s="353">
        <f>IF(I62&gt;50000,I62*10%,0)</f>
        <v/>
      </c>
      <c r="J63" s="353">
        <f>IF(J62&gt;50000,J62*10%,0)</f>
        <v/>
      </c>
      <c r="K63" s="353">
        <f>IF(K62&gt;50000,K62*10%,0)</f>
        <v/>
      </c>
      <c r="L63" s="353">
        <f>IF(L62&gt;50000,L62*10%,0)</f>
        <v/>
      </c>
      <c r="M63" s="353">
        <f>IF(M62&gt;50000,M62*10%,0)</f>
        <v/>
      </c>
      <c r="N63" s="353">
        <f>SUM(B63:M63)</f>
        <v/>
      </c>
    </row>
    <row r="64" ht="15.75" customHeight="1" s="673">
      <c r="A64" s="350" t="n"/>
      <c r="B64" s="52" t="n"/>
      <c r="C64" s="52" t="n"/>
      <c r="D64" s="52" t="n"/>
      <c r="E64" s="52" t="n"/>
      <c r="F64" s="52" t="n"/>
      <c r="M64" s="52" t="n"/>
      <c r="N64" s="52" t="n"/>
    </row>
    <row r="65" ht="15.75" customHeight="1" s="673">
      <c r="A65" s="350" t="n"/>
      <c r="B65" s="52" t="n"/>
      <c r="C65" s="52" t="n"/>
      <c r="D65" s="52" t="n"/>
      <c r="E65" s="52" t="n"/>
      <c r="F65" s="52" t="n"/>
      <c r="M65" s="52" t="n"/>
      <c r="N65" s="52" t="n"/>
    </row>
    <row r="66" ht="15.75" customHeight="1" s="673">
      <c r="A66" s="248" t="inlineStr">
        <is>
          <t>RETENÇÃO NA FONTE 10%</t>
        </is>
      </c>
      <c r="B66" s="678" t="n"/>
      <c r="C66" s="678" t="n"/>
      <c r="D66" s="678" t="n"/>
      <c r="E66" s="678" t="n"/>
      <c r="F66" s="678" t="n"/>
      <c r="G66" s="678" t="n"/>
      <c r="H66" s="678" t="n"/>
      <c r="I66" s="678" t="n"/>
      <c r="J66" s="678" t="n"/>
      <c r="K66" s="678" t="n"/>
      <c r="L66" s="678" t="n"/>
      <c r="M66" s="678" t="n"/>
      <c r="N66" s="676" t="n"/>
    </row>
    <row r="67" ht="15.75" customHeight="1" s="673">
      <c r="A67" s="360" t="inlineStr">
        <is>
          <t>PARCEIRO 4</t>
        </is>
      </c>
      <c r="B67" s="248" t="inlineStr">
        <is>
          <t>JANEIRO</t>
        </is>
      </c>
      <c r="C67" s="248" t="inlineStr">
        <is>
          <t>FEVEREIRO</t>
        </is>
      </c>
      <c r="D67" s="248" t="inlineStr">
        <is>
          <t>MARÇO</t>
        </is>
      </c>
      <c r="E67" s="248" t="inlineStr">
        <is>
          <t>ABRIL</t>
        </is>
      </c>
      <c r="F67" s="248" t="inlineStr">
        <is>
          <t>MAIO</t>
        </is>
      </c>
      <c r="G67" s="248" t="inlineStr">
        <is>
          <t>JUNHO</t>
        </is>
      </c>
      <c r="H67" s="248" t="inlineStr">
        <is>
          <t>JULHO</t>
        </is>
      </c>
      <c r="I67" s="248" t="inlineStr">
        <is>
          <t>AGOSTO</t>
        </is>
      </c>
      <c r="J67" s="248" t="inlineStr">
        <is>
          <t>SETEMBRO</t>
        </is>
      </c>
      <c r="K67" s="248" t="inlineStr">
        <is>
          <t>OUTUBRO</t>
        </is>
      </c>
      <c r="L67" s="248" t="inlineStr">
        <is>
          <t>NOVEMBRO</t>
        </is>
      </c>
      <c r="M67" s="248" t="inlineStr">
        <is>
          <t>DEZEMBRO</t>
        </is>
      </c>
      <c r="N67" s="248" t="inlineStr">
        <is>
          <t>TOTAL</t>
        </is>
      </c>
    </row>
    <row r="68" ht="15.75" customHeight="1" s="673">
      <c r="A68" s="353" t="inlineStr">
        <is>
          <t>DISTRIBUIÇÃO</t>
        </is>
      </c>
      <c r="B68" s="353">
        <f>B43*$D$20</f>
        <v/>
      </c>
      <c r="C68" s="353">
        <f>C43*$D$20</f>
        <v/>
      </c>
      <c r="D68" s="353">
        <f>D43*$D$20</f>
        <v/>
      </c>
      <c r="E68" s="353">
        <f>E43*$D$20</f>
        <v/>
      </c>
      <c r="F68" s="353">
        <f>F43*$D$20</f>
        <v/>
      </c>
      <c r="G68" s="353">
        <f>G43*$D$20</f>
        <v/>
      </c>
      <c r="H68" s="353">
        <f>H43*$D$20</f>
        <v/>
      </c>
      <c r="I68" s="353">
        <f>I43*$D$20</f>
        <v/>
      </c>
      <c r="J68" s="353">
        <f>J43*$D$20</f>
        <v/>
      </c>
      <c r="K68" s="353">
        <f>K43*$D$20</f>
        <v/>
      </c>
      <c r="L68" s="353">
        <f>L43*$D$20</f>
        <v/>
      </c>
      <c r="M68" s="353">
        <f>M43*$D$20</f>
        <v/>
      </c>
      <c r="N68" s="353">
        <f>SUM(B68:M68)</f>
        <v/>
      </c>
    </row>
    <row r="69" ht="15.75" customHeight="1" s="673">
      <c r="A69" s="353" t="inlineStr">
        <is>
          <t>RETENÇÃO</t>
        </is>
      </c>
      <c r="B69" s="353">
        <f>IF(B68&gt;50000,B68*10%,0)</f>
        <v/>
      </c>
      <c r="C69" s="353">
        <f>IF(C68&gt;50000,C68*10%,0)</f>
        <v/>
      </c>
      <c r="D69" s="353">
        <f>IF(D68&gt;50000,D68*10%,0)</f>
        <v/>
      </c>
      <c r="E69" s="353">
        <f>IF(E68&gt;50000,E68*10%,0)</f>
        <v/>
      </c>
      <c r="F69" s="353">
        <f>IF(F68&gt;50000,F68*10%,0)</f>
        <v/>
      </c>
      <c r="G69" s="353">
        <f>IF(G68&gt;50000,G68*10%,0)</f>
        <v/>
      </c>
      <c r="H69" s="353">
        <f>IF(H68&gt;50000,H68*10%,0)</f>
        <v/>
      </c>
      <c r="I69" s="353">
        <f>IF(I68&gt;50000,I68*10%,0)</f>
        <v/>
      </c>
      <c r="J69" s="353">
        <f>IF(J68&gt;50000,J68*10%,0)</f>
        <v/>
      </c>
      <c r="K69" s="353">
        <f>IF(K68&gt;50000,K68*10%,0)</f>
        <v/>
      </c>
      <c r="L69" s="353">
        <f>IF(L68&gt;50000,L68*10%,0)</f>
        <v/>
      </c>
      <c r="M69" s="353">
        <f>IF(M68&gt;50000,M68*10%,0)</f>
        <v/>
      </c>
      <c r="N69" s="353">
        <f>SUM(B69:M69)</f>
        <v/>
      </c>
    </row>
    <row r="70" ht="15.75" customHeight="1" s="673">
      <c r="A70" s="350" t="n"/>
      <c r="B70" s="52" t="n"/>
      <c r="C70" s="52" t="n"/>
      <c r="D70" s="52" t="n"/>
      <c r="E70" s="52" t="n"/>
      <c r="F70" s="52" t="n"/>
      <c r="M70" s="52" t="n"/>
      <c r="N70" s="52" t="n"/>
    </row>
    <row r="71" ht="15.75" customHeight="1" s="673">
      <c r="A71" s="350" t="n"/>
      <c r="B71" s="52" t="n"/>
      <c r="C71" s="52" t="n"/>
      <c r="D71" s="52" t="n"/>
      <c r="E71" s="52" t="n"/>
      <c r="F71" s="52" t="n"/>
      <c r="M71" s="52" t="n"/>
      <c r="N71" s="52" t="n"/>
    </row>
    <row r="72" ht="15.75" customHeight="1" s="673">
      <c r="A72" s="350" t="n"/>
      <c r="B72" s="52" t="n"/>
      <c r="C72" s="52" t="n"/>
      <c r="D72" s="52" t="n"/>
      <c r="E72" s="52" t="n"/>
      <c r="F72" s="52" t="n"/>
      <c r="M72" s="52" t="n"/>
      <c r="N72" s="52" t="n"/>
    </row>
    <row r="73" ht="15.75" customHeight="1" s="673">
      <c r="A73" s="350" t="n"/>
      <c r="B73" s="52" t="n"/>
      <c r="C73" s="52" t="n"/>
      <c r="D73" s="52" t="n"/>
      <c r="E73" s="52" t="n"/>
      <c r="F73" s="52" t="n"/>
      <c r="M73" s="52" t="n"/>
      <c r="N73" s="52" t="n"/>
    </row>
    <row r="74" ht="15.75" customHeight="1" s="673">
      <c r="A74" s="350" t="n"/>
      <c r="B74" s="52" t="n"/>
      <c r="C74" s="52" t="n"/>
      <c r="D74" s="52" t="n"/>
      <c r="E74" s="52" t="n"/>
      <c r="F74" s="52" t="n"/>
      <c r="M74" s="52" t="n"/>
      <c r="N74" s="52" t="n"/>
    </row>
    <row r="75" ht="15.75" customHeight="1" s="673">
      <c r="A75" s="350" t="n"/>
      <c r="B75" s="52" t="n"/>
      <c r="C75" s="52" t="n"/>
      <c r="D75" s="52" t="n"/>
      <c r="E75" s="52" t="n"/>
      <c r="F75" s="52" t="n"/>
      <c r="M75" s="52" t="n"/>
      <c r="N75" s="52" t="n"/>
    </row>
    <row r="76" ht="15.75" customHeight="1" s="673">
      <c r="A76" s="350" t="n"/>
      <c r="B76" s="52" t="n"/>
      <c r="C76" s="52" t="n"/>
      <c r="D76" s="52" t="n"/>
      <c r="E76" s="52" t="n"/>
      <c r="F76" s="52" t="n"/>
      <c r="M76" s="52" t="n"/>
      <c r="N76" s="52" t="n"/>
    </row>
    <row r="77" ht="15.75" customHeight="1" s="673">
      <c r="A77" s="350" t="n"/>
      <c r="B77" s="52" t="n"/>
      <c r="C77" s="52" t="n"/>
      <c r="D77" s="52" t="n"/>
      <c r="E77" s="52" t="n"/>
      <c r="F77" s="52" t="n"/>
      <c r="M77" s="52" t="n"/>
      <c r="N77" s="52" t="n"/>
    </row>
    <row r="78" ht="15.75" customHeight="1" s="673">
      <c r="A78" s="350" t="n"/>
      <c r="B78" s="52" t="n"/>
      <c r="C78" s="52" t="n"/>
      <c r="D78" s="52" t="n"/>
      <c r="E78" s="52" t="n"/>
      <c r="F78" s="52" t="n"/>
      <c r="M78" s="52" t="n"/>
      <c r="N78" s="52" t="n"/>
    </row>
    <row r="79" ht="15.75" customHeight="1" s="673">
      <c r="A79" s="350" t="n"/>
      <c r="B79" s="52" t="n"/>
      <c r="C79" s="52" t="n"/>
      <c r="D79" s="52" t="n"/>
      <c r="E79" s="52" t="n"/>
      <c r="F79" s="52" t="n"/>
      <c r="M79" s="52" t="n"/>
      <c r="N79" s="52" t="n"/>
    </row>
    <row r="80" ht="15.75" customHeight="1" s="673">
      <c r="A80" s="350" t="n"/>
      <c r="B80" s="52" t="n"/>
      <c r="C80" s="52" t="n"/>
      <c r="D80" s="52" t="n"/>
      <c r="E80" s="52" t="n"/>
      <c r="F80" s="52" t="n"/>
      <c r="M80" s="52" t="n"/>
      <c r="N80" s="52" t="n"/>
    </row>
    <row r="81" ht="15.75" customHeight="1" s="673">
      <c r="A81" s="350" t="n"/>
      <c r="B81" s="52" t="n"/>
      <c r="C81" s="52" t="n"/>
      <c r="D81" s="52" t="n"/>
      <c r="E81" s="52" t="n"/>
      <c r="F81" s="52" t="n"/>
      <c r="M81" s="52" t="n"/>
      <c r="N81" s="52" t="n"/>
    </row>
    <row r="82" ht="15.75" customHeight="1" s="673">
      <c r="A82" s="350" t="n"/>
      <c r="B82" s="52" t="n"/>
      <c r="C82" s="52" t="n"/>
      <c r="D82" s="52" t="n"/>
      <c r="E82" s="52" t="n"/>
      <c r="F82" s="52" t="n"/>
      <c r="M82" s="52" t="n"/>
      <c r="N82" s="52" t="n"/>
    </row>
    <row r="83" ht="15.75" customHeight="1" s="673">
      <c r="A83" s="350" t="n"/>
      <c r="B83" s="52" t="n"/>
      <c r="C83" s="52" t="n"/>
      <c r="D83" s="52" t="n"/>
      <c r="E83" s="52" t="n"/>
      <c r="F83" s="52" t="n"/>
      <c r="M83" s="52" t="n"/>
      <c r="N83" s="52" t="n"/>
    </row>
    <row r="84" ht="15.75" customHeight="1" s="673">
      <c r="A84" s="350" t="n"/>
      <c r="B84" s="52" t="n"/>
      <c r="C84" s="52" t="n"/>
      <c r="D84" s="52" t="n"/>
      <c r="E84" s="52" t="n"/>
      <c r="F84" s="52" t="n"/>
      <c r="M84" s="52" t="n"/>
      <c r="N84" s="52" t="n"/>
    </row>
    <row r="85" ht="15.75" customHeight="1" s="673">
      <c r="A85" s="350" t="n"/>
      <c r="B85" s="52" t="n"/>
      <c r="C85" s="52" t="n"/>
      <c r="D85" s="52" t="n"/>
      <c r="E85" s="52" t="n"/>
      <c r="F85" s="52" t="n"/>
      <c r="M85" s="52" t="n"/>
      <c r="N85" s="52" t="n"/>
    </row>
    <row r="86" ht="15.75" customHeight="1" s="673">
      <c r="A86" s="350" t="n"/>
      <c r="B86" s="52" t="n"/>
      <c r="C86" s="52" t="n"/>
      <c r="D86" s="52" t="n"/>
      <c r="E86" s="52" t="n"/>
      <c r="F86" s="52" t="n"/>
      <c r="M86" s="52" t="n"/>
      <c r="N86" s="52" t="n"/>
    </row>
    <row r="87" ht="15.75" customHeight="1" s="673">
      <c r="A87" s="350" t="n"/>
      <c r="B87" s="52" t="n"/>
      <c r="C87" s="52" t="n"/>
      <c r="D87" s="52" t="n"/>
      <c r="E87" s="52" t="n"/>
      <c r="F87" s="52" t="n"/>
      <c r="M87" s="52" t="n"/>
      <c r="N87" s="52" t="n"/>
    </row>
    <row r="88" ht="15.75" customHeight="1" s="673">
      <c r="A88" s="350" t="n"/>
      <c r="B88" s="52" t="n"/>
      <c r="C88" s="52" t="n"/>
      <c r="D88" s="52" t="n"/>
      <c r="E88" s="52" t="n"/>
      <c r="F88" s="52" t="n"/>
      <c r="M88" s="52" t="n"/>
      <c r="N88" s="52" t="n"/>
    </row>
    <row r="89" ht="15.75" customHeight="1" s="673">
      <c r="A89" s="350" t="n"/>
      <c r="B89" s="52" t="n"/>
      <c r="C89" s="52" t="n"/>
      <c r="D89" s="52" t="n"/>
      <c r="E89" s="52" t="n"/>
      <c r="F89" s="52" t="n"/>
      <c r="M89" s="52" t="n"/>
      <c r="N89" s="52" t="n"/>
    </row>
    <row r="90" ht="15.75" customHeight="1" s="673">
      <c r="A90" s="350" t="n"/>
      <c r="B90" s="52" t="n"/>
      <c r="C90" s="52" t="n"/>
      <c r="D90" s="52" t="n"/>
      <c r="E90" s="52" t="n"/>
      <c r="F90" s="52" t="n"/>
      <c r="M90" s="52" t="n"/>
      <c r="N90" s="52" t="n"/>
    </row>
    <row r="91" ht="15.75" customHeight="1" s="673">
      <c r="A91" s="350" t="n"/>
      <c r="B91" s="52" t="n"/>
      <c r="C91" s="52" t="n"/>
      <c r="D91" s="52" t="n"/>
      <c r="E91" s="52" t="n"/>
      <c r="F91" s="52" t="n"/>
      <c r="M91" s="52" t="n"/>
      <c r="N91" s="52" t="n"/>
    </row>
    <row r="92" ht="15.75" customHeight="1" s="673">
      <c r="A92" s="350" t="n"/>
      <c r="B92" s="52" t="n"/>
      <c r="C92" s="52" t="n"/>
      <c r="D92" s="52" t="n"/>
      <c r="E92" s="52" t="n"/>
      <c r="F92" s="52" t="n"/>
      <c r="M92" s="52" t="n"/>
      <c r="N92" s="52" t="n"/>
    </row>
    <row r="93" ht="15.75" customHeight="1" s="673">
      <c r="A93" s="350" t="n"/>
      <c r="B93" s="52" t="n"/>
      <c r="C93" s="52" t="n"/>
      <c r="D93" s="52" t="n"/>
      <c r="E93" s="52" t="n"/>
      <c r="F93" s="52" t="n"/>
      <c r="M93" s="52" t="n"/>
      <c r="N93" s="52" t="n"/>
    </row>
    <row r="94" ht="15.75" customHeight="1" s="673">
      <c r="A94" s="350" t="n"/>
      <c r="B94" s="52" t="n"/>
      <c r="C94" s="52" t="n"/>
      <c r="D94" s="52" t="n"/>
      <c r="E94" s="52" t="n"/>
      <c r="F94" s="52" t="n"/>
      <c r="M94" s="52" t="n"/>
      <c r="N94" s="52" t="n"/>
    </row>
    <row r="95" ht="15.75" customHeight="1" s="673">
      <c r="A95" s="350" t="n"/>
      <c r="B95" s="52" t="n"/>
      <c r="C95" s="52" t="n"/>
      <c r="D95" s="52" t="n"/>
      <c r="E95" s="52" t="n"/>
      <c r="F95" s="52" t="n"/>
      <c r="M95" s="52" t="n"/>
      <c r="N95" s="52" t="n"/>
    </row>
    <row r="96" ht="15.75" customHeight="1" s="673">
      <c r="A96" s="350" t="n"/>
      <c r="B96" s="52" t="n"/>
      <c r="C96" s="52" t="n"/>
      <c r="D96" s="52" t="n"/>
      <c r="E96" s="52" t="n"/>
      <c r="F96" s="52" t="n"/>
      <c r="M96" s="52" t="n"/>
      <c r="N96" s="52" t="n"/>
    </row>
    <row r="97" ht="15.75" customHeight="1" s="673">
      <c r="A97" s="350" t="n"/>
      <c r="B97" s="52" t="n"/>
      <c r="C97" s="52" t="n"/>
      <c r="D97" s="52" t="n"/>
      <c r="E97" s="52" t="n"/>
      <c r="F97" s="52" t="n"/>
      <c r="M97" s="52" t="n"/>
      <c r="N97" s="52" t="n"/>
    </row>
    <row r="98" ht="15.75" customHeight="1" s="673">
      <c r="A98" s="350" t="n"/>
      <c r="B98" s="52" t="n"/>
      <c r="C98" s="52" t="n"/>
      <c r="D98" s="52" t="n"/>
      <c r="E98" s="52" t="n"/>
      <c r="F98" s="52" t="n"/>
      <c r="M98" s="52" t="n"/>
      <c r="N98" s="52" t="n"/>
    </row>
    <row r="99" ht="15.75" customHeight="1" s="673">
      <c r="A99" s="350" t="n"/>
      <c r="B99" s="52" t="n"/>
      <c r="C99" s="52" t="n"/>
      <c r="D99" s="52" t="n"/>
      <c r="E99" s="52" t="n"/>
      <c r="F99" s="52" t="n"/>
      <c r="M99" s="52" t="n"/>
      <c r="N99" s="52" t="n"/>
    </row>
    <row r="100" ht="15.75" customHeight="1" s="673">
      <c r="A100" s="350" t="n"/>
      <c r="B100" s="52" t="n"/>
      <c r="C100" s="52" t="n"/>
      <c r="D100" s="52" t="n"/>
      <c r="E100" s="52" t="n"/>
      <c r="F100" s="52" t="n"/>
      <c r="M100" s="52" t="n"/>
      <c r="N100" s="52" t="n"/>
    </row>
    <row r="101" ht="15.75" customHeight="1" s="673">
      <c r="A101" s="350" t="n"/>
      <c r="B101" s="52" t="n"/>
      <c r="C101" s="52" t="n"/>
      <c r="D101" s="52" t="n"/>
      <c r="E101" s="52" t="n"/>
      <c r="F101" s="52" t="n"/>
      <c r="M101" s="52" t="n"/>
      <c r="N101" s="52" t="n"/>
    </row>
    <row r="102" ht="15.75" customHeight="1" s="673">
      <c r="A102" s="350" t="n"/>
      <c r="B102" s="52" t="n"/>
      <c r="C102" s="52" t="n"/>
      <c r="D102" s="52" t="n"/>
      <c r="E102" s="52" t="n"/>
      <c r="F102" s="52" t="n"/>
      <c r="M102" s="52" t="n"/>
      <c r="N102" s="52" t="n"/>
    </row>
    <row r="103" ht="15.75" customHeight="1" s="673">
      <c r="A103" s="350" t="n"/>
      <c r="B103" s="52" t="n"/>
      <c r="C103" s="52" t="n"/>
      <c r="D103" s="52" t="n"/>
      <c r="E103" s="52" t="n"/>
      <c r="F103" s="52" t="n"/>
      <c r="M103" s="52" t="n"/>
      <c r="N103" s="52" t="n"/>
    </row>
    <row r="104" ht="15.75" customHeight="1" s="673">
      <c r="A104" s="350" t="n"/>
      <c r="B104" s="52" t="n"/>
      <c r="C104" s="52" t="n"/>
      <c r="D104" s="52" t="n"/>
      <c r="E104" s="52" t="n"/>
      <c r="F104" s="52" t="n"/>
      <c r="M104" s="52" t="n"/>
      <c r="N104" s="52" t="n"/>
    </row>
    <row r="105" ht="15.75" customHeight="1" s="673">
      <c r="A105" s="350" t="n"/>
      <c r="B105" s="52" t="n"/>
      <c r="C105" s="52" t="n"/>
      <c r="D105" s="52" t="n"/>
      <c r="E105" s="52" t="n"/>
      <c r="F105" s="52" t="n"/>
      <c r="M105" s="52" t="n"/>
      <c r="N105" s="52" t="n"/>
    </row>
    <row r="106" ht="15.75" customHeight="1" s="673">
      <c r="A106" s="350" t="n"/>
      <c r="B106" s="52" t="n"/>
      <c r="C106" s="52" t="n"/>
      <c r="D106" s="52" t="n"/>
      <c r="E106" s="52" t="n"/>
      <c r="F106" s="52" t="n"/>
      <c r="M106" s="52" t="n"/>
      <c r="N106" s="52" t="n"/>
    </row>
    <row r="107" ht="15.75" customHeight="1" s="673">
      <c r="A107" s="350" t="n"/>
      <c r="B107" s="52" t="n"/>
      <c r="C107" s="52" t="n"/>
      <c r="D107" s="52" t="n"/>
      <c r="E107" s="52" t="n"/>
      <c r="F107" s="52" t="n"/>
      <c r="M107" s="52" t="n"/>
      <c r="N107" s="52" t="n"/>
    </row>
    <row r="108" ht="15.75" customHeight="1" s="673">
      <c r="A108" s="350" t="n"/>
      <c r="B108" s="52" t="n"/>
      <c r="C108" s="52" t="n"/>
      <c r="D108" s="52" t="n"/>
      <c r="E108" s="52" t="n"/>
      <c r="F108" s="52" t="n"/>
      <c r="M108" s="52" t="n"/>
      <c r="N108" s="52" t="n"/>
    </row>
    <row r="109" ht="15.75" customHeight="1" s="673">
      <c r="A109" s="350" t="n"/>
      <c r="B109" s="52" t="n"/>
      <c r="C109" s="52" t="n"/>
      <c r="D109" s="52" t="n"/>
      <c r="E109" s="52" t="n"/>
      <c r="F109" s="52" t="n"/>
      <c r="M109" s="52" t="n"/>
      <c r="N109" s="52" t="n"/>
    </row>
    <row r="110" ht="15.75" customHeight="1" s="673">
      <c r="A110" s="350" t="n"/>
      <c r="B110" s="52" t="n"/>
      <c r="C110" s="52" t="n"/>
      <c r="D110" s="52" t="n"/>
      <c r="E110" s="52" t="n"/>
      <c r="F110" s="52" t="n"/>
      <c r="M110" s="52" t="n"/>
      <c r="N110" s="52" t="n"/>
    </row>
    <row r="111" ht="15.75" customHeight="1" s="673">
      <c r="A111" s="350" t="n"/>
      <c r="B111" s="52" t="n"/>
      <c r="C111" s="52" t="n"/>
      <c r="D111" s="52" t="n"/>
      <c r="E111" s="52" t="n"/>
      <c r="F111" s="52" t="n"/>
      <c r="M111" s="52" t="n"/>
      <c r="N111" s="52" t="n"/>
    </row>
    <row r="112" ht="15.75" customHeight="1" s="673">
      <c r="A112" s="350" t="n"/>
      <c r="B112" s="52" t="n"/>
      <c r="C112" s="52" t="n"/>
      <c r="D112" s="52" t="n"/>
      <c r="E112" s="52" t="n"/>
      <c r="F112" s="52" t="n"/>
      <c r="M112" s="52" t="n"/>
      <c r="N112" s="52" t="n"/>
    </row>
    <row r="113" ht="15.75" customHeight="1" s="673">
      <c r="A113" s="350" t="n"/>
      <c r="B113" s="52" t="n"/>
      <c r="C113" s="52" t="n"/>
      <c r="D113" s="52" t="n"/>
      <c r="E113" s="52" t="n"/>
      <c r="F113" s="52" t="n"/>
      <c r="M113" s="52" t="n"/>
      <c r="N113" s="52" t="n"/>
    </row>
    <row r="114" ht="15.75" customHeight="1" s="673">
      <c r="A114" s="350" t="n"/>
      <c r="B114" s="52" t="n"/>
      <c r="C114" s="52" t="n"/>
      <c r="D114" s="52" t="n"/>
      <c r="E114" s="52" t="n"/>
      <c r="F114" s="52" t="n"/>
      <c r="M114" s="52" t="n"/>
      <c r="N114" s="52" t="n"/>
    </row>
    <row r="115" ht="15.75" customHeight="1" s="673">
      <c r="A115" s="350" t="n"/>
      <c r="B115" s="52" t="n"/>
      <c r="C115" s="52" t="n"/>
      <c r="D115" s="52" t="n"/>
      <c r="E115" s="52" t="n"/>
      <c r="F115" s="52" t="n"/>
      <c r="M115" s="52" t="n"/>
      <c r="N115" s="52" t="n"/>
    </row>
    <row r="116" ht="15.75" customHeight="1" s="673">
      <c r="A116" s="350" t="n"/>
      <c r="B116" s="52" t="n"/>
      <c r="C116" s="52" t="n"/>
      <c r="D116" s="52" t="n"/>
      <c r="E116" s="52" t="n"/>
      <c r="F116" s="52" t="n"/>
      <c r="M116" s="52" t="n"/>
      <c r="N116" s="52" t="n"/>
    </row>
    <row r="117" ht="15.75" customHeight="1" s="673">
      <c r="A117" s="350" t="n"/>
      <c r="B117" s="52" t="n"/>
      <c r="C117" s="52" t="n"/>
      <c r="D117" s="52" t="n"/>
      <c r="E117" s="52" t="n"/>
      <c r="F117" s="52" t="n"/>
      <c r="M117" s="52" t="n"/>
      <c r="N117" s="52" t="n"/>
    </row>
    <row r="118" ht="15.75" customHeight="1" s="673">
      <c r="A118" s="350" t="n"/>
      <c r="B118" s="52" t="n"/>
      <c r="C118" s="52" t="n"/>
      <c r="D118" s="52" t="n"/>
      <c r="E118" s="52" t="n"/>
      <c r="F118" s="52" t="n"/>
      <c r="M118" s="52" t="n"/>
      <c r="N118" s="52" t="n"/>
    </row>
    <row r="119" ht="15.75" customHeight="1" s="673">
      <c r="A119" s="350" t="n"/>
      <c r="B119" s="52" t="n"/>
      <c r="C119" s="52" t="n"/>
      <c r="D119" s="52" t="n"/>
      <c r="E119" s="52" t="n"/>
      <c r="F119" s="52" t="n"/>
      <c r="M119" s="52" t="n"/>
      <c r="N119" s="52" t="n"/>
    </row>
    <row r="120" ht="15.75" customHeight="1" s="673">
      <c r="A120" s="350" t="n"/>
      <c r="B120" s="52" t="n"/>
      <c r="C120" s="52" t="n"/>
      <c r="D120" s="52" t="n"/>
      <c r="E120" s="52" t="n"/>
      <c r="F120" s="52" t="n"/>
      <c r="M120" s="52" t="n"/>
      <c r="N120" s="52" t="n"/>
    </row>
    <row r="121" ht="15.75" customHeight="1" s="673">
      <c r="A121" s="350" t="n"/>
      <c r="B121" s="52" t="n"/>
      <c r="C121" s="52" t="n"/>
      <c r="D121" s="52" t="n"/>
      <c r="E121" s="52" t="n"/>
      <c r="F121" s="52" t="n"/>
      <c r="M121" s="52" t="n"/>
      <c r="N121" s="52" t="n"/>
    </row>
    <row r="122" ht="15.75" customHeight="1" s="673">
      <c r="A122" s="350" t="n"/>
      <c r="B122" s="52" t="n"/>
      <c r="C122" s="52" t="n"/>
      <c r="D122" s="52" t="n"/>
      <c r="E122" s="52" t="n"/>
      <c r="F122" s="52" t="n"/>
      <c r="M122" s="52" t="n"/>
      <c r="N122" s="52" t="n"/>
    </row>
    <row r="123" ht="15.75" customHeight="1" s="673">
      <c r="A123" s="350" t="n"/>
      <c r="B123" s="52" t="n"/>
      <c r="C123" s="52" t="n"/>
      <c r="D123" s="52" t="n"/>
      <c r="E123" s="52" t="n"/>
      <c r="F123" s="52" t="n"/>
      <c r="M123" s="52" t="n"/>
      <c r="N123" s="52" t="n"/>
    </row>
    <row r="124" ht="15.75" customHeight="1" s="673">
      <c r="A124" s="350" t="n"/>
      <c r="B124" s="52" t="n"/>
      <c r="C124" s="52" t="n"/>
      <c r="D124" s="52" t="n"/>
      <c r="E124" s="52" t="n"/>
      <c r="F124" s="52" t="n"/>
      <c r="M124" s="52" t="n"/>
      <c r="N124" s="52" t="n"/>
    </row>
    <row r="125" ht="15.75" customHeight="1" s="673">
      <c r="A125" s="350" t="n"/>
      <c r="B125" s="52" t="n"/>
      <c r="C125" s="52" t="n"/>
      <c r="D125" s="52" t="n"/>
      <c r="E125" s="52" t="n"/>
      <c r="F125" s="52" t="n"/>
      <c r="M125" s="52" t="n"/>
      <c r="N125" s="52" t="n"/>
    </row>
    <row r="126" ht="15.75" customHeight="1" s="673">
      <c r="A126" s="350" t="n"/>
      <c r="B126" s="52" t="n"/>
      <c r="C126" s="52" t="n"/>
      <c r="D126" s="52" t="n"/>
      <c r="E126" s="52" t="n"/>
      <c r="F126" s="52" t="n"/>
      <c r="M126" s="52" t="n"/>
      <c r="N126" s="52" t="n"/>
    </row>
    <row r="127" ht="15.75" customHeight="1" s="673">
      <c r="A127" s="350" t="n"/>
      <c r="B127" s="52" t="n"/>
      <c r="C127" s="52" t="n"/>
      <c r="D127" s="52" t="n"/>
      <c r="E127" s="52" t="n"/>
      <c r="F127" s="52" t="n"/>
      <c r="M127" s="52" t="n"/>
      <c r="N127" s="52" t="n"/>
    </row>
    <row r="128" ht="15.75" customHeight="1" s="673">
      <c r="A128" s="350" t="n"/>
      <c r="B128" s="52" t="n"/>
      <c r="C128" s="52" t="n"/>
      <c r="D128" s="52" t="n"/>
      <c r="E128" s="52" t="n"/>
      <c r="F128" s="52" t="n"/>
      <c r="M128" s="52" t="n"/>
      <c r="N128" s="52" t="n"/>
    </row>
    <row r="129" ht="15.75" customHeight="1" s="673">
      <c r="A129" s="350" t="n"/>
      <c r="B129" s="52" t="n"/>
      <c r="C129" s="52" t="n"/>
      <c r="D129" s="52" t="n"/>
      <c r="E129" s="52" t="n"/>
      <c r="F129" s="52" t="n"/>
      <c r="M129" s="52" t="n"/>
      <c r="N129" s="52" t="n"/>
    </row>
    <row r="130" ht="15.75" customHeight="1" s="673">
      <c r="A130" s="350" t="n"/>
      <c r="B130" s="52" t="n"/>
      <c r="C130" s="52" t="n"/>
      <c r="D130" s="52" t="n"/>
      <c r="E130" s="52" t="n"/>
      <c r="F130" s="52" t="n"/>
      <c r="M130" s="52" t="n"/>
      <c r="N130" s="52" t="n"/>
    </row>
    <row r="131" ht="15.75" customHeight="1" s="673">
      <c r="A131" s="350" t="n"/>
      <c r="B131" s="52" t="n"/>
      <c r="C131" s="52" t="n"/>
      <c r="D131" s="52" t="n"/>
      <c r="E131" s="52" t="n"/>
      <c r="F131" s="52" t="n"/>
      <c r="M131" s="52" t="n"/>
      <c r="N131" s="52" t="n"/>
    </row>
    <row r="132" ht="15.75" customHeight="1" s="673">
      <c r="A132" s="350" t="n"/>
      <c r="B132" s="52" t="n"/>
      <c r="C132" s="52" t="n"/>
      <c r="D132" s="52" t="n"/>
      <c r="E132" s="52" t="n"/>
      <c r="F132" s="52" t="n"/>
      <c r="M132" s="52" t="n"/>
      <c r="N132" s="52" t="n"/>
    </row>
    <row r="133" ht="15.75" customHeight="1" s="673">
      <c r="A133" s="350" t="n"/>
      <c r="B133" s="52" t="n"/>
      <c r="C133" s="52" t="n"/>
      <c r="D133" s="52" t="n"/>
      <c r="E133" s="52" t="n"/>
      <c r="F133" s="52" t="n"/>
      <c r="M133" s="52" t="n"/>
      <c r="N133" s="52" t="n"/>
    </row>
    <row r="134" ht="15.75" customHeight="1" s="673">
      <c r="A134" s="350" t="n"/>
      <c r="B134" s="52" t="n"/>
      <c r="C134" s="52" t="n"/>
      <c r="D134" s="52" t="n"/>
      <c r="E134" s="52" t="n"/>
      <c r="F134" s="52" t="n"/>
      <c r="M134" s="52" t="n"/>
      <c r="N134" s="52" t="n"/>
    </row>
    <row r="135" ht="15.75" customHeight="1" s="673">
      <c r="A135" s="350" t="n"/>
      <c r="B135" s="52" t="n"/>
      <c r="C135" s="52" t="n"/>
      <c r="D135" s="52" t="n"/>
      <c r="E135" s="52" t="n"/>
      <c r="F135" s="52" t="n"/>
      <c r="M135" s="52" t="n"/>
      <c r="N135" s="52" t="n"/>
    </row>
    <row r="136" ht="15.75" customHeight="1" s="673">
      <c r="A136" s="350" t="n"/>
      <c r="B136" s="52" t="n"/>
      <c r="C136" s="52" t="n"/>
      <c r="D136" s="52" t="n"/>
      <c r="E136" s="52" t="n"/>
      <c r="F136" s="52" t="n"/>
      <c r="M136" s="52" t="n"/>
      <c r="N136" s="52" t="n"/>
    </row>
    <row r="137" ht="15.75" customHeight="1" s="673">
      <c r="A137" s="350" t="n"/>
      <c r="B137" s="52" t="n"/>
      <c r="C137" s="52" t="n"/>
      <c r="D137" s="52" t="n"/>
      <c r="E137" s="52" t="n"/>
      <c r="F137" s="52" t="n"/>
      <c r="M137" s="52" t="n"/>
      <c r="N137" s="52" t="n"/>
    </row>
    <row r="138" ht="15.75" customHeight="1" s="673">
      <c r="A138" s="350" t="n"/>
      <c r="B138" s="52" t="n"/>
      <c r="C138" s="52" t="n"/>
      <c r="D138" s="52" t="n"/>
      <c r="E138" s="52" t="n"/>
      <c r="F138" s="52" t="n"/>
      <c r="M138" s="52" t="n"/>
      <c r="N138" s="52" t="n"/>
    </row>
    <row r="139" ht="15.75" customHeight="1" s="673">
      <c r="A139" s="350" t="n"/>
      <c r="B139" s="52" t="n"/>
      <c r="C139" s="52" t="n"/>
      <c r="D139" s="52" t="n"/>
      <c r="E139" s="52" t="n"/>
      <c r="F139" s="52" t="n"/>
      <c r="M139" s="52" t="n"/>
      <c r="N139" s="52" t="n"/>
    </row>
    <row r="140" ht="15.75" customHeight="1" s="673">
      <c r="A140" s="350" t="n"/>
      <c r="B140" s="52" t="n"/>
      <c r="C140" s="52" t="n"/>
      <c r="D140" s="52" t="n"/>
      <c r="E140" s="52" t="n"/>
      <c r="F140" s="52" t="n"/>
      <c r="M140" s="52" t="n"/>
      <c r="N140" s="52" t="n"/>
    </row>
    <row r="141" ht="15.75" customHeight="1" s="673">
      <c r="A141" s="350" t="n"/>
      <c r="B141" s="52" t="n"/>
      <c r="C141" s="52" t="n"/>
      <c r="D141" s="52" t="n"/>
      <c r="E141" s="52" t="n"/>
      <c r="F141" s="52" t="n"/>
      <c r="M141" s="52" t="n"/>
      <c r="N141" s="52" t="n"/>
    </row>
    <row r="142" ht="15.75" customHeight="1" s="673">
      <c r="A142" s="350" t="n"/>
      <c r="B142" s="52" t="n"/>
      <c r="C142" s="52" t="n"/>
      <c r="D142" s="52" t="n"/>
      <c r="E142" s="52" t="n"/>
      <c r="F142" s="52" t="n"/>
      <c r="M142" s="52" t="n"/>
      <c r="N142" s="52" t="n"/>
    </row>
    <row r="143" ht="15.75" customHeight="1" s="673">
      <c r="A143" s="350" t="n"/>
      <c r="B143" s="52" t="n"/>
      <c r="C143" s="52" t="n"/>
      <c r="D143" s="52" t="n"/>
      <c r="E143" s="52" t="n"/>
      <c r="F143" s="52" t="n"/>
      <c r="M143" s="52" t="n"/>
      <c r="N143" s="52" t="n"/>
    </row>
    <row r="144" ht="15.75" customHeight="1" s="673">
      <c r="A144" s="350" t="n"/>
      <c r="B144" s="52" t="n"/>
      <c r="C144" s="52" t="n"/>
      <c r="D144" s="52" t="n"/>
      <c r="E144" s="52" t="n"/>
      <c r="F144" s="52" t="n"/>
      <c r="M144" s="52" t="n"/>
      <c r="N144" s="52" t="n"/>
    </row>
    <row r="145" ht="15.75" customHeight="1" s="673">
      <c r="A145" s="350" t="n"/>
      <c r="B145" s="52" t="n"/>
      <c r="C145" s="52" t="n"/>
      <c r="D145" s="52" t="n"/>
      <c r="E145" s="52" t="n"/>
      <c r="F145" s="52" t="n"/>
      <c r="M145" s="52" t="n"/>
      <c r="N145" s="52" t="n"/>
    </row>
    <row r="146" ht="15.75" customHeight="1" s="673">
      <c r="A146" s="350" t="n"/>
      <c r="B146" s="52" t="n"/>
      <c r="C146" s="52" t="n"/>
      <c r="D146" s="52" t="n"/>
      <c r="E146" s="52" t="n"/>
      <c r="F146" s="52" t="n"/>
      <c r="M146" s="52" t="n"/>
      <c r="N146" s="52" t="n"/>
    </row>
    <row r="147" ht="15.75" customHeight="1" s="673">
      <c r="A147" s="350" t="n"/>
      <c r="B147" s="52" t="n"/>
      <c r="C147" s="52" t="n"/>
      <c r="D147" s="52" t="n"/>
      <c r="E147" s="52" t="n"/>
      <c r="F147" s="52" t="n"/>
      <c r="M147" s="52" t="n"/>
      <c r="N147" s="52" t="n"/>
    </row>
    <row r="148" ht="15.75" customHeight="1" s="673">
      <c r="A148" s="350" t="n"/>
      <c r="B148" s="52" t="n"/>
      <c r="C148" s="52" t="n"/>
      <c r="D148" s="52" t="n"/>
      <c r="E148" s="52" t="n"/>
      <c r="F148" s="52" t="n"/>
      <c r="M148" s="52" t="n"/>
      <c r="N148" s="52" t="n"/>
    </row>
    <row r="149" ht="15.75" customHeight="1" s="673">
      <c r="A149" s="350" t="n"/>
      <c r="B149" s="52" t="n"/>
      <c r="C149" s="52" t="n"/>
      <c r="D149" s="52" t="n"/>
      <c r="E149" s="52" t="n"/>
      <c r="F149" s="52" t="n"/>
      <c r="M149" s="52" t="n"/>
      <c r="N149" s="52" t="n"/>
    </row>
    <row r="150" ht="15.75" customHeight="1" s="673">
      <c r="A150" s="350" t="n"/>
      <c r="B150" s="52" t="n"/>
      <c r="C150" s="52" t="n"/>
      <c r="D150" s="52" t="n"/>
      <c r="E150" s="52" t="n"/>
      <c r="F150" s="52" t="n"/>
      <c r="M150" s="52" t="n"/>
      <c r="N150" s="52" t="n"/>
    </row>
    <row r="151" ht="15.75" customHeight="1" s="673">
      <c r="A151" s="350" t="n"/>
      <c r="B151" s="52" t="n"/>
      <c r="C151" s="52" t="n"/>
      <c r="D151" s="52" t="n"/>
      <c r="E151" s="52" t="n"/>
      <c r="F151" s="52" t="n"/>
      <c r="M151" s="52" t="n"/>
      <c r="N151" s="52" t="n"/>
    </row>
    <row r="152" ht="15.75" customHeight="1" s="673">
      <c r="A152" s="350" t="n"/>
      <c r="B152" s="52" t="n"/>
      <c r="C152" s="52" t="n"/>
      <c r="D152" s="52" t="n"/>
      <c r="E152" s="52" t="n"/>
      <c r="F152" s="52" t="n"/>
      <c r="M152" s="52" t="n"/>
      <c r="N152" s="52" t="n"/>
    </row>
    <row r="153" ht="15.75" customHeight="1" s="673">
      <c r="A153" s="350" t="n"/>
      <c r="B153" s="52" t="n"/>
      <c r="C153" s="52" t="n"/>
      <c r="D153" s="52" t="n"/>
      <c r="E153" s="52" t="n"/>
      <c r="F153" s="52" t="n"/>
      <c r="M153" s="52" t="n"/>
      <c r="N153" s="52" t="n"/>
    </row>
    <row r="154" ht="15.75" customHeight="1" s="673">
      <c r="A154" s="350" t="n"/>
      <c r="B154" s="52" t="n"/>
      <c r="C154" s="52" t="n"/>
      <c r="D154" s="52" t="n"/>
      <c r="E154" s="52" t="n"/>
      <c r="F154" s="52" t="n"/>
      <c r="M154" s="52" t="n"/>
      <c r="N154" s="52" t="n"/>
    </row>
    <row r="155" ht="15.75" customHeight="1" s="673">
      <c r="A155" s="350" t="n"/>
      <c r="B155" s="52" t="n"/>
      <c r="C155" s="52" t="n"/>
      <c r="D155" s="52" t="n"/>
      <c r="E155" s="52" t="n"/>
      <c r="F155" s="52" t="n"/>
      <c r="M155" s="52" t="n"/>
      <c r="N155" s="52" t="n"/>
    </row>
    <row r="156" ht="15.75" customHeight="1" s="673">
      <c r="A156" s="350" t="n"/>
      <c r="B156" s="52" t="n"/>
      <c r="C156" s="52" t="n"/>
      <c r="D156" s="52" t="n"/>
      <c r="E156" s="52" t="n"/>
      <c r="F156" s="52" t="n"/>
      <c r="M156" s="52" t="n"/>
      <c r="N156" s="52" t="n"/>
    </row>
    <row r="157" ht="15.75" customHeight="1" s="673">
      <c r="A157" s="350" t="n"/>
      <c r="B157" s="52" t="n"/>
      <c r="C157" s="52" t="n"/>
      <c r="D157" s="52" t="n"/>
      <c r="E157" s="52" t="n"/>
      <c r="F157" s="52" t="n"/>
      <c r="M157" s="52" t="n"/>
      <c r="N157" s="52" t="n"/>
    </row>
    <row r="158" ht="15.75" customHeight="1" s="673">
      <c r="A158" s="350" t="n"/>
      <c r="B158" s="52" t="n"/>
      <c r="C158" s="52" t="n"/>
      <c r="D158" s="52" t="n"/>
      <c r="E158" s="52" t="n"/>
      <c r="F158" s="52" t="n"/>
      <c r="M158" s="52" t="n"/>
      <c r="N158" s="52" t="n"/>
    </row>
    <row r="159" ht="15.75" customHeight="1" s="673">
      <c r="A159" s="350" t="n"/>
      <c r="B159" s="52" t="n"/>
      <c r="C159" s="52" t="n"/>
      <c r="D159" s="52" t="n"/>
      <c r="E159" s="52" t="n"/>
      <c r="F159" s="52" t="n"/>
      <c r="M159" s="52" t="n"/>
      <c r="N159" s="52" t="n"/>
    </row>
    <row r="160" ht="15.75" customHeight="1" s="673">
      <c r="A160" s="350" t="n"/>
      <c r="B160" s="52" t="n"/>
      <c r="C160" s="52" t="n"/>
      <c r="D160" s="52" t="n"/>
      <c r="E160" s="52" t="n"/>
      <c r="F160" s="52" t="n"/>
      <c r="M160" s="52" t="n"/>
      <c r="N160" s="52" t="n"/>
    </row>
    <row r="161" ht="15.75" customHeight="1" s="673">
      <c r="A161" s="350" t="n"/>
      <c r="B161" s="52" t="n"/>
      <c r="C161" s="52" t="n"/>
      <c r="D161" s="52" t="n"/>
      <c r="E161" s="52" t="n"/>
      <c r="F161" s="52" t="n"/>
      <c r="M161" s="52" t="n"/>
      <c r="N161" s="52" t="n"/>
    </row>
    <row r="162" ht="15.75" customHeight="1" s="673">
      <c r="A162" s="350" t="n"/>
      <c r="B162" s="52" t="n"/>
      <c r="C162" s="52" t="n"/>
      <c r="D162" s="52" t="n"/>
      <c r="E162" s="52" t="n"/>
      <c r="F162" s="52" t="n"/>
      <c r="M162" s="52" t="n"/>
      <c r="N162" s="52" t="n"/>
    </row>
    <row r="163" ht="15.75" customHeight="1" s="673">
      <c r="A163" s="350" t="n"/>
      <c r="B163" s="52" t="n"/>
      <c r="C163" s="52" t="n"/>
      <c r="D163" s="52" t="n"/>
      <c r="E163" s="52" t="n"/>
      <c r="F163" s="52" t="n"/>
      <c r="M163" s="52" t="n"/>
      <c r="N163" s="52" t="n"/>
    </row>
    <row r="164" ht="15.75" customHeight="1" s="673">
      <c r="A164" s="350" t="n"/>
      <c r="B164" s="52" t="n"/>
      <c r="C164" s="52" t="n"/>
      <c r="D164" s="52" t="n"/>
      <c r="E164" s="52" t="n"/>
      <c r="F164" s="52" t="n"/>
      <c r="M164" s="52" t="n"/>
      <c r="N164" s="52" t="n"/>
    </row>
    <row r="165" ht="15.75" customHeight="1" s="673">
      <c r="A165" s="350" t="n"/>
      <c r="B165" s="52" t="n"/>
      <c r="C165" s="52" t="n"/>
      <c r="D165" s="52" t="n"/>
      <c r="E165" s="52" t="n"/>
      <c r="F165" s="52" t="n"/>
      <c r="M165" s="52" t="n"/>
      <c r="N165" s="52" t="n"/>
    </row>
    <row r="166" ht="15.75" customHeight="1" s="673">
      <c r="A166" s="350" t="n"/>
      <c r="B166" s="52" t="n"/>
      <c r="C166" s="52" t="n"/>
      <c r="D166" s="52" t="n"/>
      <c r="E166" s="52" t="n"/>
      <c r="F166" s="52" t="n"/>
      <c r="M166" s="52" t="n"/>
      <c r="N166" s="52" t="n"/>
    </row>
    <row r="167" ht="15.75" customHeight="1" s="673">
      <c r="A167" s="350" t="n"/>
      <c r="B167" s="52" t="n"/>
      <c r="C167" s="52" t="n"/>
      <c r="D167" s="52" t="n"/>
      <c r="E167" s="52" t="n"/>
      <c r="F167" s="52" t="n"/>
      <c r="M167" s="52" t="n"/>
      <c r="N167" s="52" t="n"/>
    </row>
    <row r="168" ht="15.75" customHeight="1" s="673">
      <c r="A168" s="350" t="n"/>
      <c r="B168" s="52" t="n"/>
      <c r="C168" s="52" t="n"/>
      <c r="D168" s="52" t="n"/>
      <c r="E168" s="52" t="n"/>
      <c r="F168" s="52" t="n"/>
      <c r="M168" s="52" t="n"/>
      <c r="N168" s="52" t="n"/>
    </row>
    <row r="169" ht="15.75" customHeight="1" s="673">
      <c r="A169" s="350" t="n"/>
      <c r="B169" s="52" t="n"/>
      <c r="C169" s="52" t="n"/>
      <c r="D169" s="52" t="n"/>
      <c r="E169" s="52" t="n"/>
      <c r="F169" s="52" t="n"/>
      <c r="M169" s="52" t="n"/>
      <c r="N169" s="52" t="n"/>
    </row>
    <row r="170" ht="15.75" customHeight="1" s="673">
      <c r="A170" s="350" t="n"/>
      <c r="B170" s="52" t="n"/>
      <c r="C170" s="52" t="n"/>
      <c r="D170" s="52" t="n"/>
      <c r="E170" s="52" t="n"/>
      <c r="F170" s="52" t="n"/>
      <c r="M170" s="52" t="n"/>
      <c r="N170" s="52" t="n"/>
    </row>
    <row r="171" ht="15.75" customHeight="1" s="673">
      <c r="A171" s="350" t="n"/>
      <c r="B171" s="52" t="n"/>
      <c r="C171" s="52" t="n"/>
      <c r="D171" s="52" t="n"/>
      <c r="E171" s="52" t="n"/>
      <c r="F171" s="52" t="n"/>
      <c r="M171" s="52" t="n"/>
      <c r="N171" s="52" t="n"/>
    </row>
    <row r="172" ht="15.75" customHeight="1" s="673">
      <c r="A172" s="350" t="n"/>
      <c r="B172" s="52" t="n"/>
      <c r="C172" s="52" t="n"/>
      <c r="D172" s="52" t="n"/>
      <c r="E172" s="52" t="n"/>
      <c r="F172" s="52" t="n"/>
      <c r="M172" s="52" t="n"/>
      <c r="N172" s="52" t="n"/>
    </row>
    <row r="173" ht="15.75" customHeight="1" s="673">
      <c r="A173" s="350" t="n"/>
      <c r="B173" s="52" t="n"/>
      <c r="C173" s="52" t="n"/>
      <c r="D173" s="52" t="n"/>
      <c r="E173" s="52" t="n"/>
      <c r="F173" s="52" t="n"/>
      <c r="M173" s="52" t="n"/>
      <c r="N173" s="52" t="n"/>
    </row>
    <row r="174" ht="15.75" customHeight="1" s="673">
      <c r="A174" s="350" t="n"/>
      <c r="B174" s="52" t="n"/>
      <c r="C174" s="52" t="n"/>
      <c r="D174" s="52" t="n"/>
      <c r="E174" s="52" t="n"/>
      <c r="F174" s="52" t="n"/>
      <c r="M174" s="52" t="n"/>
      <c r="N174" s="52" t="n"/>
    </row>
    <row r="175" ht="15.75" customHeight="1" s="673">
      <c r="A175" s="350" t="n"/>
      <c r="B175" s="52" t="n"/>
      <c r="C175" s="52" t="n"/>
      <c r="D175" s="52" t="n"/>
      <c r="E175" s="52" t="n"/>
      <c r="F175" s="52" t="n"/>
      <c r="M175" s="52" t="n"/>
      <c r="N175" s="52" t="n"/>
    </row>
    <row r="176" ht="15.75" customHeight="1" s="673">
      <c r="A176" s="350" t="n"/>
      <c r="B176" s="52" t="n"/>
      <c r="C176" s="52" t="n"/>
      <c r="D176" s="52" t="n"/>
      <c r="E176" s="52" t="n"/>
      <c r="F176" s="52" t="n"/>
      <c r="M176" s="52" t="n"/>
      <c r="N176" s="52" t="n"/>
    </row>
    <row r="177" ht="15.75" customHeight="1" s="673">
      <c r="A177" s="350" t="n"/>
      <c r="B177" s="52" t="n"/>
      <c r="C177" s="52" t="n"/>
      <c r="D177" s="52" t="n"/>
      <c r="E177" s="52" t="n"/>
      <c r="F177" s="52" t="n"/>
      <c r="M177" s="52" t="n"/>
      <c r="N177" s="52" t="n"/>
    </row>
    <row r="178" ht="15.75" customHeight="1" s="673">
      <c r="A178" s="350" t="n"/>
      <c r="B178" s="52" t="n"/>
      <c r="C178" s="52" t="n"/>
      <c r="D178" s="52" t="n"/>
      <c r="E178" s="52" t="n"/>
      <c r="F178" s="52" t="n"/>
      <c r="M178" s="52" t="n"/>
      <c r="N178" s="52" t="n"/>
    </row>
    <row r="179" ht="15.75" customHeight="1" s="673">
      <c r="A179" s="350" t="n"/>
      <c r="B179" s="52" t="n"/>
      <c r="C179" s="52" t="n"/>
      <c r="D179" s="52" t="n"/>
      <c r="E179" s="52" t="n"/>
      <c r="F179" s="52" t="n"/>
      <c r="M179" s="52" t="n"/>
      <c r="N179" s="52" t="n"/>
    </row>
    <row r="180" ht="15.75" customHeight="1" s="673">
      <c r="A180" s="350" t="n"/>
      <c r="B180" s="52" t="n"/>
      <c r="C180" s="52" t="n"/>
      <c r="D180" s="52" t="n"/>
      <c r="E180" s="52" t="n"/>
      <c r="F180" s="52" t="n"/>
      <c r="M180" s="52" t="n"/>
      <c r="N180" s="52" t="n"/>
    </row>
    <row r="181" ht="15.75" customHeight="1" s="673">
      <c r="A181" s="350" t="n"/>
      <c r="B181" s="52" t="n"/>
      <c r="C181" s="52" t="n"/>
      <c r="D181" s="52" t="n"/>
      <c r="E181" s="52" t="n"/>
      <c r="F181" s="52" t="n"/>
      <c r="M181" s="52" t="n"/>
      <c r="N181" s="52" t="n"/>
    </row>
    <row r="182" ht="15.75" customHeight="1" s="673">
      <c r="A182" s="350" t="n"/>
      <c r="B182" s="52" t="n"/>
      <c r="C182" s="52" t="n"/>
      <c r="D182" s="52" t="n"/>
      <c r="E182" s="52" t="n"/>
      <c r="F182" s="52" t="n"/>
      <c r="M182" s="52" t="n"/>
      <c r="N182" s="52" t="n"/>
    </row>
    <row r="183" ht="15.75" customHeight="1" s="673">
      <c r="A183" s="350" t="n"/>
      <c r="B183" s="52" t="n"/>
      <c r="C183" s="52" t="n"/>
      <c r="D183" s="52" t="n"/>
      <c r="E183" s="52" t="n"/>
      <c r="F183" s="52" t="n"/>
      <c r="M183" s="52" t="n"/>
      <c r="N183" s="52" t="n"/>
    </row>
    <row r="184" ht="15.75" customHeight="1" s="673">
      <c r="A184" s="350" t="n"/>
      <c r="B184" s="52" t="n"/>
      <c r="C184" s="52" t="n"/>
      <c r="D184" s="52" t="n"/>
      <c r="E184" s="52" t="n"/>
      <c r="F184" s="52" t="n"/>
      <c r="M184" s="52" t="n"/>
      <c r="N184" s="52" t="n"/>
    </row>
    <row r="185" ht="15.75" customHeight="1" s="673">
      <c r="A185" s="350" t="n"/>
      <c r="B185" s="52" t="n"/>
      <c r="C185" s="52" t="n"/>
      <c r="D185" s="52" t="n"/>
      <c r="E185" s="52" t="n"/>
      <c r="F185" s="52" t="n"/>
      <c r="M185" s="52" t="n"/>
      <c r="N185" s="52" t="n"/>
    </row>
    <row r="186" ht="15.75" customHeight="1" s="673">
      <c r="A186" s="350" t="n"/>
      <c r="B186" s="52" t="n"/>
      <c r="C186" s="52" t="n"/>
      <c r="D186" s="52" t="n"/>
      <c r="E186" s="52" t="n"/>
      <c r="F186" s="52" t="n"/>
      <c r="M186" s="52" t="n"/>
      <c r="N186" s="52" t="n"/>
    </row>
    <row r="187" ht="15.75" customHeight="1" s="673">
      <c r="A187" s="350" t="n"/>
      <c r="B187" s="52" t="n"/>
      <c r="C187" s="52" t="n"/>
      <c r="D187" s="52" t="n"/>
      <c r="E187" s="52" t="n"/>
      <c r="F187" s="52" t="n"/>
      <c r="M187" s="52" t="n"/>
      <c r="N187" s="52" t="n"/>
    </row>
    <row r="188" ht="15.75" customHeight="1" s="673">
      <c r="A188" s="350" t="n"/>
      <c r="B188" s="52" t="n"/>
      <c r="C188" s="52" t="n"/>
      <c r="D188" s="52" t="n"/>
      <c r="E188" s="52" t="n"/>
      <c r="F188" s="52" t="n"/>
      <c r="M188" s="52" t="n"/>
      <c r="N188" s="52" t="n"/>
    </row>
    <row r="189" ht="15.75" customHeight="1" s="673">
      <c r="A189" s="350" t="n"/>
      <c r="B189" s="52" t="n"/>
      <c r="C189" s="52" t="n"/>
      <c r="D189" s="52" t="n"/>
      <c r="E189" s="52" t="n"/>
      <c r="F189" s="52" t="n"/>
      <c r="M189" s="52" t="n"/>
      <c r="N189" s="52" t="n"/>
    </row>
    <row r="190" ht="15.75" customHeight="1" s="673">
      <c r="A190" s="350" t="n"/>
      <c r="B190" s="52" t="n"/>
      <c r="C190" s="52" t="n"/>
      <c r="D190" s="52" t="n"/>
      <c r="E190" s="52" t="n"/>
      <c r="F190" s="52" t="n"/>
      <c r="M190" s="52" t="n"/>
      <c r="N190" s="52" t="n"/>
    </row>
    <row r="191" ht="15.75" customHeight="1" s="673">
      <c r="A191" s="350" t="n"/>
      <c r="B191" s="52" t="n"/>
      <c r="C191" s="52" t="n"/>
      <c r="D191" s="52" t="n"/>
      <c r="E191" s="52" t="n"/>
      <c r="F191" s="52" t="n"/>
      <c r="M191" s="52" t="n"/>
      <c r="N191" s="52" t="n"/>
    </row>
    <row r="192" ht="15.75" customHeight="1" s="673">
      <c r="A192" s="350" t="n"/>
      <c r="B192" s="52" t="n"/>
      <c r="C192" s="52" t="n"/>
      <c r="D192" s="52" t="n"/>
      <c r="E192" s="52" t="n"/>
      <c r="F192" s="52" t="n"/>
      <c r="M192" s="52" t="n"/>
      <c r="N192" s="52" t="n"/>
    </row>
    <row r="193" ht="15.75" customHeight="1" s="673">
      <c r="A193" s="350" t="n"/>
      <c r="B193" s="52" t="n"/>
      <c r="C193" s="52" t="n"/>
      <c r="D193" s="52" t="n"/>
      <c r="E193" s="52" t="n"/>
      <c r="F193" s="52" t="n"/>
      <c r="M193" s="52" t="n"/>
      <c r="N193" s="52" t="n"/>
    </row>
    <row r="194" ht="15.75" customHeight="1" s="673">
      <c r="A194" s="350" t="n"/>
      <c r="B194" s="52" t="n"/>
      <c r="C194" s="52" t="n"/>
      <c r="D194" s="52" t="n"/>
      <c r="E194" s="52" t="n"/>
      <c r="F194" s="52" t="n"/>
      <c r="M194" s="52" t="n"/>
      <c r="N194" s="52" t="n"/>
    </row>
    <row r="195" ht="15.75" customHeight="1" s="673">
      <c r="A195" s="350" t="n"/>
      <c r="B195" s="52" t="n"/>
      <c r="C195" s="52" t="n"/>
      <c r="D195" s="52" t="n"/>
      <c r="E195" s="52" t="n"/>
      <c r="F195" s="52" t="n"/>
      <c r="M195" s="52" t="n"/>
      <c r="N195" s="52" t="n"/>
    </row>
    <row r="196" ht="15.75" customHeight="1" s="673">
      <c r="A196" s="350" t="n"/>
      <c r="B196" s="52" t="n"/>
      <c r="C196" s="52" t="n"/>
      <c r="D196" s="52" t="n"/>
      <c r="E196" s="52" t="n"/>
      <c r="F196" s="52" t="n"/>
      <c r="M196" s="52" t="n"/>
      <c r="N196" s="52" t="n"/>
    </row>
    <row r="197" ht="15.75" customHeight="1" s="673">
      <c r="A197" s="350" t="n"/>
      <c r="B197" s="52" t="n"/>
      <c r="C197" s="52" t="n"/>
      <c r="D197" s="52" t="n"/>
      <c r="E197" s="52" t="n"/>
      <c r="F197" s="52" t="n"/>
      <c r="M197" s="52" t="n"/>
      <c r="N197" s="52" t="n"/>
    </row>
    <row r="198" ht="15.75" customHeight="1" s="673">
      <c r="A198" s="350" t="n"/>
      <c r="B198" s="52" t="n"/>
      <c r="C198" s="52" t="n"/>
      <c r="D198" s="52" t="n"/>
      <c r="E198" s="52" t="n"/>
      <c r="F198" s="52" t="n"/>
      <c r="M198" s="52" t="n"/>
      <c r="N198" s="52" t="n"/>
    </row>
    <row r="199" ht="15.75" customHeight="1" s="673">
      <c r="A199" s="350" t="n"/>
      <c r="B199" s="52" t="n"/>
      <c r="C199" s="52" t="n"/>
      <c r="D199" s="52" t="n"/>
      <c r="E199" s="52" t="n"/>
      <c r="F199" s="52" t="n"/>
      <c r="M199" s="52" t="n"/>
      <c r="N199" s="52" t="n"/>
    </row>
    <row r="200" ht="15.75" customHeight="1" s="673">
      <c r="A200" s="350" t="n"/>
      <c r="B200" s="52" t="n"/>
      <c r="C200" s="52" t="n"/>
      <c r="D200" s="52" t="n"/>
      <c r="E200" s="52" t="n"/>
      <c r="F200" s="52" t="n"/>
      <c r="M200" s="52" t="n"/>
      <c r="N200" s="52" t="n"/>
    </row>
    <row r="201" ht="15.75" customHeight="1" s="673">
      <c r="A201" s="350" t="n"/>
      <c r="B201" s="52" t="n"/>
      <c r="C201" s="52" t="n"/>
      <c r="D201" s="52" t="n"/>
      <c r="E201" s="52" t="n"/>
      <c r="F201" s="52" t="n"/>
      <c r="M201" s="52" t="n"/>
      <c r="N201" s="52" t="n"/>
    </row>
    <row r="202" ht="15.75" customHeight="1" s="673">
      <c r="A202" s="350" t="n"/>
      <c r="B202" s="52" t="n"/>
      <c r="C202" s="52" t="n"/>
      <c r="D202" s="52" t="n"/>
      <c r="E202" s="52" t="n"/>
      <c r="F202" s="52" t="n"/>
      <c r="M202" s="52" t="n"/>
      <c r="N202" s="52" t="n"/>
    </row>
    <row r="203" ht="15.75" customHeight="1" s="673">
      <c r="A203" s="350" t="n"/>
      <c r="B203" s="52" t="n"/>
      <c r="C203" s="52" t="n"/>
      <c r="D203" s="52" t="n"/>
      <c r="E203" s="52" t="n"/>
      <c r="F203" s="52" t="n"/>
      <c r="M203" s="52" t="n"/>
      <c r="N203" s="52" t="n"/>
    </row>
    <row r="204" ht="15.75" customHeight="1" s="673">
      <c r="A204" s="350" t="n"/>
      <c r="B204" s="52" t="n"/>
      <c r="C204" s="52" t="n"/>
      <c r="D204" s="52" t="n"/>
      <c r="E204" s="52" t="n"/>
      <c r="F204" s="52" t="n"/>
      <c r="M204" s="52" t="n"/>
      <c r="N204" s="52" t="n"/>
    </row>
    <row r="205" ht="15.75" customHeight="1" s="673">
      <c r="A205" s="350" t="n"/>
      <c r="B205" s="52" t="n"/>
      <c r="C205" s="52" t="n"/>
      <c r="D205" s="52" t="n"/>
      <c r="E205" s="52" t="n"/>
      <c r="F205" s="52" t="n"/>
      <c r="M205" s="52" t="n"/>
      <c r="N205" s="52" t="n"/>
    </row>
    <row r="206" ht="15.75" customHeight="1" s="673">
      <c r="A206" s="350" t="n"/>
      <c r="B206" s="52" t="n"/>
      <c r="C206" s="52" t="n"/>
      <c r="D206" s="52" t="n"/>
      <c r="E206" s="52" t="n"/>
      <c r="F206" s="52" t="n"/>
      <c r="M206" s="52" t="n"/>
      <c r="N206" s="52" t="n"/>
    </row>
    <row r="207" ht="15.75" customHeight="1" s="673">
      <c r="A207" s="350" t="n"/>
      <c r="B207" s="52" t="n"/>
      <c r="C207" s="52" t="n"/>
      <c r="D207" s="52" t="n"/>
      <c r="E207" s="52" t="n"/>
      <c r="F207" s="52" t="n"/>
      <c r="M207" s="52" t="n"/>
      <c r="N207" s="52" t="n"/>
    </row>
    <row r="208" ht="15.75" customHeight="1" s="673">
      <c r="A208" s="350" t="n"/>
      <c r="B208" s="52" t="n"/>
      <c r="C208" s="52" t="n"/>
      <c r="D208" s="52" t="n"/>
      <c r="E208" s="52" t="n"/>
      <c r="F208" s="52" t="n"/>
      <c r="M208" s="52" t="n"/>
      <c r="N208" s="52" t="n"/>
    </row>
    <row r="209" ht="15.75" customHeight="1" s="673">
      <c r="A209" s="350" t="n"/>
      <c r="B209" s="52" t="n"/>
      <c r="C209" s="52" t="n"/>
      <c r="D209" s="52" t="n"/>
      <c r="E209" s="52" t="n"/>
      <c r="F209" s="52" t="n"/>
      <c r="M209" s="52" t="n"/>
      <c r="N209" s="52" t="n"/>
    </row>
    <row r="210" ht="15.75" customHeight="1" s="673">
      <c r="A210" s="350" t="n"/>
      <c r="B210" s="52" t="n"/>
      <c r="C210" s="52" t="n"/>
      <c r="D210" s="52" t="n"/>
      <c r="E210" s="52" t="n"/>
      <c r="F210" s="52" t="n"/>
      <c r="M210" s="52" t="n"/>
      <c r="N210" s="52" t="n"/>
    </row>
    <row r="211" ht="15.75" customHeight="1" s="673">
      <c r="A211" s="350" t="n"/>
      <c r="B211" s="52" t="n"/>
      <c r="C211" s="52" t="n"/>
      <c r="D211" s="52" t="n"/>
      <c r="E211" s="52" t="n"/>
      <c r="F211" s="52" t="n"/>
      <c r="M211" s="52" t="n"/>
      <c r="N211" s="52" t="n"/>
    </row>
    <row r="212" ht="15.75" customHeight="1" s="673">
      <c r="A212" s="350" t="n"/>
      <c r="B212" s="52" t="n"/>
      <c r="C212" s="52" t="n"/>
      <c r="D212" s="52" t="n"/>
      <c r="E212" s="52" t="n"/>
      <c r="F212" s="52" t="n"/>
      <c r="M212" s="52" t="n"/>
      <c r="N212" s="52" t="n"/>
    </row>
    <row r="213" ht="15.75" customHeight="1" s="673">
      <c r="A213" s="350" t="n"/>
      <c r="B213" s="52" t="n"/>
      <c r="C213" s="52" t="n"/>
      <c r="D213" s="52" t="n"/>
      <c r="E213" s="52" t="n"/>
      <c r="F213" s="52" t="n"/>
      <c r="M213" s="52" t="n"/>
      <c r="N213" s="52" t="n"/>
    </row>
    <row r="214" ht="15.75" customHeight="1" s="673">
      <c r="A214" s="350" t="n"/>
      <c r="B214" s="52" t="n"/>
      <c r="C214" s="52" t="n"/>
      <c r="D214" s="52" t="n"/>
      <c r="E214" s="52" t="n"/>
      <c r="F214" s="52" t="n"/>
      <c r="M214" s="52" t="n"/>
      <c r="N214" s="52" t="n"/>
    </row>
    <row r="215" ht="15.75" customHeight="1" s="673">
      <c r="A215" s="350" t="n"/>
      <c r="B215" s="52" t="n"/>
      <c r="C215" s="52" t="n"/>
      <c r="D215" s="52" t="n"/>
      <c r="E215" s="52" t="n"/>
      <c r="F215" s="52" t="n"/>
      <c r="M215" s="52" t="n"/>
      <c r="N215" s="52" t="n"/>
    </row>
    <row r="216" ht="15.75" customHeight="1" s="673">
      <c r="A216" s="350" t="n"/>
      <c r="B216" s="52" t="n"/>
      <c r="C216" s="52" t="n"/>
      <c r="D216" s="52" t="n"/>
      <c r="E216" s="52" t="n"/>
      <c r="F216" s="52" t="n"/>
      <c r="M216" s="52" t="n"/>
      <c r="N216" s="52" t="n"/>
    </row>
    <row r="217" ht="15.75" customHeight="1" s="673">
      <c r="A217" s="350" t="n"/>
      <c r="B217" s="52" t="n"/>
      <c r="C217" s="52" t="n"/>
      <c r="D217" s="52" t="n"/>
      <c r="E217" s="52" t="n"/>
      <c r="F217" s="52" t="n"/>
      <c r="M217" s="52" t="n"/>
      <c r="N217" s="52" t="n"/>
    </row>
    <row r="218" ht="15.75" customHeight="1" s="673">
      <c r="A218" s="350" t="n"/>
      <c r="B218" s="52" t="n"/>
      <c r="C218" s="52" t="n"/>
      <c r="D218" s="52" t="n"/>
      <c r="E218" s="52" t="n"/>
      <c r="F218" s="52" t="n"/>
      <c r="M218" s="52" t="n"/>
      <c r="N218" s="52" t="n"/>
    </row>
    <row r="219" ht="15.75" customHeight="1" s="673">
      <c r="A219" s="350" t="n"/>
      <c r="B219" s="52" t="n"/>
      <c r="C219" s="52" t="n"/>
      <c r="D219" s="52" t="n"/>
      <c r="E219" s="52" t="n"/>
      <c r="F219" s="52" t="n"/>
      <c r="M219" s="52" t="n"/>
      <c r="N219" s="52" t="n"/>
    </row>
    <row r="220" ht="15.75" customHeight="1" s="673">
      <c r="A220" s="350" t="n"/>
      <c r="B220" s="52" t="n"/>
      <c r="C220" s="52" t="n"/>
      <c r="D220" s="52" t="n"/>
      <c r="E220" s="52" t="n"/>
      <c r="F220" s="52" t="n"/>
      <c r="M220" s="52" t="n"/>
      <c r="N220" s="52" t="n"/>
    </row>
    <row r="221" ht="15.75" customHeight="1" s="673">
      <c r="A221" s="350" t="n"/>
      <c r="B221" s="52" t="n"/>
      <c r="C221" s="52" t="n"/>
      <c r="D221" s="52" t="n"/>
      <c r="E221" s="52" t="n"/>
      <c r="F221" s="52" t="n"/>
      <c r="M221" s="52" t="n"/>
      <c r="N221" s="52" t="n"/>
    </row>
    <row r="222" ht="15.75" customHeight="1" s="673">
      <c r="A222" s="350" t="n"/>
      <c r="B222" s="52" t="n"/>
      <c r="C222" s="52" t="n"/>
      <c r="D222" s="52" t="n"/>
      <c r="E222" s="52" t="n"/>
      <c r="F222" s="52" t="n"/>
      <c r="M222" s="52" t="n"/>
      <c r="N222" s="52" t="n"/>
    </row>
    <row r="223" ht="15.75" customHeight="1" s="673">
      <c r="A223" s="350" t="n"/>
      <c r="B223" s="52" t="n"/>
      <c r="C223" s="52" t="n"/>
      <c r="D223" s="52" t="n"/>
      <c r="E223" s="52" t="n"/>
      <c r="F223" s="52" t="n"/>
      <c r="M223" s="52" t="n"/>
      <c r="N223" s="52" t="n"/>
    </row>
    <row r="224" ht="15.75" customHeight="1" s="673">
      <c r="A224" s="350" t="n"/>
      <c r="B224" s="52" t="n"/>
      <c r="C224" s="52" t="n"/>
      <c r="D224" s="52" t="n"/>
      <c r="E224" s="52" t="n"/>
      <c r="F224" s="52" t="n"/>
      <c r="M224" s="52" t="n"/>
      <c r="N224" s="52" t="n"/>
    </row>
    <row r="225" ht="15.75" customHeight="1" s="673">
      <c r="A225" s="350" t="n"/>
      <c r="B225" s="52" t="n"/>
      <c r="C225" s="52" t="n"/>
      <c r="D225" s="52" t="n"/>
      <c r="E225" s="52" t="n"/>
      <c r="F225" s="52" t="n"/>
      <c r="M225" s="52" t="n"/>
      <c r="N225" s="52" t="n"/>
    </row>
    <row r="226" ht="15.75" customHeight="1" s="673">
      <c r="A226" s="350" t="n"/>
      <c r="B226" s="52" t="n"/>
      <c r="C226" s="52" t="n"/>
      <c r="D226" s="52" t="n"/>
      <c r="E226" s="52" t="n"/>
      <c r="F226" s="52" t="n"/>
      <c r="M226" s="52" t="n"/>
      <c r="N226" s="52" t="n"/>
    </row>
    <row r="227" ht="15.75" customHeight="1" s="673">
      <c r="A227" s="350" t="n"/>
      <c r="B227" s="52" t="n"/>
      <c r="C227" s="52" t="n"/>
      <c r="D227" s="52" t="n"/>
      <c r="E227" s="52" t="n"/>
      <c r="F227" s="52" t="n"/>
      <c r="M227" s="52" t="n"/>
      <c r="N227" s="52" t="n"/>
    </row>
    <row r="228" ht="15.75" customHeight="1" s="673">
      <c r="A228" s="350" t="n"/>
      <c r="B228" s="52" t="n"/>
      <c r="C228" s="52" t="n"/>
      <c r="D228" s="52" t="n"/>
      <c r="E228" s="52" t="n"/>
      <c r="F228" s="52" t="n"/>
      <c r="M228" s="52" t="n"/>
      <c r="N228" s="52" t="n"/>
    </row>
    <row r="229" ht="15.75" customHeight="1" s="673">
      <c r="A229" s="350" t="n"/>
      <c r="B229" s="52" t="n"/>
      <c r="C229" s="52" t="n"/>
      <c r="D229" s="52" t="n"/>
      <c r="E229" s="52" t="n"/>
      <c r="F229" s="52" t="n"/>
      <c r="M229" s="52" t="n"/>
      <c r="N229" s="52" t="n"/>
    </row>
    <row r="230" ht="15.75" customHeight="1" s="673">
      <c r="A230" s="350" t="n"/>
      <c r="B230" s="52" t="n"/>
      <c r="C230" s="52" t="n"/>
      <c r="D230" s="52" t="n"/>
      <c r="E230" s="52" t="n"/>
      <c r="F230" s="52" t="n"/>
      <c r="M230" s="52" t="n"/>
      <c r="N230" s="52" t="n"/>
    </row>
    <row r="231" ht="15.75" customHeight="1" s="673">
      <c r="A231" s="350" t="n"/>
      <c r="B231" s="52" t="n"/>
      <c r="C231" s="52" t="n"/>
      <c r="D231" s="52" t="n"/>
      <c r="E231" s="52" t="n"/>
      <c r="F231" s="52" t="n"/>
      <c r="M231" s="52" t="n"/>
      <c r="N231" s="52" t="n"/>
    </row>
    <row r="232" ht="15.75" customHeight="1" s="673">
      <c r="A232" s="350" t="n"/>
      <c r="B232" s="52" t="n"/>
      <c r="C232" s="52" t="n"/>
      <c r="D232" s="52" t="n"/>
      <c r="E232" s="52" t="n"/>
      <c r="F232" s="52" t="n"/>
      <c r="M232" s="52" t="n"/>
      <c r="N232" s="52" t="n"/>
    </row>
    <row r="233" ht="15.75" customHeight="1" s="673">
      <c r="A233" s="350" t="n"/>
      <c r="B233" s="52" t="n"/>
      <c r="C233" s="52" t="n"/>
      <c r="D233" s="52" t="n"/>
      <c r="E233" s="52" t="n"/>
      <c r="F233" s="52" t="n"/>
      <c r="M233" s="52" t="n"/>
      <c r="N233" s="52" t="n"/>
    </row>
    <row r="234" ht="15.75" customHeight="1" s="673">
      <c r="A234" s="350" t="n"/>
      <c r="B234" s="52" t="n"/>
      <c r="C234" s="52" t="n"/>
      <c r="D234" s="52" t="n"/>
      <c r="E234" s="52" t="n"/>
      <c r="F234" s="52" t="n"/>
      <c r="M234" s="52" t="n"/>
      <c r="N234" s="52" t="n"/>
    </row>
    <row r="235" ht="15.75" customHeight="1" s="673">
      <c r="A235" s="350" t="n"/>
      <c r="B235" s="52" t="n"/>
      <c r="C235" s="52" t="n"/>
      <c r="D235" s="52" t="n"/>
      <c r="E235" s="52" t="n"/>
      <c r="F235" s="52" t="n"/>
      <c r="M235" s="52" t="n"/>
      <c r="N235" s="52" t="n"/>
    </row>
    <row r="236" ht="15.75" customHeight="1" s="673">
      <c r="A236" s="350" t="n"/>
      <c r="B236" s="52" t="n"/>
      <c r="C236" s="52" t="n"/>
      <c r="D236" s="52" t="n"/>
      <c r="E236" s="52" t="n"/>
      <c r="F236" s="52" t="n"/>
      <c r="M236" s="52" t="n"/>
      <c r="N236" s="52" t="n"/>
    </row>
    <row r="237" ht="15.75" customHeight="1" s="673">
      <c r="A237" s="350" t="n"/>
      <c r="B237" s="52" t="n"/>
      <c r="C237" s="52" t="n"/>
      <c r="D237" s="52" t="n"/>
      <c r="E237" s="52" t="n"/>
      <c r="F237" s="52" t="n"/>
      <c r="M237" s="52" t="n"/>
      <c r="N237" s="52" t="n"/>
    </row>
    <row r="238" ht="15.75" customHeight="1" s="673">
      <c r="A238" s="350" t="n"/>
      <c r="B238" s="52" t="n"/>
      <c r="C238" s="52" t="n"/>
      <c r="D238" s="52" t="n"/>
      <c r="E238" s="52" t="n"/>
      <c r="F238" s="52" t="n"/>
      <c r="M238" s="52" t="n"/>
      <c r="N238" s="52" t="n"/>
    </row>
    <row r="239" ht="15.75" customHeight="1" s="673">
      <c r="A239" s="350" t="n"/>
      <c r="B239" s="52" t="n"/>
      <c r="C239" s="52" t="n"/>
      <c r="D239" s="52" t="n"/>
      <c r="E239" s="52" t="n"/>
      <c r="F239" s="52" t="n"/>
      <c r="M239" s="52" t="n"/>
      <c r="N239" s="52" t="n"/>
    </row>
    <row r="240" ht="15.75" customHeight="1" s="673">
      <c r="A240" s="350" t="n"/>
      <c r="B240" s="52" t="n"/>
      <c r="C240" s="52" t="n"/>
      <c r="D240" s="52" t="n"/>
      <c r="E240" s="52" t="n"/>
      <c r="F240" s="52" t="n"/>
      <c r="M240" s="52" t="n"/>
      <c r="N240" s="52" t="n"/>
    </row>
    <row r="241" ht="15.75" customHeight="1" s="673">
      <c r="A241" s="350" t="n"/>
      <c r="B241" s="52" t="n"/>
      <c r="C241" s="52" t="n"/>
      <c r="D241" s="52" t="n"/>
      <c r="E241" s="52" t="n"/>
      <c r="F241" s="52" t="n"/>
      <c r="M241" s="52" t="n"/>
      <c r="N241" s="52" t="n"/>
    </row>
    <row r="242" ht="15.75" customHeight="1" s="673">
      <c r="A242" s="350" t="n"/>
      <c r="B242" s="52" t="n"/>
      <c r="C242" s="52" t="n"/>
      <c r="D242" s="52" t="n"/>
      <c r="E242" s="52" t="n"/>
      <c r="F242" s="52" t="n"/>
      <c r="M242" s="52" t="n"/>
      <c r="N242" s="52" t="n"/>
    </row>
    <row r="243" ht="15.75" customHeight="1" s="673">
      <c r="A243" s="350" t="n"/>
      <c r="B243" s="52" t="n"/>
      <c r="C243" s="52" t="n"/>
      <c r="D243" s="52" t="n"/>
      <c r="E243" s="52" t="n"/>
      <c r="F243" s="52" t="n"/>
      <c r="M243" s="52" t="n"/>
      <c r="N243" s="52" t="n"/>
    </row>
    <row r="244" ht="15.75" customHeight="1" s="673">
      <c r="A244" s="350" t="n"/>
      <c r="B244" s="52" t="n"/>
      <c r="C244" s="52" t="n"/>
      <c r="D244" s="52" t="n"/>
      <c r="E244" s="52" t="n"/>
      <c r="F244" s="52" t="n"/>
      <c r="M244" s="52" t="n"/>
      <c r="N244" s="52" t="n"/>
    </row>
    <row r="245" ht="15.75" customHeight="1" s="673">
      <c r="A245" s="350" t="n"/>
      <c r="B245" s="52" t="n"/>
      <c r="C245" s="52" t="n"/>
      <c r="D245" s="52" t="n"/>
      <c r="E245" s="52" t="n"/>
      <c r="F245" s="52" t="n"/>
      <c r="M245" s="52" t="n"/>
      <c r="N245" s="52" t="n"/>
    </row>
    <row r="246" ht="15.75" customHeight="1" s="673">
      <c r="A246" s="350" t="n"/>
      <c r="B246" s="52" t="n"/>
      <c r="C246" s="52" t="n"/>
      <c r="D246" s="52" t="n"/>
      <c r="E246" s="52" t="n"/>
      <c r="F246" s="52" t="n"/>
      <c r="M246" s="52" t="n"/>
      <c r="N246" s="52" t="n"/>
    </row>
    <row r="247" ht="15.75" customHeight="1" s="673">
      <c r="A247" s="350" t="n"/>
      <c r="B247" s="52" t="n"/>
      <c r="C247" s="52" t="n"/>
      <c r="D247" s="52" t="n"/>
      <c r="E247" s="52" t="n"/>
      <c r="F247" s="52" t="n"/>
      <c r="M247" s="52" t="n"/>
      <c r="N247" s="52" t="n"/>
    </row>
    <row r="248" ht="15.75" customHeight="1" s="673">
      <c r="A248" s="350" t="n"/>
      <c r="B248" s="52" t="n"/>
      <c r="C248" s="52" t="n"/>
      <c r="D248" s="52" t="n"/>
      <c r="E248" s="52" t="n"/>
      <c r="F248" s="52" t="n"/>
      <c r="M248" s="52" t="n"/>
      <c r="N248" s="52" t="n"/>
    </row>
    <row r="249" ht="15.75" customHeight="1" s="673">
      <c r="A249" s="350" t="n"/>
      <c r="B249" s="52" t="n"/>
      <c r="C249" s="52" t="n"/>
      <c r="D249" s="52" t="n"/>
      <c r="E249" s="52" t="n"/>
      <c r="F249" s="52" t="n"/>
      <c r="M249" s="52" t="n"/>
      <c r="N249" s="52" t="n"/>
    </row>
    <row r="250" ht="15.75" customHeight="1" s="673">
      <c r="A250" s="350" t="n"/>
      <c r="B250" s="52" t="n"/>
      <c r="C250" s="52" t="n"/>
      <c r="D250" s="52" t="n"/>
      <c r="E250" s="52" t="n"/>
      <c r="F250" s="52" t="n"/>
      <c r="M250" s="52" t="n"/>
      <c r="N250" s="52" t="n"/>
    </row>
    <row r="251" ht="15.75" customHeight="1" s="673">
      <c r="A251" s="350" t="n"/>
      <c r="B251" s="52" t="n"/>
      <c r="C251" s="52" t="n"/>
      <c r="D251" s="52" t="n"/>
      <c r="E251" s="52" t="n"/>
      <c r="F251" s="52" t="n"/>
      <c r="M251" s="52" t="n"/>
      <c r="N251" s="52" t="n"/>
    </row>
    <row r="252" ht="15.75" customHeight="1" s="673">
      <c r="A252" s="350" t="n"/>
      <c r="B252" s="52" t="n"/>
      <c r="C252" s="52" t="n"/>
      <c r="D252" s="52" t="n"/>
      <c r="E252" s="52" t="n"/>
      <c r="F252" s="52" t="n"/>
      <c r="M252" s="52" t="n"/>
      <c r="N252" s="52" t="n"/>
    </row>
    <row r="253" ht="15.75" customHeight="1" s="673">
      <c r="A253" s="350" t="n"/>
      <c r="B253" s="52" t="n"/>
      <c r="C253" s="52" t="n"/>
      <c r="D253" s="52" t="n"/>
      <c r="E253" s="52" t="n"/>
      <c r="F253" s="52" t="n"/>
      <c r="M253" s="52" t="n"/>
      <c r="N253" s="52" t="n"/>
    </row>
    <row r="254" ht="15.75" customHeight="1" s="673">
      <c r="A254" s="350" t="n"/>
      <c r="B254" s="52" t="n"/>
      <c r="C254" s="52" t="n"/>
      <c r="D254" s="52" t="n"/>
      <c r="E254" s="52" t="n"/>
      <c r="F254" s="52" t="n"/>
      <c r="M254" s="52" t="n"/>
      <c r="N254" s="52" t="n"/>
    </row>
    <row r="255" ht="15.75" customHeight="1" s="673">
      <c r="A255" s="350" t="n"/>
      <c r="B255" s="52" t="n"/>
      <c r="C255" s="52" t="n"/>
      <c r="D255" s="52" t="n"/>
      <c r="E255" s="52" t="n"/>
      <c r="F255" s="52" t="n"/>
      <c r="M255" s="52" t="n"/>
      <c r="N255" s="52" t="n"/>
    </row>
    <row r="256" ht="15.75" customHeight="1" s="673">
      <c r="A256" s="350" t="n"/>
      <c r="B256" s="52" t="n"/>
      <c r="C256" s="52" t="n"/>
      <c r="D256" s="52" t="n"/>
      <c r="E256" s="52" t="n"/>
      <c r="F256" s="52" t="n"/>
      <c r="M256" s="52" t="n"/>
      <c r="N256" s="52" t="n"/>
    </row>
    <row r="257" ht="15.75" customHeight="1" s="673">
      <c r="A257" s="350" t="n"/>
      <c r="B257" s="52" t="n"/>
      <c r="C257" s="52" t="n"/>
      <c r="D257" s="52" t="n"/>
      <c r="E257" s="52" t="n"/>
      <c r="F257" s="52" t="n"/>
      <c r="M257" s="52" t="n"/>
      <c r="N257" s="52" t="n"/>
    </row>
    <row r="258" ht="15.75" customHeight="1" s="673">
      <c r="A258" s="350" t="n"/>
      <c r="B258" s="52" t="n"/>
      <c r="C258" s="52" t="n"/>
      <c r="D258" s="52" t="n"/>
      <c r="E258" s="52" t="n"/>
      <c r="F258" s="52" t="n"/>
      <c r="M258" s="52" t="n"/>
      <c r="N258" s="52" t="n"/>
    </row>
    <row r="259" ht="15.75" customHeight="1" s="673">
      <c r="A259" s="350" t="n"/>
      <c r="B259" s="52" t="n"/>
      <c r="C259" s="52" t="n"/>
      <c r="D259" s="52" t="n"/>
      <c r="E259" s="52" t="n"/>
      <c r="F259" s="52" t="n"/>
      <c r="M259" s="52" t="n"/>
      <c r="N259" s="52" t="n"/>
    </row>
    <row r="260" ht="15.75" customHeight="1" s="673">
      <c r="A260" s="350" t="n"/>
      <c r="B260" s="52" t="n"/>
      <c r="C260" s="52" t="n"/>
      <c r="D260" s="52" t="n"/>
      <c r="E260" s="52" t="n"/>
      <c r="F260" s="52" t="n"/>
      <c r="M260" s="52" t="n"/>
      <c r="N260" s="52" t="n"/>
    </row>
    <row r="261" ht="15.75" customHeight="1" s="673">
      <c r="A261" s="350" t="n"/>
      <c r="B261" s="52" t="n"/>
      <c r="C261" s="52" t="n"/>
      <c r="D261" s="52" t="n"/>
      <c r="E261" s="52" t="n"/>
      <c r="F261" s="52" t="n"/>
      <c r="M261" s="52" t="n"/>
      <c r="N261" s="52" t="n"/>
    </row>
    <row r="262" ht="15.75" customHeight="1" s="673">
      <c r="A262" s="350" t="n"/>
      <c r="B262" s="52" t="n"/>
      <c r="C262" s="52" t="n"/>
      <c r="D262" s="52" t="n"/>
      <c r="E262" s="52" t="n"/>
      <c r="F262" s="52" t="n"/>
      <c r="M262" s="52" t="n"/>
      <c r="N262" s="52" t="n"/>
    </row>
    <row r="263" ht="15.75" customHeight="1" s="673">
      <c r="A263" s="350" t="n"/>
      <c r="B263" s="52" t="n"/>
      <c r="C263" s="52" t="n"/>
      <c r="D263" s="52" t="n"/>
      <c r="E263" s="52" t="n"/>
      <c r="F263" s="52" t="n"/>
      <c r="M263" s="52" t="n"/>
      <c r="N263" s="52" t="n"/>
    </row>
    <row r="264" ht="15.75" customHeight="1" s="673">
      <c r="A264" s="350" t="n"/>
      <c r="B264" s="52" t="n"/>
      <c r="C264" s="52" t="n"/>
      <c r="D264" s="52" t="n"/>
      <c r="E264" s="52" t="n"/>
      <c r="F264" s="52" t="n"/>
      <c r="M264" s="52" t="n"/>
      <c r="N264" s="52" t="n"/>
    </row>
    <row r="265" ht="15.75" customHeight="1" s="673">
      <c r="A265" s="350" t="n"/>
      <c r="B265" s="52" t="n"/>
      <c r="C265" s="52" t="n"/>
      <c r="D265" s="52" t="n"/>
      <c r="E265" s="52" t="n"/>
      <c r="F265" s="52" t="n"/>
      <c r="M265" s="52" t="n"/>
      <c r="N265" s="52" t="n"/>
    </row>
    <row r="266" ht="15.75" customHeight="1" s="673">
      <c r="A266" s="350" t="n"/>
      <c r="B266" s="52" t="n"/>
      <c r="C266" s="52" t="n"/>
      <c r="D266" s="52" t="n"/>
      <c r="E266" s="52" t="n"/>
      <c r="F266" s="52" t="n"/>
      <c r="M266" s="52" t="n"/>
      <c r="N266" s="52" t="n"/>
    </row>
    <row r="267" ht="15.75" customHeight="1" s="673">
      <c r="A267" s="350" t="n"/>
      <c r="B267" s="52" t="n"/>
      <c r="C267" s="52" t="n"/>
      <c r="D267" s="52" t="n"/>
      <c r="E267" s="52" t="n"/>
      <c r="F267" s="52" t="n"/>
      <c r="M267" s="52" t="n"/>
      <c r="N267" s="52" t="n"/>
    </row>
    <row r="268" ht="15.75" customHeight="1" s="673">
      <c r="A268" s="350" t="n"/>
      <c r="B268" s="52" t="n"/>
      <c r="C268" s="52" t="n"/>
      <c r="D268" s="52" t="n"/>
      <c r="E268" s="52" t="n"/>
      <c r="F268" s="52" t="n"/>
      <c r="M268" s="52" t="n"/>
      <c r="N268" s="52" t="n"/>
    </row>
    <row r="269" ht="15.75" customHeight="1" s="673">
      <c r="A269" s="350" t="n"/>
      <c r="B269" s="52" t="n"/>
      <c r="C269" s="52" t="n"/>
      <c r="D269" s="52" t="n"/>
      <c r="E269" s="52" t="n"/>
      <c r="F269" s="52" t="n"/>
      <c r="M269" s="52" t="n"/>
      <c r="N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M270" s="52" t="n"/>
      <c r="N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M271" s="52" t="n"/>
      <c r="N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M272" s="52" t="n"/>
      <c r="N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M273" s="52" t="n"/>
      <c r="N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M274" s="52" t="n"/>
      <c r="N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M275" s="52" t="n"/>
      <c r="N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M276" s="52" t="n"/>
      <c r="N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M277" s="52" t="n"/>
      <c r="N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M278" s="52" t="n"/>
      <c r="N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M279" s="52" t="n"/>
      <c r="N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M280" s="52" t="n"/>
      <c r="N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M281" s="52" t="n"/>
      <c r="N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M282" s="52" t="n"/>
      <c r="N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M283" s="52" t="n"/>
      <c r="N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M284" s="52" t="n"/>
      <c r="N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M285" s="52" t="n"/>
      <c r="N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M286" s="52" t="n"/>
      <c r="N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M287" s="52" t="n"/>
      <c r="N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M288" s="52" t="n"/>
      <c r="N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M289" s="52" t="n"/>
      <c r="N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M290" s="52" t="n"/>
      <c r="N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M291" s="52" t="n"/>
      <c r="N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M292" s="52" t="n"/>
      <c r="N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M293" s="52" t="n"/>
      <c r="N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M294" s="52" t="n"/>
      <c r="N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M295" s="52" t="n"/>
      <c r="N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M296" s="52" t="n"/>
      <c r="N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M297" s="52" t="n"/>
      <c r="N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M298" s="52" t="n"/>
      <c r="N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M299" s="52" t="n"/>
      <c r="N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M300" s="52" t="n"/>
      <c r="N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M301" s="52" t="n"/>
      <c r="N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M302" s="52" t="n"/>
      <c r="N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M303" s="52" t="n"/>
      <c r="N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M304" s="52" t="n"/>
      <c r="N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M305" s="52" t="n"/>
      <c r="N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M306" s="52" t="n"/>
      <c r="N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M307" s="52" t="n"/>
      <c r="N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M308" s="52" t="n"/>
      <c r="N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M309" s="52" t="n"/>
      <c r="N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M310" s="52" t="n"/>
      <c r="N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M311" s="52" t="n"/>
      <c r="N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M312" s="52" t="n"/>
      <c r="N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M313" s="52" t="n"/>
      <c r="N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M314" s="52" t="n"/>
      <c r="N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M315" s="52" t="n"/>
      <c r="N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M316" s="52" t="n"/>
      <c r="N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M317" s="52" t="n"/>
      <c r="N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M318" s="52" t="n"/>
      <c r="N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M319" s="52" t="n"/>
      <c r="N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M320" s="52" t="n"/>
      <c r="N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M321" s="52" t="n"/>
      <c r="N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M322" s="52" t="n"/>
      <c r="N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M323" s="52" t="n"/>
      <c r="N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M324" s="52" t="n"/>
      <c r="N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M325" s="52" t="n"/>
      <c r="N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M326" s="52" t="n"/>
      <c r="N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M327" s="52" t="n"/>
      <c r="N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M328" s="52" t="n"/>
      <c r="N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M329" s="52" t="n"/>
      <c r="N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M330" s="52" t="n"/>
      <c r="N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M331" s="52" t="n"/>
      <c r="N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M332" s="52" t="n"/>
      <c r="N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M333" s="52" t="n"/>
      <c r="N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M334" s="52" t="n"/>
      <c r="N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M335" s="52" t="n"/>
      <c r="N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M336" s="52" t="n"/>
      <c r="N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M337" s="52" t="n"/>
      <c r="N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M338" s="52" t="n"/>
      <c r="N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M339" s="52" t="n"/>
      <c r="N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M340" s="52" t="n"/>
      <c r="N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M341" s="52" t="n"/>
      <c r="N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M342" s="52" t="n"/>
      <c r="N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M343" s="52" t="n"/>
      <c r="N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M344" s="52" t="n"/>
      <c r="N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M345" s="52" t="n"/>
      <c r="N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M346" s="52" t="n"/>
      <c r="N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M347" s="52" t="n"/>
      <c r="N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M348" s="52" t="n"/>
      <c r="N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M349" s="52" t="n"/>
      <c r="N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M350" s="52" t="n"/>
      <c r="N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M351" s="52" t="n"/>
      <c r="N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M352" s="52" t="n"/>
      <c r="N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M353" s="52" t="n"/>
      <c r="N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M354" s="52" t="n"/>
      <c r="N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M355" s="52" t="n"/>
      <c r="N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M356" s="52" t="n"/>
      <c r="N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M357" s="52" t="n"/>
      <c r="N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M358" s="52" t="n"/>
      <c r="N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M359" s="52" t="n"/>
      <c r="N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M360" s="52" t="n"/>
      <c r="N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M361" s="52" t="n"/>
      <c r="N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M362" s="52" t="n"/>
      <c r="N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M363" s="52" t="n"/>
      <c r="N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M364" s="52" t="n"/>
      <c r="N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M365" s="52" t="n"/>
      <c r="N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M366" s="52" t="n"/>
      <c r="N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M367" s="52" t="n"/>
      <c r="N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M368" s="52" t="n"/>
      <c r="N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M369" s="52" t="n"/>
      <c r="N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M370" s="52" t="n"/>
      <c r="N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M371" s="52" t="n"/>
      <c r="N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M372" s="52" t="n"/>
      <c r="N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M373" s="52" t="n"/>
      <c r="N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M374" s="52" t="n"/>
      <c r="N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M375" s="52" t="n"/>
      <c r="N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M376" s="52" t="n"/>
      <c r="N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M377" s="52" t="n"/>
      <c r="N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M378" s="52" t="n"/>
      <c r="N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M379" s="52" t="n"/>
      <c r="N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M380" s="52" t="n"/>
      <c r="N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M381" s="52" t="n"/>
      <c r="N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M382" s="52" t="n"/>
      <c r="N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M383" s="52" t="n"/>
      <c r="N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M384" s="52" t="n"/>
      <c r="N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M385" s="52" t="n"/>
      <c r="N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M386" s="52" t="n"/>
      <c r="N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M387" s="52" t="n"/>
      <c r="N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M388" s="52" t="n"/>
      <c r="N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M389" s="52" t="n"/>
      <c r="N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M390" s="52" t="n"/>
      <c r="N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M391" s="52" t="n"/>
      <c r="N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M392" s="52" t="n"/>
      <c r="N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M393" s="52" t="n"/>
      <c r="N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M394" s="52" t="n"/>
      <c r="N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M395" s="52" t="n"/>
      <c r="N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M396" s="52" t="n"/>
      <c r="N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M397" s="52" t="n"/>
      <c r="N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M398" s="52" t="n"/>
      <c r="N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M399" s="52" t="n"/>
      <c r="N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M400" s="52" t="n"/>
      <c r="N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M401" s="52" t="n"/>
      <c r="N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M402" s="52" t="n"/>
      <c r="N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M403" s="52" t="n"/>
      <c r="N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M404" s="52" t="n"/>
      <c r="N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M405" s="52" t="n"/>
      <c r="N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M406" s="52" t="n"/>
      <c r="N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M407" s="52" t="n"/>
      <c r="N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M408" s="52" t="n"/>
      <c r="N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M409" s="52" t="n"/>
      <c r="N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M410" s="52" t="n"/>
      <c r="N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M411" s="52" t="n"/>
      <c r="N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M412" s="52" t="n"/>
      <c r="N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M413" s="52" t="n"/>
      <c r="N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M414" s="52" t="n"/>
      <c r="N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M415" s="52" t="n"/>
      <c r="N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M416" s="52" t="n"/>
      <c r="N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M417" s="52" t="n"/>
      <c r="N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M418" s="52" t="n"/>
      <c r="N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M419" s="52" t="n"/>
      <c r="N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M420" s="52" t="n"/>
      <c r="N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M421" s="52" t="n"/>
      <c r="N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M422" s="52" t="n"/>
      <c r="N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M423" s="52" t="n"/>
      <c r="N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M424" s="52" t="n"/>
      <c r="N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M425" s="52" t="n"/>
      <c r="N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M426" s="52" t="n"/>
      <c r="N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M427" s="52" t="n"/>
      <c r="N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M428" s="52" t="n"/>
      <c r="N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M429" s="52" t="n"/>
      <c r="N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M430" s="52" t="n"/>
      <c r="N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M431" s="52" t="n"/>
      <c r="N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M432" s="52" t="n"/>
      <c r="N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M433" s="52" t="n"/>
      <c r="N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M434" s="52" t="n"/>
      <c r="N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M435" s="52" t="n"/>
      <c r="N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M436" s="52" t="n"/>
      <c r="N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M437" s="52" t="n"/>
      <c r="N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M438" s="52" t="n"/>
      <c r="N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M439" s="52" t="n"/>
      <c r="N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M440" s="52" t="n"/>
      <c r="N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M441" s="52" t="n"/>
      <c r="N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M442" s="52" t="n"/>
      <c r="N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M443" s="52" t="n"/>
      <c r="N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M444" s="52" t="n"/>
      <c r="N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M445" s="52" t="n"/>
      <c r="N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M446" s="52" t="n"/>
      <c r="N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M447" s="52" t="n"/>
      <c r="N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M448" s="52" t="n"/>
      <c r="N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M449" s="52" t="n"/>
      <c r="N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M450" s="52" t="n"/>
      <c r="N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M451" s="52" t="n"/>
      <c r="N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M452" s="52" t="n"/>
      <c r="N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M453" s="52" t="n"/>
      <c r="N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M454" s="52" t="n"/>
      <c r="N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M455" s="52" t="n"/>
      <c r="N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M456" s="52" t="n"/>
      <c r="N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M457" s="52" t="n"/>
      <c r="N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M458" s="52" t="n"/>
      <c r="N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M459" s="52" t="n"/>
      <c r="N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M460" s="52" t="n"/>
      <c r="N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M461" s="52" t="n"/>
      <c r="N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M462" s="52" t="n"/>
      <c r="N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M463" s="52" t="n"/>
      <c r="N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M464" s="52" t="n"/>
      <c r="N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M465" s="52" t="n"/>
      <c r="N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M466" s="52" t="n"/>
      <c r="N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M467" s="52" t="n"/>
      <c r="N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M468" s="52" t="n"/>
      <c r="N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M469" s="52" t="n"/>
      <c r="N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M470" s="52" t="n"/>
      <c r="N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M471" s="52" t="n"/>
      <c r="N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M472" s="52" t="n"/>
      <c r="N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M473" s="52" t="n"/>
      <c r="N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M474" s="52" t="n"/>
      <c r="N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M475" s="52" t="n"/>
      <c r="N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M476" s="52" t="n"/>
      <c r="N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M477" s="52" t="n"/>
      <c r="N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M478" s="52" t="n"/>
      <c r="N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M479" s="52" t="n"/>
      <c r="N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M480" s="52" t="n"/>
      <c r="N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M481" s="52" t="n"/>
      <c r="N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M482" s="52" t="n"/>
      <c r="N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M483" s="52" t="n"/>
      <c r="N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M484" s="52" t="n"/>
      <c r="N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M485" s="52" t="n"/>
      <c r="N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M486" s="52" t="n"/>
      <c r="N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M487" s="52" t="n"/>
      <c r="N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M488" s="52" t="n"/>
      <c r="N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M489" s="52" t="n"/>
      <c r="N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M490" s="52" t="n"/>
      <c r="N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M491" s="52" t="n"/>
      <c r="N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M492" s="52" t="n"/>
      <c r="N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M493" s="52" t="n"/>
      <c r="N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M494" s="52" t="n"/>
      <c r="N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M495" s="52" t="n"/>
      <c r="N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M496" s="52" t="n"/>
      <c r="N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M497" s="52" t="n"/>
      <c r="N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M498" s="52" t="n"/>
      <c r="N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M499" s="52" t="n"/>
      <c r="N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M500" s="52" t="n"/>
      <c r="N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M501" s="52" t="n"/>
      <c r="N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M502" s="52" t="n"/>
      <c r="N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M503" s="52" t="n"/>
      <c r="N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M504" s="52" t="n"/>
      <c r="N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M505" s="52" t="n"/>
      <c r="N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M506" s="52" t="n"/>
      <c r="N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M507" s="52" t="n"/>
      <c r="N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M508" s="52" t="n"/>
      <c r="N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M509" s="52" t="n"/>
      <c r="N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M510" s="52" t="n"/>
      <c r="N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M511" s="52" t="n"/>
      <c r="N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M512" s="52" t="n"/>
      <c r="N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M513" s="52" t="n"/>
      <c r="N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M514" s="52" t="n"/>
      <c r="N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M515" s="52" t="n"/>
      <c r="N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M516" s="52" t="n"/>
      <c r="N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M517" s="52" t="n"/>
      <c r="N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M518" s="52" t="n"/>
      <c r="N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M519" s="52" t="n"/>
      <c r="N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M520" s="52" t="n"/>
      <c r="N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M521" s="52" t="n"/>
      <c r="N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M522" s="52" t="n"/>
      <c r="N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M523" s="52" t="n"/>
      <c r="N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M524" s="52" t="n"/>
      <c r="N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M525" s="52" t="n"/>
      <c r="N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M526" s="52" t="n"/>
      <c r="N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M527" s="52" t="n"/>
      <c r="N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M528" s="52" t="n"/>
      <c r="N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M529" s="52" t="n"/>
      <c r="N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M530" s="52" t="n"/>
      <c r="N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M531" s="52" t="n"/>
      <c r="N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M532" s="52" t="n"/>
      <c r="N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M533" s="52" t="n"/>
      <c r="N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M534" s="52" t="n"/>
      <c r="N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M535" s="52" t="n"/>
      <c r="N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M536" s="52" t="n"/>
      <c r="N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M537" s="52" t="n"/>
      <c r="N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M538" s="52" t="n"/>
      <c r="N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M539" s="52" t="n"/>
      <c r="N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M540" s="52" t="n"/>
      <c r="N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M541" s="52" t="n"/>
      <c r="N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M542" s="52" t="n"/>
      <c r="N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M543" s="52" t="n"/>
      <c r="N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M544" s="52" t="n"/>
      <c r="N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M545" s="52" t="n"/>
      <c r="N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M546" s="52" t="n"/>
      <c r="N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M547" s="52" t="n"/>
      <c r="N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M548" s="52" t="n"/>
      <c r="N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M549" s="52" t="n"/>
      <c r="N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M550" s="52" t="n"/>
      <c r="N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M551" s="52" t="n"/>
      <c r="N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M552" s="52" t="n"/>
      <c r="N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M553" s="52" t="n"/>
      <c r="N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M554" s="52" t="n"/>
      <c r="N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M555" s="52" t="n"/>
      <c r="N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M556" s="52" t="n"/>
      <c r="N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M557" s="52" t="n"/>
      <c r="N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M558" s="52" t="n"/>
      <c r="N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M559" s="52" t="n"/>
      <c r="N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M560" s="52" t="n"/>
      <c r="N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M561" s="52" t="n"/>
      <c r="N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M562" s="52" t="n"/>
      <c r="N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M563" s="52" t="n"/>
      <c r="N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M564" s="52" t="n"/>
      <c r="N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M565" s="52" t="n"/>
      <c r="N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M566" s="52" t="n"/>
      <c r="N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M567" s="52" t="n"/>
      <c r="N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M568" s="52" t="n"/>
      <c r="N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M569" s="52" t="n"/>
      <c r="N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M570" s="52" t="n"/>
      <c r="N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M571" s="52" t="n"/>
      <c r="N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M572" s="52" t="n"/>
      <c r="N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M573" s="52" t="n"/>
      <c r="N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M574" s="52" t="n"/>
      <c r="N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M575" s="52" t="n"/>
      <c r="N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M576" s="52" t="n"/>
      <c r="N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M577" s="52" t="n"/>
      <c r="N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M578" s="52" t="n"/>
      <c r="N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M579" s="52" t="n"/>
      <c r="N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M580" s="52" t="n"/>
      <c r="N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M581" s="52" t="n"/>
      <c r="N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M582" s="52" t="n"/>
      <c r="N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M583" s="52" t="n"/>
      <c r="N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M584" s="52" t="n"/>
      <c r="N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M585" s="52" t="n"/>
      <c r="N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M586" s="52" t="n"/>
      <c r="N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M587" s="52" t="n"/>
      <c r="N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M588" s="52" t="n"/>
      <c r="N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M589" s="52" t="n"/>
      <c r="N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M590" s="52" t="n"/>
      <c r="N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M591" s="52" t="n"/>
      <c r="N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M592" s="52" t="n"/>
      <c r="N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M593" s="52" t="n"/>
      <c r="N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M594" s="52" t="n"/>
      <c r="N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M595" s="52" t="n"/>
      <c r="N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M596" s="52" t="n"/>
      <c r="N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M597" s="52" t="n"/>
      <c r="N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M598" s="52" t="n"/>
      <c r="N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M599" s="52" t="n"/>
      <c r="N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M600" s="52" t="n"/>
      <c r="N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M601" s="52" t="n"/>
      <c r="N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M602" s="52" t="n"/>
      <c r="N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M603" s="52" t="n"/>
      <c r="N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M604" s="52" t="n"/>
      <c r="N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M605" s="52" t="n"/>
      <c r="N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M606" s="52" t="n"/>
      <c r="N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M607" s="52" t="n"/>
      <c r="N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M608" s="52" t="n"/>
      <c r="N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M609" s="52" t="n"/>
      <c r="N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M610" s="52" t="n"/>
      <c r="N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M611" s="52" t="n"/>
      <c r="N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M612" s="52" t="n"/>
      <c r="N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M613" s="52" t="n"/>
      <c r="N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M614" s="52" t="n"/>
      <c r="N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M615" s="52" t="n"/>
      <c r="N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M616" s="52" t="n"/>
      <c r="N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M617" s="52" t="n"/>
      <c r="N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M618" s="52" t="n"/>
      <c r="N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M619" s="52" t="n"/>
      <c r="N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M620" s="52" t="n"/>
      <c r="N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M621" s="52" t="n"/>
      <c r="N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M622" s="52" t="n"/>
      <c r="N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M623" s="52" t="n"/>
      <c r="N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M624" s="52" t="n"/>
      <c r="N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M625" s="52" t="n"/>
      <c r="N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M626" s="52" t="n"/>
      <c r="N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M627" s="52" t="n"/>
      <c r="N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M628" s="52" t="n"/>
      <c r="N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M629" s="52" t="n"/>
      <c r="N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M630" s="52" t="n"/>
      <c r="N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M631" s="52" t="n"/>
      <c r="N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M632" s="52" t="n"/>
      <c r="N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M633" s="52" t="n"/>
      <c r="N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M634" s="52" t="n"/>
      <c r="N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M635" s="52" t="n"/>
      <c r="N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M636" s="52" t="n"/>
      <c r="N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M637" s="52" t="n"/>
      <c r="N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M638" s="52" t="n"/>
      <c r="N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M639" s="52" t="n"/>
      <c r="N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M640" s="52" t="n"/>
      <c r="N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M641" s="52" t="n"/>
      <c r="N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M642" s="52" t="n"/>
      <c r="N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M643" s="52" t="n"/>
      <c r="N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M644" s="52" t="n"/>
      <c r="N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M645" s="52" t="n"/>
      <c r="N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M646" s="52" t="n"/>
      <c r="N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M647" s="52" t="n"/>
      <c r="N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M648" s="52" t="n"/>
      <c r="N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M649" s="52" t="n"/>
      <c r="N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M650" s="52" t="n"/>
      <c r="N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M651" s="52" t="n"/>
      <c r="N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M652" s="52" t="n"/>
      <c r="N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M653" s="52" t="n"/>
      <c r="N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M654" s="52" t="n"/>
      <c r="N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M655" s="52" t="n"/>
      <c r="N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M656" s="52" t="n"/>
      <c r="N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M657" s="52" t="n"/>
      <c r="N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M658" s="52" t="n"/>
      <c r="N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M659" s="52" t="n"/>
      <c r="N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M660" s="52" t="n"/>
      <c r="N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M661" s="52" t="n"/>
      <c r="N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M662" s="52" t="n"/>
      <c r="N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M663" s="52" t="n"/>
      <c r="N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M664" s="52" t="n"/>
      <c r="N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M665" s="52" t="n"/>
      <c r="N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M666" s="52" t="n"/>
      <c r="N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M667" s="52" t="n"/>
      <c r="N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M668" s="52" t="n"/>
      <c r="N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M669" s="52" t="n"/>
      <c r="N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M670" s="52" t="n"/>
      <c r="N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M671" s="52" t="n"/>
      <c r="N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M672" s="52" t="n"/>
      <c r="N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M673" s="52" t="n"/>
      <c r="N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M674" s="52" t="n"/>
      <c r="N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M675" s="52" t="n"/>
      <c r="N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M676" s="52" t="n"/>
      <c r="N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M677" s="52" t="n"/>
      <c r="N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M678" s="52" t="n"/>
      <c r="N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M679" s="52" t="n"/>
      <c r="N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M680" s="52" t="n"/>
      <c r="N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M681" s="52" t="n"/>
      <c r="N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M682" s="52" t="n"/>
      <c r="N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M683" s="52" t="n"/>
      <c r="N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M684" s="52" t="n"/>
      <c r="N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M685" s="52" t="n"/>
      <c r="N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M686" s="52" t="n"/>
      <c r="N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M687" s="52" t="n"/>
      <c r="N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M688" s="52" t="n"/>
      <c r="N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M689" s="52" t="n"/>
      <c r="N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M690" s="52" t="n"/>
      <c r="N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M691" s="52" t="n"/>
      <c r="N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M692" s="52" t="n"/>
      <c r="N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M693" s="52" t="n"/>
      <c r="N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M694" s="52" t="n"/>
      <c r="N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M695" s="52" t="n"/>
      <c r="N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M696" s="52" t="n"/>
      <c r="N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M697" s="52" t="n"/>
      <c r="N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M698" s="52" t="n"/>
      <c r="N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M699" s="52" t="n"/>
      <c r="N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M700" s="52" t="n"/>
      <c r="N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M701" s="52" t="n"/>
      <c r="N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M702" s="52" t="n"/>
      <c r="N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M703" s="52" t="n"/>
      <c r="N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M704" s="52" t="n"/>
      <c r="N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M705" s="52" t="n"/>
      <c r="N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M706" s="52" t="n"/>
      <c r="N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M707" s="52" t="n"/>
      <c r="N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M708" s="52" t="n"/>
      <c r="N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M709" s="52" t="n"/>
      <c r="N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M710" s="52" t="n"/>
      <c r="N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M711" s="52" t="n"/>
      <c r="N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M712" s="52" t="n"/>
      <c r="N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M713" s="52" t="n"/>
      <c r="N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M714" s="52" t="n"/>
      <c r="N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M715" s="52" t="n"/>
      <c r="N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M716" s="52" t="n"/>
      <c r="N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M717" s="52" t="n"/>
      <c r="N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M718" s="52" t="n"/>
      <c r="N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M719" s="52" t="n"/>
      <c r="N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M720" s="52" t="n"/>
      <c r="N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M721" s="52" t="n"/>
      <c r="N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M722" s="52" t="n"/>
      <c r="N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M723" s="52" t="n"/>
      <c r="N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M724" s="52" t="n"/>
      <c r="N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M725" s="52" t="n"/>
      <c r="N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M726" s="52" t="n"/>
      <c r="N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M727" s="52" t="n"/>
      <c r="N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M728" s="52" t="n"/>
      <c r="N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M729" s="52" t="n"/>
      <c r="N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M730" s="52" t="n"/>
      <c r="N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M731" s="52" t="n"/>
      <c r="N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M732" s="52" t="n"/>
      <c r="N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M733" s="52" t="n"/>
      <c r="N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M734" s="52" t="n"/>
      <c r="N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M735" s="52" t="n"/>
      <c r="N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M736" s="52" t="n"/>
      <c r="N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M737" s="52" t="n"/>
      <c r="N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M738" s="52" t="n"/>
      <c r="N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M739" s="52" t="n"/>
      <c r="N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M740" s="52" t="n"/>
      <c r="N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M741" s="52" t="n"/>
      <c r="N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M742" s="52" t="n"/>
      <c r="N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M743" s="52" t="n"/>
      <c r="N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M744" s="52" t="n"/>
      <c r="N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M745" s="52" t="n"/>
      <c r="N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M746" s="52" t="n"/>
      <c r="N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M747" s="52" t="n"/>
      <c r="N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M748" s="52" t="n"/>
      <c r="N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M749" s="52" t="n"/>
      <c r="N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M750" s="52" t="n"/>
      <c r="N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M751" s="52" t="n"/>
      <c r="N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M752" s="52" t="n"/>
      <c r="N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M753" s="52" t="n"/>
      <c r="N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M754" s="52" t="n"/>
      <c r="N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M755" s="52" t="n"/>
      <c r="N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M756" s="52" t="n"/>
      <c r="N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M757" s="52" t="n"/>
      <c r="N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M758" s="52" t="n"/>
      <c r="N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M759" s="52" t="n"/>
      <c r="N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M760" s="52" t="n"/>
      <c r="N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M761" s="52" t="n"/>
      <c r="N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M762" s="52" t="n"/>
      <c r="N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M763" s="52" t="n"/>
      <c r="N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M764" s="52" t="n"/>
      <c r="N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M765" s="52" t="n"/>
      <c r="N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M766" s="52" t="n"/>
      <c r="N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M767" s="52" t="n"/>
      <c r="N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M768" s="52" t="n"/>
      <c r="N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M769" s="52" t="n"/>
      <c r="N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M770" s="52" t="n"/>
      <c r="N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M771" s="52" t="n"/>
      <c r="N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M772" s="52" t="n"/>
      <c r="N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M773" s="52" t="n"/>
      <c r="N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M774" s="52" t="n"/>
      <c r="N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M775" s="52" t="n"/>
      <c r="N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M776" s="52" t="n"/>
      <c r="N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M777" s="52" t="n"/>
      <c r="N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M778" s="52" t="n"/>
      <c r="N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M779" s="52" t="n"/>
      <c r="N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M780" s="52" t="n"/>
      <c r="N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M781" s="52" t="n"/>
      <c r="N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M782" s="52" t="n"/>
      <c r="N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M783" s="52" t="n"/>
      <c r="N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M784" s="52" t="n"/>
      <c r="N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M785" s="52" t="n"/>
      <c r="N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M786" s="52" t="n"/>
      <c r="N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M787" s="52" t="n"/>
      <c r="N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M788" s="52" t="n"/>
      <c r="N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M789" s="52" t="n"/>
      <c r="N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M790" s="52" t="n"/>
      <c r="N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M791" s="52" t="n"/>
      <c r="N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M792" s="52" t="n"/>
      <c r="N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M793" s="52" t="n"/>
      <c r="N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M794" s="52" t="n"/>
      <c r="N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M795" s="52" t="n"/>
      <c r="N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M796" s="52" t="n"/>
      <c r="N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M797" s="52" t="n"/>
      <c r="N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M798" s="52" t="n"/>
      <c r="N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M799" s="52" t="n"/>
      <c r="N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M800" s="52" t="n"/>
      <c r="N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M801" s="52" t="n"/>
      <c r="N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M802" s="52" t="n"/>
      <c r="N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M803" s="52" t="n"/>
      <c r="N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M804" s="52" t="n"/>
      <c r="N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M805" s="52" t="n"/>
      <c r="N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M806" s="52" t="n"/>
      <c r="N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M807" s="52" t="n"/>
      <c r="N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M808" s="52" t="n"/>
      <c r="N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M809" s="52" t="n"/>
      <c r="N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M810" s="52" t="n"/>
      <c r="N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M811" s="52" t="n"/>
      <c r="N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M812" s="52" t="n"/>
      <c r="N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M813" s="52" t="n"/>
      <c r="N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M814" s="52" t="n"/>
      <c r="N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M815" s="52" t="n"/>
      <c r="N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M816" s="52" t="n"/>
      <c r="N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M817" s="52" t="n"/>
      <c r="N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M818" s="52" t="n"/>
      <c r="N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M819" s="52" t="n"/>
      <c r="N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M820" s="52" t="n"/>
      <c r="N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M821" s="52" t="n"/>
      <c r="N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M822" s="52" t="n"/>
      <c r="N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M823" s="52" t="n"/>
      <c r="N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M824" s="52" t="n"/>
      <c r="N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M825" s="52" t="n"/>
      <c r="N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M826" s="52" t="n"/>
      <c r="N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M827" s="52" t="n"/>
      <c r="N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M828" s="52" t="n"/>
      <c r="N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M829" s="52" t="n"/>
      <c r="N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M830" s="52" t="n"/>
      <c r="N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M831" s="52" t="n"/>
      <c r="N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M832" s="52" t="n"/>
      <c r="N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M833" s="52" t="n"/>
      <c r="N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M834" s="52" t="n"/>
      <c r="N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M835" s="52" t="n"/>
      <c r="N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M836" s="52" t="n"/>
      <c r="N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M837" s="52" t="n"/>
      <c r="N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M838" s="52" t="n"/>
      <c r="N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M839" s="52" t="n"/>
      <c r="N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M840" s="52" t="n"/>
      <c r="N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M841" s="52" t="n"/>
      <c r="N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M842" s="52" t="n"/>
      <c r="N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M843" s="52" t="n"/>
      <c r="N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M844" s="52" t="n"/>
      <c r="N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M845" s="52" t="n"/>
      <c r="N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M846" s="52" t="n"/>
      <c r="N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M847" s="52" t="n"/>
      <c r="N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M848" s="52" t="n"/>
      <c r="N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M849" s="52" t="n"/>
      <c r="N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M850" s="52" t="n"/>
      <c r="N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M851" s="52" t="n"/>
      <c r="N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M852" s="52" t="n"/>
      <c r="N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M853" s="52" t="n"/>
      <c r="N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M854" s="52" t="n"/>
      <c r="N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M855" s="52" t="n"/>
      <c r="N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M856" s="52" t="n"/>
      <c r="N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M857" s="52" t="n"/>
      <c r="N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M858" s="52" t="n"/>
      <c r="N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M859" s="52" t="n"/>
      <c r="N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M860" s="52" t="n"/>
      <c r="N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M861" s="52" t="n"/>
      <c r="N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M862" s="52" t="n"/>
      <c r="N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M863" s="52" t="n"/>
      <c r="N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M864" s="52" t="n"/>
      <c r="N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M865" s="52" t="n"/>
      <c r="N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M866" s="52" t="n"/>
      <c r="N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M867" s="52" t="n"/>
      <c r="N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M868" s="52" t="n"/>
      <c r="N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M869" s="52" t="n"/>
      <c r="N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M870" s="52" t="n"/>
      <c r="N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M871" s="52" t="n"/>
      <c r="N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M872" s="52" t="n"/>
      <c r="N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M873" s="52" t="n"/>
      <c r="N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M874" s="52" t="n"/>
      <c r="N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M875" s="52" t="n"/>
      <c r="N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M876" s="52" t="n"/>
      <c r="N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M877" s="52" t="n"/>
      <c r="N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M878" s="52" t="n"/>
      <c r="N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M879" s="52" t="n"/>
      <c r="N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M880" s="52" t="n"/>
      <c r="N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M881" s="52" t="n"/>
      <c r="N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M882" s="52" t="n"/>
      <c r="N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M883" s="52" t="n"/>
      <c r="N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M884" s="52" t="n"/>
      <c r="N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M885" s="52" t="n"/>
      <c r="N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M886" s="52" t="n"/>
      <c r="N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M887" s="52" t="n"/>
      <c r="N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M888" s="52" t="n"/>
      <c r="N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M889" s="52" t="n"/>
      <c r="N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M890" s="52" t="n"/>
      <c r="N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M891" s="52" t="n"/>
      <c r="N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M892" s="52" t="n"/>
      <c r="N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M893" s="52" t="n"/>
      <c r="N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M894" s="52" t="n"/>
      <c r="N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M895" s="52" t="n"/>
      <c r="N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M896" s="52" t="n"/>
      <c r="N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M897" s="52" t="n"/>
      <c r="N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M898" s="52" t="n"/>
      <c r="N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M899" s="52" t="n"/>
      <c r="N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M900" s="52" t="n"/>
      <c r="N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M901" s="52" t="n"/>
      <c r="N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M902" s="52" t="n"/>
      <c r="N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M903" s="52" t="n"/>
      <c r="N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M904" s="52" t="n"/>
      <c r="N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M905" s="52" t="n"/>
      <c r="N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M906" s="52" t="n"/>
      <c r="N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M907" s="52" t="n"/>
      <c r="N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M908" s="52" t="n"/>
      <c r="N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M909" s="52" t="n"/>
      <c r="N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M910" s="52" t="n"/>
      <c r="N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M911" s="52" t="n"/>
      <c r="N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M912" s="52" t="n"/>
      <c r="N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M913" s="52" t="n"/>
      <c r="N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M914" s="52" t="n"/>
      <c r="N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M915" s="52" t="n"/>
      <c r="N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M916" s="52" t="n"/>
      <c r="N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M917" s="52" t="n"/>
      <c r="N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M918" s="52" t="n"/>
      <c r="N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M919" s="52" t="n"/>
      <c r="N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M920" s="52" t="n"/>
      <c r="N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M921" s="52" t="n"/>
      <c r="N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M922" s="52" t="n"/>
      <c r="N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M923" s="52" t="n"/>
      <c r="N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M924" s="52" t="n"/>
      <c r="N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M925" s="52" t="n"/>
      <c r="N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M926" s="52" t="n"/>
      <c r="N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M927" s="52" t="n"/>
      <c r="N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M928" s="52" t="n"/>
      <c r="N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M929" s="52" t="n"/>
      <c r="N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M930" s="52" t="n"/>
      <c r="N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M931" s="52" t="n"/>
      <c r="N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M932" s="52" t="n"/>
      <c r="N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M933" s="52" t="n"/>
      <c r="N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M934" s="52" t="n"/>
      <c r="N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M935" s="52" t="n"/>
      <c r="N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M936" s="52" t="n"/>
      <c r="N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M937" s="52" t="n"/>
      <c r="N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M938" s="52" t="n"/>
      <c r="N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M939" s="52" t="n"/>
      <c r="N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M940" s="52" t="n"/>
      <c r="N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M941" s="52" t="n"/>
      <c r="N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M942" s="52" t="n"/>
      <c r="N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M943" s="52" t="n"/>
      <c r="N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M944" s="52" t="n"/>
      <c r="N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M945" s="52" t="n"/>
      <c r="N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M946" s="52" t="n"/>
      <c r="N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M947" s="52" t="n"/>
      <c r="N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M948" s="52" t="n"/>
      <c r="N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M949" s="52" t="n"/>
      <c r="N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M950" s="52" t="n"/>
      <c r="N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M951" s="52" t="n"/>
      <c r="N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M952" s="52" t="n"/>
      <c r="N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M953" s="52" t="n"/>
      <c r="N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M954" s="52" t="n"/>
      <c r="N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M955" s="52" t="n"/>
      <c r="N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M956" s="52" t="n"/>
      <c r="N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M957" s="52" t="n"/>
      <c r="N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M958" s="52" t="n"/>
      <c r="N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M959" s="52" t="n"/>
      <c r="N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M960" s="52" t="n"/>
      <c r="N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M961" s="52" t="n"/>
      <c r="N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M962" s="52" t="n"/>
      <c r="N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M963" s="52" t="n"/>
      <c r="N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M964" s="52" t="n"/>
      <c r="N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M965" s="52" t="n"/>
      <c r="N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M966" s="52" t="n"/>
      <c r="N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M967" s="52" t="n"/>
      <c r="N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M968" s="52" t="n"/>
      <c r="N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M969" s="52" t="n"/>
      <c r="N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M970" s="52" t="n"/>
      <c r="N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M971" s="52" t="n"/>
      <c r="N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M972" s="52" t="n"/>
      <c r="N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M973" s="52" t="n"/>
      <c r="N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M974" s="52" t="n"/>
      <c r="N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M975" s="52" t="n"/>
      <c r="N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M976" s="52" t="n"/>
      <c r="N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M977" s="52" t="n"/>
      <c r="N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M978" s="52" t="n"/>
      <c r="N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M979" s="52" t="n"/>
      <c r="N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M980" s="52" t="n"/>
      <c r="N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M981" s="52" t="n"/>
      <c r="N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M982" s="52" t="n"/>
      <c r="N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M983" s="52" t="n"/>
      <c r="N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M984" s="52" t="n"/>
      <c r="N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M985" s="52" t="n"/>
      <c r="N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M986" s="52" t="n"/>
      <c r="N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M987" s="52" t="n"/>
      <c r="N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M988" s="52" t="n"/>
      <c r="N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M989" s="52" t="n"/>
      <c r="N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M990" s="52" t="n"/>
      <c r="N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M991" s="52" t="n"/>
      <c r="N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M992" s="52" t="n"/>
      <c r="N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M993" s="52" t="n"/>
      <c r="N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M994" s="52" t="n"/>
      <c r="N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M995" s="52" t="n"/>
      <c r="N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M996" s="52" t="n"/>
      <c r="N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M997" s="52" t="n"/>
      <c r="N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M998" s="52" t="n"/>
      <c r="N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M999" s="52" t="n"/>
      <c r="N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M1000" s="52" t="n"/>
      <c r="N1000" s="52" t="n"/>
    </row>
  </sheetData>
  <mergeCells count="14">
    <mergeCell ref="C33:E33"/>
    <mergeCell ref="C6:D6"/>
    <mergeCell ref="C10:D10"/>
    <mergeCell ref="C7:D7"/>
    <mergeCell ref="A48:N48"/>
    <mergeCell ref="C11:D11"/>
    <mergeCell ref="A54:N54"/>
    <mergeCell ref="C5:D5"/>
    <mergeCell ref="C4:E4"/>
    <mergeCell ref="A60:N60"/>
    <mergeCell ref="C9:D9"/>
    <mergeCell ref="A36:N36"/>
    <mergeCell ref="A66:N66"/>
    <mergeCell ref="C8:D8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2.xml><?xml version="1.0" encoding="utf-8"?>
<worksheet xmlns="http://schemas.openxmlformats.org/spreadsheetml/2006/main">
  <sheetPr>
    <tabColor rgb="FFC7E7EF"/>
    <outlinePr summaryBelow="1" summaryRight="1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88" customWidth="1" style="673" min="1" max="1"/>
    <col width="67.13" customWidth="1" style="673" min="2" max="2"/>
    <col width="19.38" customWidth="1" style="673" min="3" max="3"/>
    <col width="16.75" customWidth="1" style="673" min="4" max="4"/>
    <col width="7" customWidth="1" style="673" min="5" max="5"/>
    <col width="4.38" customWidth="1" style="673" min="6" max="6"/>
    <col width="8.880000000000001" customWidth="1" style="673" min="7" max="8"/>
    <col width="7.25" customWidth="1" style="673" min="9" max="9"/>
    <col width="13.63" customWidth="1" style="673" min="10" max="10"/>
    <col width="12.75" customWidth="1" style="673" min="11" max="11"/>
    <col width="6.38" customWidth="1" style="673" min="12" max="12"/>
    <col width="8.630000000000001" customWidth="1" style="673" min="13" max="26"/>
  </cols>
  <sheetData>
    <row r="1" hidden="1" s="673">
      <c r="A1" s="131" t="n"/>
      <c r="B1" s="52" t="n"/>
      <c r="C1" s="131" t="n"/>
      <c r="D1" s="131" t="n"/>
      <c r="E1" s="69" t="n"/>
      <c r="F1" s="69" t="n"/>
      <c r="G1" s="69" t="n"/>
      <c r="H1" s="69" t="n"/>
      <c r="I1" s="52" t="n"/>
      <c r="J1" s="69" t="n"/>
      <c r="K1" s="131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</row>
    <row r="2" hidden="1" s="673">
      <c r="A2" s="52" t="n"/>
      <c r="B2" s="131" t="n"/>
      <c r="C2" s="131" t="n"/>
      <c r="D2" s="131" t="n"/>
      <c r="E2" s="69" t="n"/>
      <c r="F2" s="69" t="n"/>
      <c r="G2" s="69" t="n"/>
      <c r="H2" s="69" t="n"/>
      <c r="I2" s="69" t="n"/>
      <c r="J2" s="131" t="n"/>
      <c r="K2" s="131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  <c r="Z2" s="69" t="n"/>
    </row>
    <row r="3" hidden="1" s="673">
      <c r="A3" s="52" t="n"/>
      <c r="B3" s="131" t="n"/>
      <c r="C3" s="131" t="n"/>
      <c r="D3" s="131" t="n"/>
      <c r="E3" s="69" t="n"/>
      <c r="F3" s="69" t="n"/>
      <c r="G3" s="69" t="n"/>
      <c r="H3" s="69" t="n"/>
      <c r="I3" s="69" t="n"/>
      <c r="J3" s="131" t="n"/>
      <c r="K3" s="131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</row>
    <row r="4" hidden="1" s="673">
      <c r="A4" s="52" t="n"/>
      <c r="B4" s="131" t="n"/>
      <c r="C4" s="131" t="n"/>
      <c r="D4" s="131" t="n"/>
      <c r="E4" s="69" t="n"/>
      <c r="F4" s="69" t="n"/>
      <c r="G4" s="69" t="n"/>
      <c r="H4" s="69" t="n"/>
      <c r="I4" s="69" t="n"/>
      <c r="J4" s="131" t="n"/>
      <c r="K4" s="131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</row>
    <row r="5" hidden="1" s="673">
      <c r="A5" s="52" t="n"/>
      <c r="B5" s="131" t="n"/>
      <c r="C5" s="131" t="n"/>
      <c r="D5" s="131" t="n"/>
      <c r="E5" s="69" t="n"/>
      <c r="F5" s="69" t="n"/>
      <c r="G5" s="69" t="n"/>
      <c r="H5" s="69" t="n"/>
      <c r="I5" s="69" t="n"/>
      <c r="J5" s="131" t="n"/>
      <c r="K5" s="131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</row>
    <row r="6">
      <c r="A6" s="52" t="n"/>
      <c r="B6" s="131" t="n"/>
      <c r="C6" s="131" t="n"/>
      <c r="D6" s="131" t="n"/>
      <c r="E6" s="69" t="n"/>
      <c r="F6" s="69" t="n"/>
      <c r="G6" s="69" t="n"/>
      <c r="H6" s="69" t="n"/>
      <c r="I6" s="69" t="n"/>
      <c r="J6" s="131" t="n"/>
      <c r="K6" s="131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</row>
    <row r="7">
      <c r="A7" s="52" t="n"/>
      <c r="B7" s="73" t="inlineStr">
        <is>
          <t>CALCIR - ECONOMIA</t>
        </is>
      </c>
      <c r="C7" s="74" t="n"/>
      <c r="D7" s="73" t="n"/>
      <c r="E7" s="73" t="n"/>
      <c r="F7" s="73" t="n"/>
      <c r="G7" s="73" t="n"/>
      <c r="H7" s="73" t="n"/>
      <c r="I7" s="73" t="n"/>
      <c r="J7" s="74" t="n"/>
      <c r="K7" s="73">
        <f>RECEITAS!I12</f>
        <v/>
      </c>
      <c r="L7" s="75" t="n"/>
      <c r="M7" s="75" t="n"/>
      <c r="N7" s="75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</row>
    <row r="8">
      <c r="A8" s="52" t="n"/>
      <c r="B8" s="334">
        <f>RECEITAS!B13</f>
        <v/>
      </c>
      <c r="C8" s="75" t="n"/>
      <c r="D8" s="75" t="n"/>
      <c r="E8" s="75" t="n"/>
      <c r="F8" s="75" t="n"/>
      <c r="G8" s="75" t="n"/>
      <c r="H8" s="75" t="n"/>
      <c r="I8" s="75" t="n"/>
      <c r="J8" s="82" t="inlineStr">
        <is>
          <t>Período Inicial</t>
        </is>
      </c>
      <c r="K8" s="82" t="inlineStr">
        <is>
          <t>Período Final</t>
        </is>
      </c>
      <c r="L8" s="75" t="n"/>
      <c r="M8" s="75" t="n"/>
      <c r="N8" s="75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</row>
    <row r="9">
      <c r="A9" s="52" t="n"/>
      <c r="B9" s="153" t="n"/>
      <c r="C9" s="75" t="n"/>
      <c r="D9" s="75" t="n"/>
      <c r="E9" s="75" t="n"/>
      <c r="F9" s="75" t="n"/>
      <c r="G9" s="75" t="n"/>
      <c r="H9" s="75" t="n"/>
      <c r="I9" s="75" t="n"/>
      <c r="J9" s="361">
        <f>RECEITAS!H14</f>
        <v/>
      </c>
      <c r="K9" s="361">
        <f>RECEITAS!I14</f>
        <v/>
      </c>
      <c r="L9" s="75" t="n"/>
      <c r="M9" s="75" t="n"/>
      <c r="N9" s="75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69" t="n"/>
    </row>
    <row r="10">
      <c r="A10" s="52" t="n"/>
      <c r="B10" s="157" t="n"/>
      <c r="C10" s="75" t="n"/>
      <c r="D10" s="75" t="n"/>
      <c r="E10" s="75" t="n"/>
      <c r="F10" s="75" t="n"/>
      <c r="G10" s="75" t="n"/>
      <c r="H10" s="69" t="n"/>
      <c r="I10" s="69" t="n"/>
      <c r="J10" s="75" t="n"/>
      <c r="K10" s="75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>
      <c r="A11" s="52" t="n"/>
      <c r="B11" s="362" t="inlineStr">
        <is>
          <t>RESUMO NEGÓCIO</t>
        </is>
      </c>
      <c r="C11" s="75" t="n"/>
      <c r="D11" s="75" t="n"/>
      <c r="E11" s="75" t="n"/>
      <c r="F11" s="75" t="n"/>
      <c r="G11" s="75" t="n"/>
      <c r="H11" s="69" t="n"/>
      <c r="I11" s="69" t="n"/>
      <c r="J11" s="75" t="n"/>
      <c r="K11" s="75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</row>
    <row r="12">
      <c r="A12" s="52" t="n"/>
      <c r="B12" s="363" t="n"/>
      <c r="C12" s="247" t="n"/>
      <c r="D12" s="247" t="n"/>
      <c r="E12" s="75" t="n"/>
      <c r="F12" s="75" t="n"/>
      <c r="G12" s="75" t="n"/>
      <c r="H12" s="69" t="n"/>
      <c r="I12" s="69" t="n"/>
      <c r="J12" s="75" t="n"/>
      <c r="K12" s="75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</row>
    <row r="13">
      <c r="A13" s="52" t="n"/>
      <c r="B13" s="364" t="inlineStr">
        <is>
          <t>(+) RECEITA</t>
        </is>
      </c>
      <c r="C13" s="364" t="n"/>
      <c r="D13" s="237">
        <f>RESULTADO!F22+RESULTADO!G39</f>
        <v/>
      </c>
      <c r="E13" s="88" t="n"/>
      <c r="F13" s="75" t="n"/>
      <c r="G13" s="75" t="n"/>
      <c r="H13" s="69" t="n"/>
      <c r="I13" s="69" t="n"/>
      <c r="J13" s="75" t="n"/>
      <c r="K13" s="75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</row>
    <row r="14">
      <c r="A14" s="52" t="n"/>
      <c r="B14" s="160" t="inlineStr">
        <is>
          <t>(-) CUSTOS/DESPESAS</t>
        </is>
      </c>
      <c r="C14" s="160" t="n"/>
      <c r="D14" s="240">
        <f>RESULTADO!F23</f>
        <v/>
      </c>
      <c r="E14" s="88" t="n"/>
      <c r="F14" s="75" t="n"/>
      <c r="G14" s="75" t="n"/>
      <c r="H14" s="69" t="n"/>
      <c r="I14" s="69" t="n"/>
      <c r="J14" s="75" t="n"/>
      <c r="K14" s="75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</row>
    <row r="15">
      <c r="A15" s="52" t="n"/>
      <c r="B15" s="365" t="inlineStr">
        <is>
          <t>(=) RESULTADO</t>
        </is>
      </c>
      <c r="C15" s="365" t="n"/>
      <c r="D15" s="366">
        <f>D13-D14</f>
        <v/>
      </c>
      <c r="E15" s="88" t="n"/>
      <c r="F15" s="75" t="n"/>
      <c r="G15" s="75" t="n"/>
      <c r="H15" s="69" t="n"/>
      <c r="I15" s="69" t="n"/>
      <c r="J15" s="75" t="n"/>
      <c r="K15" s="75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</row>
    <row r="16">
      <c r="A16" s="52" t="n"/>
      <c r="B16" s="365" t="inlineStr">
        <is>
          <t>(-) PREJUÍZO UTILIZADO</t>
        </is>
      </c>
      <c r="C16" s="365" t="n"/>
      <c r="D16" s="366">
        <f>RESULTADO!I58</f>
        <v/>
      </c>
      <c r="E16" s="88" t="n"/>
      <c r="F16" s="75" t="n"/>
      <c r="G16" s="75" t="n"/>
      <c r="H16" s="69" t="n"/>
      <c r="I16" s="69" t="n"/>
      <c r="J16" s="75" t="n"/>
      <c r="K16" s="75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</row>
    <row r="17">
      <c r="A17" s="52" t="n"/>
      <c r="B17" s="268" t="inlineStr">
        <is>
          <t>IMPOSTO PAGO</t>
        </is>
      </c>
      <c r="C17" s="367">
        <f>IFERROR(D17/D13,0)</f>
        <v/>
      </c>
      <c r="D17" s="235">
        <f>RESULTADO!F36+RESULTADO!F45</f>
        <v/>
      </c>
      <c r="E17" s="88" t="n"/>
      <c r="F17" s="75" t="n"/>
      <c r="G17" s="75" t="n"/>
      <c r="H17" s="69" t="n"/>
      <c r="I17" s="69" t="n"/>
      <c r="J17" s="75" t="n"/>
      <c r="K17" s="75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</row>
    <row r="18">
      <c r="A18" s="52" t="n"/>
      <c r="B18" s="268">
        <f> "PREJUÍZO ACUMULADO " &amp; K7+1</f>
        <v/>
      </c>
      <c r="C18" s="367" t="n"/>
      <c r="D18" s="235">
        <f>RESULTADO!G58</f>
        <v/>
      </c>
      <c r="E18" s="88" t="n"/>
      <c r="F18" s="75" t="n"/>
      <c r="G18" s="75" t="n"/>
      <c r="H18" s="69" t="n"/>
      <c r="I18" s="69" t="n"/>
      <c r="J18" s="75" t="n"/>
      <c r="K18" s="75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</row>
    <row r="19">
      <c r="A19" s="52" t="n"/>
      <c r="B19" s="247" t="n"/>
      <c r="C19" s="247" t="n"/>
      <c r="D19" s="247" t="n"/>
      <c r="E19" s="75" t="n"/>
      <c r="F19" s="75" t="n"/>
      <c r="G19" s="75" t="n"/>
      <c r="H19" s="69" t="n"/>
      <c r="I19" s="69" t="n"/>
      <c r="J19" s="75" t="n"/>
      <c r="K19" s="75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</row>
    <row r="20">
      <c r="A20" s="52" t="n"/>
      <c r="B20" s="368" t="inlineStr">
        <is>
          <t>ECONOMIA TRIBUTÁRIA</t>
        </is>
      </c>
      <c r="C20" s="247" t="n"/>
      <c r="D20" s="247" t="n"/>
      <c r="E20" s="75" t="n"/>
      <c r="F20" s="75" t="n"/>
      <c r="G20" s="75" t="n"/>
      <c r="H20" s="69" t="n"/>
      <c r="I20" s="69" t="n"/>
      <c r="J20" s="75" t="n"/>
      <c r="K20" s="75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</row>
    <row r="21" ht="15.75" customHeight="1" s="673">
      <c r="A21" s="52" t="n"/>
      <c r="B21" s="363" t="n"/>
      <c r="C21" s="247" t="n"/>
      <c r="D21" s="247" t="n"/>
      <c r="E21" s="75" t="n"/>
      <c r="F21" s="75" t="n"/>
      <c r="G21" s="75" t="n"/>
      <c r="H21" s="69" t="n"/>
      <c r="I21" s="69" t="n"/>
      <c r="J21" s="75" t="n"/>
      <c r="K21" s="75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</row>
    <row r="22" ht="15.75" customHeight="1" s="673">
      <c r="A22" s="52" t="n"/>
      <c r="B22" s="369" t="inlineStr">
        <is>
          <t>IMPOSTO DE RENDA - Pessoa Física (Exploração exclusivamente pela PF)</t>
        </is>
      </c>
      <c r="C22" s="369" t="n"/>
      <c r="D22" s="370">
        <f>IF(((IF(((D15+RESULTADO!E36)&lt;(D13*0.2)),(D15+RESULTADO!E36)*0.275,D13*0.055))&lt;0),0,IF(((D15+RESULTADO!E36)&lt;(D13*0.2)),((D15+RESULTADO!E36)*0.275),(D13*0.055)))</f>
        <v/>
      </c>
      <c r="E22" s="88" t="n"/>
      <c r="F22" s="75" t="n"/>
      <c r="G22" s="75" t="n"/>
      <c r="H22" s="69" t="n"/>
      <c r="I22" s="69" t="n"/>
      <c r="J22" s="75" t="n"/>
      <c r="K22" s="75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</row>
    <row r="23" ht="15.75" customHeight="1" s="673">
      <c r="A23" s="52" t="n"/>
      <c r="B23" s="371" t="inlineStr">
        <is>
          <t>IMPOSTO DE RENDA - Pessoa Física (Exploração em parceria com a PJ)</t>
        </is>
      </c>
      <c r="C23" s="371" t="n"/>
      <c r="D23" s="372">
        <f>RESULTADO!F36</f>
        <v/>
      </c>
      <c r="E23" s="88" t="n"/>
      <c r="F23" s="75" t="n"/>
      <c r="G23" s="75" t="n"/>
      <c r="H23" s="69" t="n"/>
      <c r="I23" s="69" t="n"/>
      <c r="J23" s="75" t="n"/>
      <c r="K23" s="75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</row>
    <row r="24" ht="15.75" customHeight="1" s="673">
      <c r="A24" s="52" t="n"/>
      <c r="B24" s="373" t="inlineStr">
        <is>
          <t>TRIBUTOS RECOLHIDOS PELA PJ - IRPJ / CSLL / Funrural</t>
        </is>
      </c>
      <c r="C24" s="373" t="n"/>
      <c r="D24" s="374">
        <f>RESULTADO!F45</f>
        <v/>
      </c>
      <c r="E24" s="88" t="n"/>
      <c r="F24" s="75" t="n"/>
      <c r="G24" s="75" t="n"/>
      <c r="H24" s="69" t="n"/>
      <c r="I24" s="69" t="n"/>
      <c r="J24" s="75" t="n"/>
      <c r="K24" s="75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</row>
    <row r="25" ht="15.75" customHeight="1" s="673">
      <c r="A25" s="52" t="n"/>
      <c r="B25" s="375" t="n"/>
      <c r="C25" s="375" t="n"/>
      <c r="D25" s="375" t="n"/>
      <c r="E25" s="75" t="n"/>
      <c r="F25" s="75" t="n"/>
      <c r="G25" s="75" t="n"/>
      <c r="H25" s="69" t="n"/>
      <c r="I25" s="69" t="n"/>
      <c r="J25" s="75" t="n"/>
      <c r="K25" s="75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</row>
    <row r="26" ht="15.75" customHeight="1" s="673">
      <c r="A26" s="52" t="n"/>
      <c r="B26" s="376" t="inlineStr">
        <is>
          <t>ECONOMIA TRIBUTÁRIA</t>
        </is>
      </c>
      <c r="C26" s="376" t="n"/>
      <c r="D26" s="377">
        <f>D22-D23-D24</f>
        <v/>
      </c>
      <c r="E26" s="88" t="n"/>
      <c r="F26" s="75" t="n"/>
      <c r="G26" s="75" t="n"/>
      <c r="H26" s="69" t="n"/>
      <c r="I26" s="69" t="n"/>
      <c r="J26" s="75" t="n"/>
      <c r="K26" s="75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</row>
    <row r="27" ht="15.75" customHeight="1" s="673">
      <c r="A27" s="52" t="n"/>
      <c r="B27" s="365" t="inlineStr">
        <is>
          <t>QUAL SERIA A QUANTIA PAGA</t>
        </is>
      </c>
      <c r="C27" s="365" t="n"/>
      <c r="D27" s="366">
        <f>D22-'RESULTADO DETALHADO'!F16</f>
        <v/>
      </c>
      <c r="E27" s="378" t="n">
        <v>1</v>
      </c>
      <c r="F27" s="379" t="n"/>
      <c r="G27" s="75" t="n"/>
      <c r="H27" s="69" t="n"/>
      <c r="I27" s="69" t="n"/>
      <c r="J27" s="75" t="n"/>
      <c r="K27" s="75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</row>
    <row r="28" ht="15.75" customHeight="1" s="673">
      <c r="A28" s="52" t="n"/>
      <c r="B28" s="365" t="inlineStr">
        <is>
          <t>QUANTO SERÁ PAGO</t>
        </is>
      </c>
      <c r="C28" s="365" t="n"/>
      <c r="D28" s="366">
        <f>D23+D24</f>
        <v/>
      </c>
      <c r="E28" s="380">
        <f>D28/D27</f>
        <v/>
      </c>
      <c r="F28" s="381">
        <f>1-E28</f>
        <v/>
      </c>
      <c r="G28" s="75" t="n"/>
      <c r="H28" s="69" t="n"/>
      <c r="I28" s="69" t="n"/>
      <c r="J28" s="75" t="n"/>
      <c r="K28" s="75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</row>
    <row r="29" ht="15.75" customHeight="1" s="673">
      <c r="A29" s="52" t="n"/>
      <c r="B29" s="382" t="n"/>
      <c r="C29" s="382" t="n"/>
      <c r="D29" s="382" t="n"/>
      <c r="E29" s="383" t="n"/>
      <c r="F29" s="75" t="n"/>
      <c r="G29" s="75" t="n"/>
      <c r="H29" s="69" t="n"/>
      <c r="I29" s="69" t="n"/>
      <c r="J29" s="75" t="n"/>
      <c r="K29" s="75" t="n"/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</row>
    <row r="30" ht="15.75" customHeight="1" s="673">
      <c r="A30" s="52" t="n"/>
      <c r="B30" s="383" t="n"/>
      <c r="C30" s="383" t="n"/>
      <c r="D30" s="383" t="n"/>
      <c r="E30" s="383" t="n"/>
      <c r="F30" s="75" t="n"/>
      <c r="G30" s="75" t="n"/>
      <c r="H30" s="69" t="n"/>
      <c r="I30" s="69" t="n"/>
      <c r="J30" s="75" t="n"/>
      <c r="K30" s="75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</row>
    <row r="31" ht="15.75" customHeight="1" s="673">
      <c r="A31" s="52" t="n"/>
      <c r="B31" s="383" t="n"/>
      <c r="C31" s="383" t="n"/>
      <c r="D31" s="383" t="n"/>
      <c r="E31" s="383" t="n"/>
      <c r="F31" s="75" t="n"/>
      <c r="G31" s="75" t="n"/>
      <c r="H31" s="69" t="n"/>
      <c r="I31" s="69" t="n"/>
      <c r="J31" s="75" t="n"/>
      <c r="K31" s="75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</row>
    <row r="32" ht="15.75" customHeight="1" s="673">
      <c r="A32" s="52" t="n"/>
      <c r="B32" s="383" t="n"/>
      <c r="C32" s="383" t="n"/>
      <c r="D32" s="383" t="n"/>
      <c r="E32" s="383" t="n"/>
      <c r="F32" s="75" t="n"/>
      <c r="G32" s="75" t="n"/>
      <c r="H32" s="69" t="n"/>
      <c r="I32" s="69" t="n"/>
      <c r="J32" s="75" t="n"/>
      <c r="K32" s="75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</row>
    <row r="33" ht="15.75" customHeight="1" s="673">
      <c r="A33" s="52" t="n"/>
      <c r="B33" s="383" t="n"/>
      <c r="C33" s="383" t="n"/>
      <c r="D33" s="383" t="n"/>
      <c r="E33" s="383" t="n"/>
      <c r="F33" s="75" t="n"/>
      <c r="G33" s="75" t="n"/>
      <c r="H33" s="69" t="n"/>
      <c r="I33" s="69" t="n"/>
      <c r="J33" s="75" t="n"/>
      <c r="K33" s="75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</row>
    <row r="34" ht="15.75" customHeight="1" s="673">
      <c r="A34" s="52" t="n"/>
      <c r="B34" s="383" t="n"/>
      <c r="C34" s="383" t="n"/>
      <c r="D34" s="383" t="n"/>
      <c r="E34" s="383" t="n"/>
      <c r="F34" s="75" t="n"/>
      <c r="G34" s="75" t="n"/>
      <c r="H34" s="69" t="n"/>
      <c r="I34" s="69" t="n"/>
      <c r="J34" s="75" t="n"/>
      <c r="K34" s="75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</row>
    <row r="35" ht="15.75" customHeight="1" s="673">
      <c r="A35" s="52" t="n"/>
      <c r="B35" s="383" t="n"/>
      <c r="C35" s="383" t="n"/>
      <c r="D35" s="383" t="n"/>
      <c r="E35" s="383" t="n"/>
      <c r="F35" s="75" t="n"/>
      <c r="G35" s="75" t="n"/>
      <c r="H35" s="69" t="n"/>
      <c r="I35" s="69" t="n"/>
      <c r="J35" s="75" t="n"/>
      <c r="K35" s="75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</row>
    <row r="36" ht="15.75" customHeight="1" s="673">
      <c r="A36" s="52" t="n"/>
      <c r="B36" s="383" t="n"/>
      <c r="C36" s="383" t="n"/>
      <c r="D36" s="383" t="n"/>
      <c r="E36" s="383" t="n"/>
      <c r="F36" s="75" t="n"/>
      <c r="G36" s="75" t="n"/>
      <c r="H36" s="69" t="n"/>
      <c r="I36" s="69" t="n"/>
      <c r="J36" s="75" t="n"/>
      <c r="K36" s="75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</row>
    <row r="37" ht="15.75" customHeight="1" s="673">
      <c r="A37" s="52" t="n"/>
      <c r="B37" s="75" t="n"/>
      <c r="C37" s="75" t="n"/>
      <c r="D37" s="75" t="n"/>
      <c r="E37" s="75" t="n"/>
      <c r="F37" s="75" t="n"/>
      <c r="G37" s="75" t="n"/>
      <c r="H37" s="69" t="n"/>
      <c r="I37" s="69" t="n"/>
      <c r="J37" s="75" t="n"/>
      <c r="K37" s="75" t="n"/>
      <c r="L37" s="69" t="n"/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  <c r="Z37" s="69" t="n"/>
    </row>
    <row r="38" ht="15.75" customHeight="1" s="673">
      <c r="A38" s="52" t="n"/>
      <c r="B38" s="75" t="n"/>
      <c r="C38" s="75" t="n"/>
      <c r="D38" s="75" t="n"/>
      <c r="E38" s="75" t="n"/>
      <c r="F38" s="75" t="n"/>
      <c r="G38" s="75" t="n"/>
      <c r="H38" s="69" t="n"/>
      <c r="I38" s="69" t="n"/>
      <c r="J38" s="75" t="n"/>
      <c r="K38" s="75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</row>
    <row r="39" ht="15.75" customHeight="1" s="673">
      <c r="A39" s="52" t="n"/>
      <c r="B39" s="75" t="n"/>
      <c r="C39" s="75" t="n"/>
      <c r="D39" s="75" t="n"/>
      <c r="E39" s="75" t="n"/>
      <c r="F39" s="75" t="n"/>
      <c r="G39" s="75" t="n"/>
      <c r="H39" s="69" t="n"/>
      <c r="I39" s="69" t="n"/>
      <c r="J39" s="75" t="n"/>
      <c r="K39" s="75" t="n"/>
      <c r="L39" s="69" t="n"/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  <c r="Z39" s="69" t="n"/>
    </row>
    <row r="40" ht="15.75" customHeight="1" s="673">
      <c r="A40" s="52" t="n"/>
      <c r="B40" s="75" t="n"/>
      <c r="C40" s="75" t="n"/>
      <c r="D40" s="75" t="n"/>
      <c r="E40" s="75" t="n"/>
      <c r="F40" s="75" t="n"/>
      <c r="G40" s="75" t="n"/>
      <c r="H40" s="69" t="n"/>
      <c r="I40" s="69" t="n"/>
      <c r="J40" s="75" t="n"/>
      <c r="K40" s="75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</row>
    <row r="41" ht="15.75" customHeight="1" s="673">
      <c r="A41" s="52" t="n"/>
      <c r="B41" s="75" t="n"/>
      <c r="C41" s="75" t="n"/>
      <c r="D41" s="75" t="n"/>
      <c r="E41" s="75" t="n"/>
      <c r="F41" s="75" t="n"/>
      <c r="G41" s="75" t="n"/>
      <c r="H41" s="69" t="n"/>
      <c r="I41" s="69" t="n"/>
      <c r="J41" s="75" t="n"/>
      <c r="K41" s="75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69" t="n"/>
    </row>
    <row r="42" ht="15.75" customHeight="1" s="673">
      <c r="A42" s="52" t="n"/>
      <c r="B42" s="75" t="n"/>
      <c r="C42" s="75" t="n"/>
      <c r="D42" s="75" t="n"/>
      <c r="E42" s="75" t="n"/>
      <c r="F42" s="75" t="n"/>
      <c r="G42" s="75" t="n"/>
      <c r="H42" s="69" t="n"/>
      <c r="I42" s="69" t="n"/>
      <c r="J42" s="75" t="n"/>
      <c r="K42" s="75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</row>
    <row r="43" ht="15.75" customHeight="1" s="673">
      <c r="A43" s="52" t="n"/>
      <c r="B43" s="75" t="n"/>
      <c r="C43" s="75" t="n"/>
      <c r="D43" s="75" t="n"/>
      <c r="E43" s="75" t="n"/>
      <c r="F43" s="75" t="n"/>
      <c r="G43" s="75" t="n"/>
      <c r="H43" s="69" t="n"/>
      <c r="I43" s="69" t="n"/>
      <c r="J43" s="75" t="n"/>
      <c r="K43" s="75" t="n"/>
      <c r="L43" s="69" t="n"/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69" t="n"/>
    </row>
    <row r="44" ht="15.75" customHeight="1" s="673">
      <c r="A44" s="52" t="n"/>
      <c r="B44" s="75" t="n"/>
      <c r="C44" s="75" t="n"/>
      <c r="D44" s="75" t="n"/>
      <c r="E44" s="75" t="n"/>
      <c r="F44" s="75" t="n"/>
      <c r="G44" s="75" t="n"/>
      <c r="H44" s="69" t="n"/>
      <c r="I44" s="69" t="n"/>
      <c r="J44" s="75" t="n"/>
      <c r="K44" s="75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69" t="n"/>
    </row>
    <row r="45" ht="15.75" customHeight="1" s="673">
      <c r="A45" s="52" t="n"/>
      <c r="B45" s="75" t="n"/>
      <c r="C45" s="75" t="n"/>
      <c r="D45" s="75" t="n"/>
      <c r="E45" s="75" t="n"/>
      <c r="F45" s="75" t="n"/>
      <c r="G45" s="75" t="n"/>
      <c r="H45" s="69" t="n"/>
      <c r="I45" s="69" t="n"/>
      <c r="J45" s="75" t="n"/>
      <c r="K45" s="75" t="n"/>
      <c r="L45" s="69" t="n"/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  <c r="Z45" s="69" t="n"/>
    </row>
    <row r="46" ht="15.75" customHeight="1" s="673">
      <c r="A46" s="52" t="n"/>
      <c r="B46" s="75" t="n"/>
      <c r="C46" s="75" t="n"/>
      <c r="D46" s="75" t="n"/>
      <c r="E46" s="75" t="n"/>
      <c r="F46" s="75" t="n"/>
      <c r="G46" s="75" t="n"/>
      <c r="H46" s="69" t="n"/>
      <c r="I46" s="69" t="n"/>
      <c r="J46" s="75" t="n"/>
      <c r="K46" s="75" t="n"/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</row>
    <row r="47" ht="15.75" customHeight="1" s="673">
      <c r="A47" s="52" t="n"/>
      <c r="B47" s="75" t="n"/>
      <c r="C47" s="75" t="n"/>
      <c r="D47" s="75" t="n"/>
      <c r="E47" s="75" t="n"/>
      <c r="F47" s="75" t="n"/>
      <c r="G47" s="75" t="n"/>
      <c r="H47" s="69" t="n"/>
      <c r="I47" s="69" t="n"/>
      <c r="J47" s="75" t="n"/>
      <c r="K47" s="75" t="n"/>
      <c r="L47" s="69" t="n"/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  <c r="Z47" s="69" t="n"/>
    </row>
    <row r="48" ht="15.75" customHeight="1" s="673">
      <c r="A48" s="52" t="n"/>
      <c r="B48" s="75" t="n"/>
      <c r="C48" s="75" t="n"/>
      <c r="D48" s="75" t="n"/>
      <c r="E48" s="75" t="n"/>
      <c r="F48" s="75" t="n"/>
      <c r="G48" s="75" t="n"/>
      <c r="H48" s="69" t="n"/>
      <c r="I48" s="69" t="n"/>
      <c r="J48" s="75" t="n"/>
      <c r="K48" s="75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</row>
    <row r="49" ht="15.75" customHeight="1" s="673">
      <c r="A49" s="52" t="n"/>
      <c r="B49" s="75" t="n"/>
      <c r="C49" s="75" t="n"/>
      <c r="D49" s="75" t="n"/>
      <c r="E49" s="75" t="n"/>
      <c r="F49" s="75" t="n"/>
      <c r="G49" s="75" t="n"/>
      <c r="H49" s="69" t="n"/>
      <c r="I49" s="69" t="n"/>
      <c r="J49" s="75" t="n"/>
      <c r="K49" s="75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</row>
    <row r="50" ht="15.75" customHeight="1" s="673">
      <c r="A50" s="52" t="n"/>
      <c r="B50" s="75" t="n"/>
      <c r="C50" s="75" t="n"/>
      <c r="D50" s="75" t="n"/>
      <c r="E50" s="75" t="n"/>
      <c r="F50" s="75" t="n"/>
      <c r="G50" s="75" t="n"/>
      <c r="H50" s="69" t="n"/>
      <c r="I50" s="69" t="n"/>
      <c r="J50" s="75" t="n"/>
      <c r="K50" s="75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</row>
    <row r="51" ht="15.75" customHeight="1" s="673">
      <c r="A51" s="52" t="n"/>
      <c r="B51" s="75" t="n"/>
      <c r="C51" s="75" t="n"/>
      <c r="D51" s="75" t="n"/>
      <c r="E51" s="75" t="n"/>
      <c r="F51" s="75" t="n"/>
      <c r="G51" s="75" t="n"/>
      <c r="H51" s="69" t="n"/>
      <c r="I51" s="69" t="n"/>
      <c r="J51" s="75" t="n"/>
      <c r="K51" s="75" t="n"/>
      <c r="L51" s="69" t="n"/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69" t="n"/>
      <c r="Y51" s="69" t="n"/>
      <c r="Z51" s="69" t="n"/>
    </row>
    <row r="52" ht="15.75" customHeight="1" s="673">
      <c r="A52" s="52" t="n"/>
      <c r="B52" s="75" t="n"/>
      <c r="C52" s="75" t="n"/>
      <c r="D52" s="75" t="n"/>
      <c r="E52" s="75" t="n"/>
      <c r="F52" s="75" t="n"/>
      <c r="G52" s="75" t="n"/>
      <c r="H52" s="69" t="n"/>
      <c r="I52" s="69" t="n"/>
      <c r="J52" s="75" t="n"/>
      <c r="K52" s="75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</row>
    <row r="53" ht="15.75" customHeight="1" s="673">
      <c r="A53" s="52" t="n"/>
      <c r="B53" s="75" t="n"/>
      <c r="C53" s="75" t="n"/>
      <c r="D53" s="75" t="n"/>
      <c r="E53" s="75" t="n"/>
      <c r="F53" s="75" t="n"/>
      <c r="G53" s="75" t="n"/>
      <c r="H53" s="69" t="n"/>
      <c r="I53" s="69" t="n"/>
      <c r="J53" s="75" t="n"/>
      <c r="K53" s="75" t="n"/>
      <c r="L53" s="69" t="n"/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  <c r="Z53" s="69" t="n"/>
    </row>
    <row r="54" ht="15.75" customHeight="1" s="673">
      <c r="A54" s="52" t="n"/>
      <c r="B54" s="75" t="n"/>
      <c r="C54" s="75" t="n"/>
      <c r="D54" s="75" t="n"/>
      <c r="E54" s="75" t="n"/>
      <c r="F54" s="75" t="n"/>
      <c r="G54" s="75" t="n"/>
      <c r="H54" s="69" t="n"/>
      <c r="I54" s="69" t="n"/>
      <c r="J54" s="75" t="n"/>
      <c r="K54" s="75" t="n"/>
      <c r="L54" s="69" t="n"/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69" t="n"/>
    </row>
    <row r="55" ht="15.75" customHeight="1" s="673">
      <c r="A55" s="52" t="n"/>
      <c r="B55" s="75" t="n"/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  <c r="Z55" s="69" t="n"/>
    </row>
    <row r="56" ht="15.75" customHeight="1" s="673">
      <c r="A56" s="52" t="n"/>
      <c r="B56" s="75" t="n"/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</row>
    <row r="57" ht="15.75" customHeight="1" s="673">
      <c r="A57" s="52" t="n"/>
      <c r="B57" s="75" t="n"/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</row>
    <row r="58" ht="15.75" customHeight="1" s="673">
      <c r="A58" s="52" t="n"/>
      <c r="B58" s="75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69" t="n"/>
    </row>
    <row r="59" ht="15.75" customHeight="1" s="673">
      <c r="A59" s="52" t="n"/>
      <c r="B59" s="75" t="n"/>
      <c r="C59" s="75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</row>
    <row r="60" ht="15.75" customHeight="1" s="673">
      <c r="A60" s="52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</row>
    <row r="61" ht="15.75" customHeight="1" s="673">
      <c r="A61" s="52" t="n"/>
      <c r="B61" s="75" t="n"/>
      <c r="C61" s="75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  <c r="Z61" s="69" t="n"/>
    </row>
    <row r="62" ht="15.75" customHeight="1" s="673">
      <c r="A62" s="52" t="n"/>
      <c r="B62" s="75" t="n"/>
      <c r="C62" s="75" t="n"/>
      <c r="D62" s="75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</row>
    <row r="63" ht="15.75" customHeight="1" s="673">
      <c r="A63" s="52" t="n"/>
      <c r="B63" s="75" t="n"/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  <c r="Z63" s="69" t="n"/>
    </row>
    <row r="64" ht="15.75" customHeight="1" s="673">
      <c r="A64" s="52" t="n"/>
      <c r="B64" s="75" t="n"/>
      <c r="C64" s="75" t="n"/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</row>
    <row r="65" ht="15.75" customHeight="1" s="673">
      <c r="A65" s="52" t="n"/>
      <c r="B65" s="75" t="n"/>
      <c r="C65" s="75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  <c r="Z65" s="69" t="n"/>
    </row>
    <row r="66" ht="15.75" customHeight="1" s="673">
      <c r="A66" s="52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  <c r="Z66" s="69" t="n"/>
    </row>
    <row r="67" ht="15.75" customHeight="1" s="673">
      <c r="A67" s="52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  <c r="Z67" s="69" t="n"/>
    </row>
    <row r="68" ht="15.75" customHeight="1" s="673">
      <c r="A68" s="52" t="n"/>
      <c r="B68" s="75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  <c r="Z68" s="69" t="n"/>
    </row>
    <row r="69" ht="15.75" customHeight="1" s="673">
      <c r="A69" s="52" t="n"/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  <c r="Z69" s="69" t="n"/>
    </row>
    <row r="70" ht="15.75" customHeight="1" s="673">
      <c r="A70" s="52" t="n"/>
      <c r="B70" s="75" t="n"/>
      <c r="C70" s="75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69" t="n"/>
    </row>
    <row r="71" ht="15.75" customHeight="1" s="673">
      <c r="A71" s="52" t="n"/>
      <c r="B71" s="75" t="n"/>
      <c r="C71" s="75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  <c r="Z71" s="69" t="n"/>
    </row>
    <row r="72" ht="15.75" customHeight="1" s="673">
      <c r="A72" s="52" t="n"/>
      <c r="B72" s="75" t="n"/>
      <c r="C72" s="75" t="n"/>
      <c r="D72" s="75" t="n"/>
      <c r="E72" s="75" t="n"/>
      <c r="F72" s="75" t="n"/>
      <c r="G72" s="75" t="n"/>
      <c r="H72" s="75" t="n"/>
      <c r="I72" s="75" t="n"/>
      <c r="J72" s="75" t="n"/>
      <c r="K72" s="75" t="n"/>
      <c r="L72" s="75" t="n"/>
      <c r="M72" s="75" t="n"/>
      <c r="N72" s="75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  <c r="Z72" s="69" t="n"/>
    </row>
    <row r="73" ht="15.75" customHeight="1" s="673">
      <c r="A73" s="52" t="n"/>
      <c r="B73" s="75" t="n"/>
      <c r="C73" s="75" t="n"/>
      <c r="D73" s="75" t="n"/>
      <c r="E73" s="75" t="n"/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  <c r="Z73" s="69" t="n"/>
    </row>
    <row r="74" ht="15.75" customHeight="1" s="673">
      <c r="A74" s="52" t="n"/>
      <c r="B74" s="75" t="n"/>
      <c r="C74" s="75" t="n"/>
      <c r="D74" s="75" t="n"/>
      <c r="E74" s="75" t="n"/>
      <c r="F74" s="75" t="n"/>
      <c r="G74" s="75" t="n"/>
      <c r="H74" s="75" t="n"/>
      <c r="I74" s="75" t="n"/>
      <c r="J74" s="129" t="n"/>
      <c r="K74" s="75" t="n"/>
      <c r="L74" s="75" t="n"/>
      <c r="M74" s="75" t="n"/>
      <c r="N74" s="75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  <c r="Z74" s="69" t="n"/>
    </row>
    <row r="75" ht="15.75" customHeight="1" s="673">
      <c r="A75" s="52" t="n"/>
      <c r="B75" s="129" t="n"/>
      <c r="C75" s="129" t="n"/>
      <c r="D75" s="75" t="n"/>
      <c r="E75" s="75" t="n"/>
      <c r="F75" s="75" t="n"/>
      <c r="G75" s="75" t="n"/>
      <c r="H75" s="75" t="n"/>
      <c r="I75" s="75" t="n"/>
      <c r="J75" s="129" t="n"/>
      <c r="K75" s="75" t="n"/>
      <c r="L75" s="75" t="n"/>
      <c r="M75" s="75" t="n"/>
      <c r="N75" s="75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  <c r="Z75" s="69" t="n"/>
    </row>
    <row r="76" ht="15.75" customHeight="1" s="673">
      <c r="A76" s="52" t="n"/>
      <c r="B76" s="129" t="n"/>
      <c r="C76" s="129" t="n"/>
      <c r="D76" s="75" t="n"/>
      <c r="E76" s="75" t="n"/>
      <c r="F76" s="75" t="n"/>
      <c r="G76" s="75" t="n"/>
      <c r="H76" s="75" t="n"/>
      <c r="I76" s="75" t="n"/>
      <c r="J76" s="129" t="n"/>
      <c r="K76" s="75" t="n"/>
      <c r="L76" s="75" t="n"/>
      <c r="M76" s="75" t="n"/>
      <c r="N76" s="75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</row>
    <row r="77" ht="15.75" customHeight="1" s="673">
      <c r="A77" s="52" t="n"/>
      <c r="B77" s="129" t="n"/>
      <c r="C77" s="129" t="n"/>
      <c r="D77" s="75" t="n"/>
      <c r="E77" s="75" t="n"/>
      <c r="F77" s="75" t="n"/>
      <c r="G77" s="75" t="n"/>
      <c r="H77" s="75" t="n"/>
      <c r="I77" s="75" t="n"/>
      <c r="J77" s="129" t="n"/>
      <c r="K77" s="129" t="n"/>
      <c r="L77" s="75" t="n"/>
      <c r="M77" s="75" t="n"/>
      <c r="N77" s="75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  <c r="Z77" s="69" t="n"/>
    </row>
    <row r="78" ht="15.75" customHeight="1" s="673">
      <c r="A78" s="52" t="n"/>
      <c r="B78" s="129" t="n"/>
      <c r="C78" s="129" t="n"/>
      <c r="D78" s="129" t="n"/>
      <c r="E78" s="75" t="n"/>
      <c r="F78" s="75" t="n"/>
      <c r="G78" s="75" t="n"/>
      <c r="H78" s="75" t="n"/>
      <c r="I78" s="75" t="n"/>
      <c r="J78" s="129" t="n"/>
      <c r="K78" s="129" t="n"/>
      <c r="L78" s="75" t="n"/>
      <c r="M78" s="75" t="n"/>
      <c r="N78" s="75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</row>
    <row r="79" ht="15.75" customHeight="1" s="673">
      <c r="A79" s="52" t="n"/>
      <c r="B79" s="129" t="n"/>
      <c r="C79" s="129" t="n"/>
      <c r="D79" s="129" t="n"/>
      <c r="E79" s="75" t="n"/>
      <c r="F79" s="75" t="n"/>
      <c r="G79" s="75" t="n"/>
      <c r="H79" s="75" t="n"/>
      <c r="I79" s="75" t="n"/>
      <c r="J79" s="129" t="n"/>
      <c r="K79" s="129" t="n"/>
      <c r="L79" s="75" t="n"/>
      <c r="M79" s="75" t="n"/>
      <c r="N79" s="75" t="n"/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  <c r="Z79" s="69" t="n"/>
    </row>
    <row r="80" ht="15.75" customHeight="1" s="673">
      <c r="A80" s="52" t="n"/>
      <c r="B80" s="129" t="n"/>
      <c r="C80" s="129" t="n"/>
      <c r="D80" s="129" t="n"/>
      <c r="E80" s="75" t="n"/>
      <c r="F80" s="75" t="n"/>
      <c r="G80" s="75" t="n"/>
      <c r="H80" s="75" t="n"/>
      <c r="I80" s="75" t="n"/>
      <c r="J80" s="129" t="n"/>
      <c r="K80" s="129" t="n"/>
      <c r="L80" s="75" t="n"/>
      <c r="M80" s="75" t="n"/>
      <c r="N80" s="75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  <c r="Z80" s="69" t="n"/>
    </row>
    <row r="81" ht="15.75" customHeight="1" s="673">
      <c r="A81" s="52" t="n"/>
      <c r="B81" s="129" t="n"/>
      <c r="C81" s="129" t="n"/>
      <c r="D81" s="129" t="n"/>
      <c r="E81" s="75" t="n"/>
      <c r="F81" s="75" t="n"/>
      <c r="G81" s="75" t="n"/>
      <c r="H81" s="75" t="n"/>
      <c r="I81" s="75" t="n"/>
      <c r="J81" s="129" t="n"/>
      <c r="K81" s="129" t="n"/>
      <c r="L81" s="75" t="n"/>
      <c r="M81" s="75" t="n"/>
      <c r="N81" s="75" t="n"/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  <c r="Z81" s="69" t="n"/>
    </row>
    <row r="82" ht="15.75" customHeight="1" s="673">
      <c r="A82" s="52" t="n"/>
      <c r="B82" s="129" t="n"/>
      <c r="C82" s="129" t="n"/>
      <c r="D82" s="129" t="n"/>
      <c r="E82" s="75" t="n"/>
      <c r="F82" s="75" t="n"/>
      <c r="G82" s="75" t="n"/>
      <c r="H82" s="75" t="n"/>
      <c r="I82" s="75" t="n"/>
      <c r="J82" s="129" t="n"/>
      <c r="K82" s="129" t="n"/>
      <c r="L82" s="75" t="n"/>
      <c r="M82" s="75" t="n"/>
      <c r="N82" s="75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  <c r="Z82" s="69" t="n"/>
    </row>
    <row r="83" ht="15.75" customHeight="1" s="673">
      <c r="A83" s="52" t="n"/>
      <c r="B83" s="129" t="n"/>
      <c r="C83" s="129" t="n"/>
      <c r="D83" s="129" t="n"/>
      <c r="E83" s="75" t="n"/>
      <c r="F83" s="75" t="n"/>
      <c r="G83" s="75" t="n"/>
      <c r="H83" s="75" t="n"/>
      <c r="I83" s="75" t="n"/>
      <c r="J83" s="129" t="n"/>
      <c r="K83" s="129" t="n"/>
      <c r="L83" s="75" t="n"/>
      <c r="M83" s="75" t="n"/>
      <c r="N83" s="75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  <c r="Z83" s="69" t="n"/>
    </row>
    <row r="84" ht="15.75" customHeight="1" s="673">
      <c r="A84" s="52" t="n"/>
      <c r="B84" s="129" t="n"/>
      <c r="C84" s="129" t="n"/>
      <c r="D84" s="129" t="n"/>
      <c r="E84" s="69" t="n"/>
      <c r="F84" s="69" t="n"/>
      <c r="G84" s="69" t="n"/>
      <c r="H84" s="69" t="n"/>
      <c r="I84" s="69" t="n"/>
      <c r="J84" s="129" t="n"/>
      <c r="K84" s="12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</row>
    <row r="85" ht="15.75" customHeight="1" s="673">
      <c r="A85" s="52" t="n"/>
      <c r="B85" s="129" t="n"/>
      <c r="C85" s="129" t="n"/>
      <c r="D85" s="129" t="n"/>
      <c r="E85" s="69" t="n"/>
      <c r="F85" s="69" t="n"/>
      <c r="G85" s="69" t="n"/>
      <c r="H85" s="69" t="n"/>
      <c r="I85" s="69" t="n"/>
      <c r="J85" s="129" t="n"/>
      <c r="K85" s="12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</row>
    <row r="86" ht="15.75" customHeight="1" s="673">
      <c r="A86" s="52" t="n"/>
      <c r="B86" s="129" t="n"/>
      <c r="C86" s="129" t="n"/>
      <c r="D86" s="129" t="n"/>
      <c r="E86" s="69" t="n"/>
      <c r="F86" s="69" t="n"/>
      <c r="G86" s="69" t="n"/>
      <c r="H86" s="69" t="n"/>
      <c r="I86" s="69" t="n"/>
      <c r="J86" s="130" t="n"/>
      <c r="K86" s="12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  <c r="Z86" s="69" t="n"/>
    </row>
    <row r="87" ht="15.75" customHeight="1" s="673">
      <c r="A87" s="52" t="n"/>
      <c r="B87" s="130" t="n"/>
      <c r="C87" s="130" t="n"/>
      <c r="D87" s="129" t="n"/>
      <c r="E87" s="69" t="n"/>
      <c r="F87" s="69" t="n"/>
      <c r="G87" s="69" t="n"/>
      <c r="H87" s="69" t="n"/>
      <c r="I87" s="69" t="n"/>
      <c r="J87" s="130" t="n"/>
      <c r="K87" s="129" t="n"/>
      <c r="L87" s="69" t="n"/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  <c r="Z87" s="69" t="n"/>
    </row>
    <row r="88" ht="15.75" customHeight="1" s="673">
      <c r="A88" s="52" t="n"/>
      <c r="B88" s="130" t="n"/>
      <c r="C88" s="130" t="n"/>
      <c r="D88" s="129" t="n"/>
      <c r="E88" s="69" t="n"/>
      <c r="F88" s="69" t="n"/>
      <c r="G88" s="69" t="n"/>
      <c r="H88" s="69" t="n"/>
      <c r="I88" s="69" t="n"/>
      <c r="J88" s="130" t="n"/>
      <c r="K88" s="12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</row>
    <row r="89" ht="15.75" customHeight="1" s="673">
      <c r="A89" s="52" t="n"/>
      <c r="B89" s="130" t="n"/>
      <c r="C89" s="130" t="n"/>
      <c r="D89" s="129" t="n"/>
      <c r="E89" s="69" t="n"/>
      <c r="F89" s="69" t="n"/>
      <c r="G89" s="69" t="n"/>
      <c r="H89" s="69" t="n"/>
      <c r="I89" s="69" t="n"/>
      <c r="J89" s="130" t="n"/>
      <c r="K89" s="130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</row>
    <row r="90" ht="15.75" customHeight="1" s="673">
      <c r="A90" s="52" t="n"/>
      <c r="B90" s="130" t="n"/>
      <c r="C90" s="130" t="n"/>
      <c r="D90" s="130" t="n"/>
      <c r="E90" s="69" t="n"/>
      <c r="F90" s="69" t="n"/>
      <c r="G90" s="69" t="n"/>
      <c r="H90" s="69" t="n"/>
      <c r="I90" s="69" t="n"/>
      <c r="J90" s="130" t="n"/>
      <c r="K90" s="130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</row>
    <row r="91" ht="15.75" customHeight="1" s="673">
      <c r="A91" s="52" t="n"/>
      <c r="B91" s="130" t="n"/>
      <c r="C91" s="130" t="n"/>
      <c r="D91" s="130" t="n"/>
      <c r="E91" s="69" t="n"/>
      <c r="F91" s="69" t="n"/>
      <c r="G91" s="69" t="n"/>
      <c r="H91" s="69" t="n"/>
      <c r="I91" s="69" t="n"/>
      <c r="J91" s="130" t="n"/>
      <c r="K91" s="130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  <c r="Z91" s="69" t="n"/>
    </row>
    <row r="92" ht="15.75" customHeight="1" s="673">
      <c r="A92" s="52" t="n"/>
      <c r="B92" s="130" t="n"/>
      <c r="C92" s="130" t="n"/>
      <c r="D92" s="130" t="n"/>
      <c r="E92" s="69" t="n"/>
      <c r="F92" s="69" t="n"/>
      <c r="G92" s="69" t="n"/>
      <c r="H92" s="69" t="n"/>
      <c r="I92" s="69" t="n"/>
      <c r="J92" s="130" t="n"/>
      <c r="K92" s="130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</row>
    <row r="93" ht="15.75" customHeight="1" s="673">
      <c r="A93" s="52" t="n"/>
      <c r="B93" s="130" t="n"/>
      <c r="C93" s="130" t="n"/>
      <c r="D93" s="130" t="n"/>
      <c r="E93" s="69" t="n"/>
      <c r="F93" s="69" t="n"/>
      <c r="G93" s="69" t="n"/>
      <c r="H93" s="69" t="n"/>
      <c r="I93" s="69" t="n"/>
      <c r="J93" s="130" t="n"/>
      <c r="K93" s="130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</row>
    <row r="94" ht="15.75" customHeight="1" s="673">
      <c r="A94" s="52" t="n"/>
      <c r="B94" s="130" t="n"/>
      <c r="C94" s="130" t="n"/>
      <c r="D94" s="130" t="n"/>
      <c r="E94" s="69" t="n"/>
      <c r="F94" s="69" t="n"/>
      <c r="G94" s="69" t="n"/>
      <c r="H94" s="69" t="n"/>
      <c r="I94" s="69" t="n"/>
      <c r="J94" s="130" t="n"/>
      <c r="K94" s="130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</row>
    <row r="95" ht="15.75" customHeight="1" s="673">
      <c r="A95" s="52" t="n"/>
      <c r="B95" s="130" t="n"/>
      <c r="C95" s="130" t="n"/>
      <c r="D95" s="130" t="n"/>
      <c r="E95" s="69" t="n"/>
      <c r="F95" s="69" t="n"/>
      <c r="G95" s="69" t="n"/>
      <c r="H95" s="69" t="n"/>
      <c r="I95" s="69" t="n"/>
      <c r="J95" s="131" t="n"/>
      <c r="K95" s="130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</row>
    <row r="96" ht="15.75" customHeight="1" s="673">
      <c r="A96" s="69" t="n"/>
      <c r="B96" s="131" t="n"/>
      <c r="C96" s="131" t="n"/>
      <c r="D96" s="130" t="n"/>
      <c r="E96" s="69" t="n"/>
      <c r="F96" s="69" t="n"/>
      <c r="G96" s="69" t="n"/>
      <c r="H96" s="69" t="n"/>
      <c r="I96" s="69" t="n"/>
      <c r="J96" s="131" t="n"/>
      <c r="K96" s="130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</row>
    <row r="97" ht="15.75" customHeight="1" s="673">
      <c r="A97" s="69" t="n"/>
      <c r="B97" s="131" t="n"/>
      <c r="C97" s="131" t="n"/>
      <c r="D97" s="130" t="n"/>
      <c r="E97" s="69" t="n"/>
      <c r="F97" s="69" t="n"/>
      <c r="G97" s="69" t="n"/>
      <c r="H97" s="69" t="n"/>
      <c r="I97" s="69" t="n"/>
      <c r="J97" s="131" t="n"/>
      <c r="K97" s="130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</row>
    <row r="98" ht="15.75" customHeight="1" s="673">
      <c r="A98" s="69" t="n"/>
      <c r="B98" s="131" t="n"/>
      <c r="C98" s="131" t="n"/>
      <c r="D98" s="130" t="n"/>
      <c r="E98" s="69" t="n"/>
      <c r="F98" s="69" t="n"/>
      <c r="G98" s="69" t="n"/>
      <c r="H98" s="69" t="n"/>
      <c r="I98" s="69" t="n"/>
      <c r="J98" s="131" t="n"/>
      <c r="K98" s="131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</row>
    <row r="99" ht="15.75" customHeight="1" s="673">
      <c r="A99" s="69" t="n"/>
      <c r="B99" s="131" t="n"/>
      <c r="C99" s="131" t="n"/>
      <c r="D99" s="131" t="n"/>
      <c r="E99" s="69" t="n"/>
      <c r="F99" s="69" t="n"/>
      <c r="G99" s="69" t="n"/>
      <c r="H99" s="69" t="n"/>
      <c r="I99" s="69" t="n"/>
      <c r="J99" s="131" t="n"/>
      <c r="K99" s="131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</row>
    <row r="100" ht="15.75" customHeight="1" s="673">
      <c r="A100" s="69" t="n"/>
      <c r="B100" s="131" t="n"/>
      <c r="C100" s="131" t="n"/>
      <c r="D100" s="131" t="n"/>
      <c r="E100" s="69" t="n"/>
      <c r="F100" s="69" t="n"/>
      <c r="G100" s="69" t="n"/>
      <c r="H100" s="69" t="n"/>
      <c r="I100" s="69" t="n"/>
      <c r="J100" s="131" t="n"/>
      <c r="K100" s="131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</row>
    <row r="101" ht="15.75" customHeight="1" s="673">
      <c r="A101" s="69" t="n"/>
      <c r="B101" s="131" t="n"/>
      <c r="C101" s="131" t="n"/>
      <c r="D101" s="131" t="n"/>
      <c r="E101" s="69" t="n"/>
      <c r="F101" s="69" t="n"/>
      <c r="G101" s="69" t="n"/>
      <c r="H101" s="69" t="n"/>
      <c r="I101" s="69" t="n"/>
      <c r="J101" s="131" t="n"/>
      <c r="K101" s="131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</row>
    <row r="102" ht="15.75" customHeight="1" s="673">
      <c r="A102" s="69" t="n"/>
      <c r="B102" s="131" t="n"/>
      <c r="C102" s="131" t="n"/>
      <c r="D102" s="131" t="n"/>
      <c r="E102" s="69" t="n"/>
      <c r="F102" s="69" t="n"/>
      <c r="G102" s="69" t="n"/>
      <c r="H102" s="69" t="n"/>
      <c r="I102" s="69" t="n"/>
      <c r="J102" s="131" t="n"/>
      <c r="K102" s="131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</row>
    <row r="103" ht="15.75" customHeight="1" s="673">
      <c r="A103" s="69" t="n"/>
      <c r="B103" s="131" t="n"/>
      <c r="C103" s="131" t="n"/>
      <c r="D103" s="131" t="n"/>
      <c r="E103" s="69" t="n"/>
      <c r="F103" s="69" t="n"/>
      <c r="G103" s="69" t="n"/>
      <c r="H103" s="69" t="n"/>
      <c r="I103" s="69" t="n"/>
      <c r="J103" s="131" t="n"/>
      <c r="K103" s="131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69" t="n"/>
    </row>
    <row r="104" ht="15.75" customHeight="1" s="673">
      <c r="A104" s="69" t="n"/>
      <c r="B104" s="131" t="n"/>
      <c r="C104" s="131" t="n"/>
      <c r="D104" s="131" t="n"/>
      <c r="E104" s="69" t="n"/>
      <c r="F104" s="69" t="n"/>
      <c r="G104" s="69" t="n"/>
      <c r="H104" s="69" t="n"/>
      <c r="I104" s="69" t="n"/>
      <c r="J104" s="131" t="n"/>
      <c r="K104" s="131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</row>
    <row r="105" ht="15.75" customHeight="1" s="673">
      <c r="A105" s="69" t="n"/>
      <c r="B105" s="131" t="n"/>
      <c r="C105" s="131" t="n"/>
      <c r="D105" s="131" t="n"/>
      <c r="E105" s="69" t="n"/>
      <c r="F105" s="69" t="n"/>
      <c r="G105" s="69" t="n"/>
      <c r="H105" s="69" t="n"/>
      <c r="I105" s="69" t="n"/>
      <c r="J105" s="131" t="n"/>
      <c r="K105" s="131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</row>
    <row r="106" ht="15.75" customHeight="1" s="673">
      <c r="A106" s="69" t="n"/>
      <c r="B106" s="131" t="n"/>
      <c r="C106" s="131" t="n"/>
      <c r="D106" s="131" t="n"/>
      <c r="E106" s="69" t="n"/>
      <c r="F106" s="69" t="n"/>
      <c r="G106" s="69" t="n"/>
      <c r="H106" s="69" t="n"/>
      <c r="I106" s="69" t="n"/>
      <c r="J106" s="131" t="n"/>
      <c r="K106" s="131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</row>
    <row r="107" ht="15.75" customHeight="1" s="673">
      <c r="A107" s="69" t="n"/>
      <c r="B107" s="131" t="n"/>
      <c r="C107" s="131" t="n"/>
      <c r="D107" s="131" t="n"/>
      <c r="E107" s="69" t="n"/>
      <c r="F107" s="69" t="n"/>
      <c r="G107" s="69" t="n"/>
      <c r="H107" s="69" t="n"/>
      <c r="I107" s="69" t="n"/>
      <c r="J107" s="131" t="n"/>
      <c r="K107" s="131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  <c r="Z107" s="69" t="n"/>
    </row>
    <row r="108" ht="15.75" customHeight="1" s="673">
      <c r="A108" s="69" t="n"/>
      <c r="B108" s="131" t="n"/>
      <c r="C108" s="131" t="n"/>
      <c r="D108" s="131" t="n"/>
      <c r="E108" s="69" t="n"/>
      <c r="F108" s="69" t="n"/>
      <c r="G108" s="69" t="n"/>
      <c r="H108" s="69" t="n"/>
      <c r="I108" s="69" t="n"/>
      <c r="J108" s="131" t="n"/>
      <c r="K108" s="131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</row>
    <row r="109" ht="15.75" customHeight="1" s="673">
      <c r="A109" s="69" t="n"/>
      <c r="B109" s="131" t="n"/>
      <c r="C109" s="131" t="n"/>
      <c r="D109" s="131" t="n"/>
      <c r="E109" s="69" t="n"/>
      <c r="F109" s="69" t="n"/>
      <c r="G109" s="69" t="n"/>
      <c r="H109" s="69" t="n"/>
      <c r="I109" s="69" t="n"/>
      <c r="J109" s="131" t="n"/>
      <c r="K109" s="131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</row>
    <row r="110" ht="15.75" customHeight="1" s="673">
      <c r="A110" s="69" t="n"/>
      <c r="B110" s="131" t="n"/>
      <c r="C110" s="131" t="n"/>
      <c r="D110" s="131" t="n"/>
      <c r="E110" s="69" t="n"/>
      <c r="F110" s="69" t="n"/>
      <c r="G110" s="69" t="n"/>
      <c r="H110" s="69" t="n"/>
      <c r="I110" s="69" t="n"/>
      <c r="J110" s="131" t="n"/>
      <c r="K110" s="131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</row>
    <row r="111" ht="15.75" customHeight="1" s="673">
      <c r="A111" s="69" t="n"/>
      <c r="B111" s="131" t="n"/>
      <c r="C111" s="131" t="n"/>
      <c r="D111" s="131" t="n"/>
      <c r="E111" s="69" t="n"/>
      <c r="F111" s="69" t="n"/>
      <c r="G111" s="69" t="n"/>
      <c r="H111" s="69" t="n"/>
      <c r="I111" s="69" t="n"/>
      <c r="J111" s="131" t="n"/>
      <c r="K111" s="131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</row>
    <row r="112" ht="15.75" customHeight="1" s="673">
      <c r="A112" s="69" t="n"/>
      <c r="B112" s="131" t="n"/>
      <c r="C112" s="131" t="n"/>
      <c r="D112" s="131" t="n"/>
      <c r="E112" s="69" t="n"/>
      <c r="F112" s="69" t="n"/>
      <c r="G112" s="69" t="n"/>
      <c r="H112" s="69" t="n"/>
      <c r="I112" s="69" t="n"/>
      <c r="J112" s="131" t="n"/>
      <c r="K112" s="131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</row>
    <row r="113" ht="15.75" customHeight="1" s="673">
      <c r="A113" s="69" t="n"/>
      <c r="B113" s="131" t="n"/>
      <c r="C113" s="131" t="n"/>
      <c r="D113" s="131" t="n"/>
      <c r="E113" s="69" t="n"/>
      <c r="F113" s="69" t="n"/>
      <c r="G113" s="69" t="n"/>
      <c r="H113" s="69" t="n"/>
      <c r="I113" s="69" t="n"/>
      <c r="J113" s="131" t="n"/>
      <c r="K113" s="131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</row>
    <row r="114" ht="15.75" customHeight="1" s="673">
      <c r="A114" s="69" t="n"/>
      <c r="B114" s="131" t="n"/>
      <c r="C114" s="131" t="n"/>
      <c r="D114" s="131" t="n"/>
      <c r="E114" s="69" t="n"/>
      <c r="F114" s="69" t="n"/>
      <c r="G114" s="69" t="n"/>
      <c r="H114" s="69" t="n"/>
      <c r="I114" s="69" t="n"/>
      <c r="J114" s="131" t="n"/>
      <c r="K114" s="131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</row>
    <row r="115" ht="15.75" customHeight="1" s="673">
      <c r="A115" s="69" t="n"/>
      <c r="B115" s="131" t="n"/>
      <c r="C115" s="131" t="n"/>
      <c r="D115" s="131" t="n"/>
      <c r="E115" s="69" t="n"/>
      <c r="F115" s="69" t="n"/>
      <c r="G115" s="69" t="n"/>
      <c r="H115" s="69" t="n"/>
      <c r="I115" s="69" t="n"/>
      <c r="J115" s="131" t="n"/>
      <c r="K115" s="131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  <c r="Z115" s="69" t="n"/>
    </row>
    <row r="116" ht="15.75" customHeight="1" s="673">
      <c r="A116" s="69" t="n"/>
      <c r="B116" s="131" t="n"/>
      <c r="C116" s="131" t="n"/>
      <c r="D116" s="131" t="n"/>
      <c r="E116" s="69" t="n"/>
      <c r="F116" s="69" t="n"/>
      <c r="G116" s="69" t="n"/>
      <c r="H116" s="69" t="n"/>
      <c r="I116" s="69" t="n"/>
      <c r="J116" s="131" t="n"/>
      <c r="K116" s="131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</row>
    <row r="117" ht="15.75" customHeight="1" s="673">
      <c r="A117" s="69" t="n"/>
      <c r="B117" s="131" t="n"/>
      <c r="C117" s="131" t="n"/>
      <c r="D117" s="131" t="n"/>
      <c r="E117" s="69" t="n"/>
      <c r="F117" s="69" t="n"/>
      <c r="G117" s="69" t="n"/>
      <c r="H117" s="69" t="n"/>
      <c r="I117" s="69" t="n"/>
      <c r="J117" s="131" t="n"/>
      <c r="K117" s="131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</row>
    <row r="118" ht="15.75" customHeight="1" s="673">
      <c r="A118" s="69" t="n"/>
      <c r="B118" s="131" t="n"/>
      <c r="C118" s="131" t="n"/>
      <c r="D118" s="131" t="n"/>
      <c r="E118" s="69" t="n"/>
      <c r="F118" s="69" t="n"/>
      <c r="G118" s="69" t="n"/>
      <c r="H118" s="69" t="n"/>
      <c r="I118" s="69" t="n"/>
      <c r="J118" s="131" t="n"/>
      <c r="K118" s="131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</row>
    <row r="119" ht="15.75" customHeight="1" s="673">
      <c r="A119" s="69" t="n"/>
      <c r="B119" s="131" t="n"/>
      <c r="C119" s="131" t="n"/>
      <c r="D119" s="131" t="n"/>
      <c r="E119" s="69" t="n"/>
      <c r="F119" s="69" t="n"/>
      <c r="G119" s="69" t="n"/>
      <c r="H119" s="69" t="n"/>
      <c r="I119" s="69" t="n"/>
      <c r="J119" s="131" t="n"/>
      <c r="K119" s="131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</row>
    <row r="120" ht="15.75" customHeight="1" s="673">
      <c r="A120" s="69" t="n"/>
      <c r="B120" s="131" t="n"/>
      <c r="C120" s="131" t="n"/>
      <c r="D120" s="131" t="n"/>
      <c r="E120" s="69" t="n"/>
      <c r="F120" s="69" t="n"/>
      <c r="G120" s="69" t="n"/>
      <c r="H120" s="69" t="n"/>
      <c r="I120" s="69" t="n"/>
      <c r="J120" s="131" t="n"/>
      <c r="K120" s="131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</row>
    <row r="121" ht="15.75" customHeight="1" s="673">
      <c r="A121" s="69" t="n"/>
      <c r="B121" s="131" t="n"/>
      <c r="C121" s="131" t="n"/>
      <c r="D121" s="131" t="n"/>
      <c r="E121" s="69" t="n"/>
      <c r="F121" s="69" t="n"/>
      <c r="G121" s="69" t="n"/>
      <c r="H121" s="69" t="n"/>
      <c r="I121" s="69" t="n"/>
      <c r="J121" s="131" t="n"/>
      <c r="K121" s="131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</row>
    <row r="122" ht="15.75" customHeight="1" s="673">
      <c r="A122" s="69" t="n"/>
      <c r="B122" s="131" t="n"/>
      <c r="C122" s="131" t="n"/>
      <c r="D122" s="131" t="n"/>
      <c r="E122" s="69" t="n"/>
      <c r="F122" s="69" t="n"/>
      <c r="G122" s="69" t="n"/>
      <c r="H122" s="69" t="n"/>
      <c r="I122" s="69" t="n"/>
      <c r="J122" s="131" t="n"/>
      <c r="K122" s="131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</row>
    <row r="123" ht="15.75" customHeight="1" s="673">
      <c r="A123" s="69" t="n"/>
      <c r="B123" s="131" t="n"/>
      <c r="C123" s="131" t="n"/>
      <c r="D123" s="131" t="n"/>
      <c r="E123" s="69" t="n"/>
      <c r="F123" s="69" t="n"/>
      <c r="G123" s="69" t="n"/>
      <c r="H123" s="69" t="n"/>
      <c r="I123" s="69" t="n"/>
      <c r="J123" s="131" t="n"/>
      <c r="K123" s="131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</row>
    <row r="124" ht="15.75" customHeight="1" s="673">
      <c r="A124" s="69" t="n"/>
      <c r="B124" s="131" t="n"/>
      <c r="C124" s="131" t="n"/>
      <c r="D124" s="131" t="n"/>
      <c r="E124" s="69" t="n"/>
      <c r="F124" s="69" t="n"/>
      <c r="G124" s="69" t="n"/>
      <c r="H124" s="69" t="n"/>
      <c r="I124" s="69" t="n"/>
      <c r="J124" s="131" t="n"/>
      <c r="K124" s="131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</row>
    <row r="125" ht="15.75" customHeight="1" s="673">
      <c r="A125" s="69" t="n"/>
      <c r="B125" s="131" t="n"/>
      <c r="C125" s="131" t="n"/>
      <c r="D125" s="131" t="n"/>
      <c r="E125" s="69" t="n"/>
      <c r="F125" s="69" t="n"/>
      <c r="G125" s="69" t="n"/>
      <c r="H125" s="69" t="n"/>
      <c r="I125" s="69" t="n"/>
      <c r="J125" s="131" t="n"/>
      <c r="K125" s="131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</row>
    <row r="126" ht="15.75" customHeight="1" s="673">
      <c r="A126" s="69" t="n"/>
      <c r="B126" s="131" t="n"/>
      <c r="C126" s="131" t="n"/>
      <c r="D126" s="131" t="n"/>
      <c r="E126" s="69" t="n"/>
      <c r="F126" s="69" t="n"/>
      <c r="G126" s="69" t="n"/>
      <c r="H126" s="69" t="n"/>
      <c r="I126" s="69" t="n"/>
      <c r="J126" s="131" t="n"/>
      <c r="K126" s="131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</row>
    <row r="127" ht="15.75" customHeight="1" s="673">
      <c r="A127" s="69" t="n"/>
      <c r="B127" s="131" t="n"/>
      <c r="C127" s="131" t="n"/>
      <c r="D127" s="131" t="n"/>
      <c r="E127" s="69" t="n"/>
      <c r="F127" s="69" t="n"/>
      <c r="G127" s="69" t="n"/>
      <c r="H127" s="69" t="n"/>
      <c r="I127" s="69" t="n"/>
      <c r="J127" s="131" t="n"/>
      <c r="K127" s="131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</row>
    <row r="128" ht="15.75" customHeight="1" s="673">
      <c r="A128" s="69" t="n"/>
      <c r="B128" s="131" t="n"/>
      <c r="C128" s="131" t="n"/>
      <c r="D128" s="131" t="n"/>
      <c r="E128" s="69" t="n"/>
      <c r="F128" s="69" t="n"/>
      <c r="G128" s="69" t="n"/>
      <c r="H128" s="69" t="n"/>
      <c r="I128" s="69" t="n"/>
      <c r="J128" s="131" t="n"/>
      <c r="K128" s="131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</row>
    <row r="129" ht="15.75" customHeight="1" s="673">
      <c r="A129" s="69" t="n"/>
      <c r="B129" s="131" t="n"/>
      <c r="C129" s="131" t="n"/>
      <c r="D129" s="131" t="n"/>
      <c r="E129" s="69" t="n"/>
      <c r="F129" s="69" t="n"/>
      <c r="G129" s="69" t="n"/>
      <c r="H129" s="69" t="n"/>
      <c r="I129" s="69" t="n"/>
      <c r="J129" s="131" t="n"/>
      <c r="K129" s="131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</row>
    <row r="130" ht="15.75" customHeight="1" s="673">
      <c r="A130" s="69" t="n"/>
      <c r="B130" s="131" t="n"/>
      <c r="C130" s="131" t="n"/>
      <c r="D130" s="131" t="n"/>
      <c r="E130" s="69" t="n"/>
      <c r="F130" s="69" t="n"/>
      <c r="G130" s="69" t="n"/>
      <c r="H130" s="69" t="n"/>
      <c r="I130" s="69" t="n"/>
      <c r="J130" s="131" t="n"/>
      <c r="K130" s="131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</row>
    <row r="131" ht="15.75" customHeight="1" s="673">
      <c r="A131" s="69" t="n"/>
      <c r="B131" s="131" t="n"/>
      <c r="C131" s="131" t="n"/>
      <c r="D131" s="131" t="n"/>
      <c r="E131" s="69" t="n"/>
      <c r="F131" s="69" t="n"/>
      <c r="G131" s="69" t="n"/>
      <c r="H131" s="69" t="n"/>
      <c r="I131" s="69" t="n"/>
      <c r="J131" s="131" t="n"/>
      <c r="K131" s="131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</row>
    <row r="132" ht="15.75" customHeight="1" s="673">
      <c r="A132" s="69" t="n"/>
      <c r="B132" s="131" t="n"/>
      <c r="C132" s="131" t="n"/>
      <c r="D132" s="131" t="n"/>
      <c r="E132" s="69" t="n"/>
      <c r="F132" s="69" t="n"/>
      <c r="G132" s="69" t="n"/>
      <c r="H132" s="69" t="n"/>
      <c r="I132" s="69" t="n"/>
      <c r="J132" s="131" t="n"/>
      <c r="K132" s="131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</row>
    <row r="133" ht="15.75" customHeight="1" s="673">
      <c r="A133" s="69" t="n"/>
      <c r="B133" s="131" t="n"/>
      <c r="C133" s="131" t="n"/>
      <c r="D133" s="131" t="n"/>
      <c r="E133" s="69" t="n"/>
      <c r="F133" s="69" t="n"/>
      <c r="G133" s="69" t="n"/>
      <c r="H133" s="69" t="n"/>
      <c r="I133" s="69" t="n"/>
      <c r="J133" s="131" t="n"/>
      <c r="K133" s="131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</row>
    <row r="134" ht="15.75" customHeight="1" s="673">
      <c r="A134" s="69" t="n"/>
      <c r="B134" s="131" t="n"/>
      <c r="C134" s="131" t="n"/>
      <c r="D134" s="131" t="n"/>
      <c r="E134" s="69" t="n"/>
      <c r="F134" s="69" t="n"/>
      <c r="G134" s="69" t="n"/>
      <c r="H134" s="69" t="n"/>
      <c r="I134" s="69" t="n"/>
      <c r="J134" s="131" t="n"/>
      <c r="K134" s="131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</row>
    <row r="135" ht="15.75" customHeight="1" s="673">
      <c r="A135" s="69" t="n"/>
      <c r="B135" s="131" t="n"/>
      <c r="C135" s="131" t="n"/>
      <c r="D135" s="131" t="n"/>
      <c r="E135" s="69" t="n"/>
      <c r="F135" s="69" t="n"/>
      <c r="G135" s="69" t="n"/>
      <c r="H135" s="69" t="n"/>
      <c r="I135" s="69" t="n"/>
      <c r="J135" s="131" t="n"/>
      <c r="K135" s="131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  <c r="Z135" s="69" t="n"/>
    </row>
    <row r="136" ht="15.75" customHeight="1" s="673">
      <c r="A136" s="69" t="n"/>
      <c r="B136" s="131" t="n"/>
      <c r="C136" s="131" t="n"/>
      <c r="D136" s="131" t="n"/>
      <c r="E136" s="69" t="n"/>
      <c r="F136" s="69" t="n"/>
      <c r="G136" s="69" t="n"/>
      <c r="H136" s="69" t="n"/>
      <c r="I136" s="69" t="n"/>
      <c r="J136" s="131" t="n"/>
      <c r="K136" s="131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</row>
    <row r="137" ht="15.75" customHeight="1" s="673">
      <c r="A137" s="69" t="n"/>
      <c r="B137" s="131" t="n"/>
      <c r="C137" s="131" t="n"/>
      <c r="D137" s="131" t="n"/>
      <c r="E137" s="69" t="n"/>
      <c r="F137" s="69" t="n"/>
      <c r="G137" s="69" t="n"/>
      <c r="H137" s="69" t="n"/>
      <c r="I137" s="69" t="n"/>
      <c r="J137" s="131" t="n"/>
      <c r="K137" s="131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</row>
    <row r="138" ht="15.75" customHeight="1" s="673">
      <c r="A138" s="69" t="n"/>
      <c r="B138" s="131" t="n"/>
      <c r="C138" s="131" t="n"/>
      <c r="D138" s="131" t="n"/>
      <c r="E138" s="69" t="n"/>
      <c r="F138" s="69" t="n"/>
      <c r="G138" s="69" t="n"/>
      <c r="H138" s="69" t="n"/>
      <c r="I138" s="69" t="n"/>
      <c r="J138" s="131" t="n"/>
      <c r="K138" s="131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</row>
    <row r="139" ht="15.75" customHeight="1" s="673">
      <c r="A139" s="69" t="n"/>
      <c r="B139" s="131" t="n"/>
      <c r="C139" s="131" t="n"/>
      <c r="D139" s="131" t="n"/>
      <c r="E139" s="69" t="n"/>
      <c r="F139" s="69" t="n"/>
      <c r="G139" s="69" t="n"/>
      <c r="H139" s="69" t="n"/>
      <c r="I139" s="69" t="n"/>
      <c r="J139" s="131" t="n"/>
      <c r="K139" s="131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</row>
    <row r="140" ht="15.75" customHeight="1" s="673">
      <c r="A140" s="69" t="n"/>
      <c r="B140" s="131" t="n"/>
      <c r="C140" s="131" t="n"/>
      <c r="D140" s="131" t="n"/>
      <c r="E140" s="69" t="n"/>
      <c r="F140" s="69" t="n"/>
      <c r="G140" s="69" t="n"/>
      <c r="H140" s="69" t="n"/>
      <c r="I140" s="69" t="n"/>
      <c r="J140" s="131" t="n"/>
      <c r="K140" s="131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</row>
    <row r="141" ht="15.75" customHeight="1" s="673">
      <c r="A141" s="69" t="n"/>
      <c r="B141" s="131" t="n"/>
      <c r="C141" s="131" t="n"/>
      <c r="D141" s="131" t="n"/>
      <c r="E141" s="69" t="n"/>
      <c r="F141" s="69" t="n"/>
      <c r="G141" s="69" t="n"/>
      <c r="H141" s="69" t="n"/>
      <c r="I141" s="69" t="n"/>
      <c r="J141" s="131" t="n"/>
      <c r="K141" s="131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</row>
    <row r="142" ht="15.75" customHeight="1" s="673">
      <c r="A142" s="69" t="n"/>
      <c r="B142" s="131" t="n"/>
      <c r="C142" s="131" t="n"/>
      <c r="D142" s="131" t="n"/>
      <c r="E142" s="69" t="n"/>
      <c r="F142" s="69" t="n"/>
      <c r="G142" s="69" t="n"/>
      <c r="H142" s="69" t="n"/>
      <c r="I142" s="69" t="n"/>
      <c r="J142" s="131" t="n"/>
      <c r="K142" s="131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</row>
    <row r="143" ht="15.75" customHeight="1" s="673">
      <c r="A143" s="69" t="n"/>
      <c r="B143" s="131" t="n"/>
      <c r="C143" s="131" t="n"/>
      <c r="D143" s="131" t="n"/>
      <c r="E143" s="69" t="n"/>
      <c r="F143" s="69" t="n"/>
      <c r="G143" s="69" t="n"/>
      <c r="H143" s="69" t="n"/>
      <c r="I143" s="69" t="n"/>
      <c r="J143" s="131" t="n"/>
      <c r="K143" s="131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</row>
    <row r="144" ht="15.75" customHeight="1" s="673">
      <c r="A144" s="69" t="n"/>
      <c r="B144" s="131" t="n"/>
      <c r="C144" s="131" t="n"/>
      <c r="D144" s="131" t="n"/>
      <c r="E144" s="69" t="n"/>
      <c r="F144" s="69" t="n"/>
      <c r="G144" s="69" t="n"/>
      <c r="H144" s="69" t="n"/>
      <c r="I144" s="69" t="n"/>
      <c r="J144" s="131" t="n"/>
      <c r="K144" s="131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</row>
    <row r="145" ht="15.75" customHeight="1" s="673">
      <c r="A145" s="69" t="n"/>
      <c r="B145" s="131" t="n"/>
      <c r="C145" s="131" t="n"/>
      <c r="D145" s="131" t="n"/>
      <c r="E145" s="69" t="n"/>
      <c r="F145" s="69" t="n"/>
      <c r="G145" s="69" t="n"/>
      <c r="H145" s="69" t="n"/>
      <c r="I145" s="69" t="n"/>
      <c r="J145" s="131" t="n"/>
      <c r="K145" s="131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</row>
    <row r="146" ht="15.75" customHeight="1" s="673">
      <c r="A146" s="69" t="n"/>
      <c r="B146" s="131" t="n"/>
      <c r="C146" s="131" t="n"/>
      <c r="D146" s="131" t="n"/>
      <c r="E146" s="69" t="n"/>
      <c r="F146" s="69" t="n"/>
      <c r="G146" s="69" t="n"/>
      <c r="H146" s="69" t="n"/>
      <c r="I146" s="69" t="n"/>
      <c r="J146" s="131" t="n"/>
      <c r="K146" s="131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</row>
    <row r="147" ht="15.75" customHeight="1" s="673">
      <c r="A147" s="69" t="n"/>
      <c r="B147" s="131" t="n"/>
      <c r="C147" s="131" t="n"/>
      <c r="D147" s="131" t="n"/>
      <c r="E147" s="69" t="n"/>
      <c r="F147" s="69" t="n"/>
      <c r="G147" s="69" t="n"/>
      <c r="H147" s="69" t="n"/>
      <c r="I147" s="69" t="n"/>
      <c r="J147" s="131" t="n"/>
      <c r="K147" s="131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</row>
    <row r="148" ht="15.75" customHeight="1" s="673">
      <c r="A148" s="69" t="n"/>
      <c r="B148" s="131" t="n"/>
      <c r="C148" s="131" t="n"/>
      <c r="D148" s="131" t="n"/>
      <c r="E148" s="69" t="n"/>
      <c r="F148" s="69" t="n"/>
      <c r="G148" s="69" t="n"/>
      <c r="H148" s="69" t="n"/>
      <c r="I148" s="69" t="n"/>
      <c r="J148" s="131" t="n"/>
      <c r="K148" s="131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</row>
    <row r="149" ht="15.75" customHeight="1" s="673">
      <c r="A149" s="69" t="n"/>
      <c r="B149" s="131" t="n"/>
      <c r="C149" s="131" t="n"/>
      <c r="D149" s="131" t="n"/>
      <c r="E149" s="69" t="n"/>
      <c r="F149" s="69" t="n"/>
      <c r="G149" s="69" t="n"/>
      <c r="H149" s="69" t="n"/>
      <c r="I149" s="69" t="n"/>
      <c r="J149" s="131" t="n"/>
      <c r="K149" s="131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</row>
    <row r="150" ht="15.75" customHeight="1" s="673">
      <c r="A150" s="69" t="n"/>
      <c r="B150" s="131" t="n"/>
      <c r="C150" s="131" t="n"/>
      <c r="D150" s="131" t="n"/>
      <c r="E150" s="69" t="n"/>
      <c r="F150" s="69" t="n"/>
      <c r="G150" s="69" t="n"/>
      <c r="H150" s="69" t="n"/>
      <c r="I150" s="69" t="n"/>
      <c r="J150" s="131" t="n"/>
      <c r="K150" s="131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</row>
    <row r="151" ht="15.75" customHeight="1" s="673">
      <c r="A151" s="69" t="n"/>
      <c r="B151" s="131" t="n"/>
      <c r="C151" s="131" t="n"/>
      <c r="D151" s="131" t="n"/>
      <c r="E151" s="69" t="n"/>
      <c r="F151" s="69" t="n"/>
      <c r="G151" s="69" t="n"/>
      <c r="H151" s="69" t="n"/>
      <c r="I151" s="69" t="n"/>
      <c r="J151" s="131" t="n"/>
      <c r="K151" s="131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</row>
    <row r="152" ht="15.75" customHeight="1" s="673">
      <c r="A152" s="69" t="n"/>
      <c r="B152" s="131" t="n"/>
      <c r="C152" s="131" t="n"/>
      <c r="D152" s="131" t="n"/>
      <c r="E152" s="69" t="n"/>
      <c r="F152" s="69" t="n"/>
      <c r="G152" s="69" t="n"/>
      <c r="H152" s="69" t="n"/>
      <c r="I152" s="69" t="n"/>
      <c r="J152" s="131" t="n"/>
      <c r="K152" s="131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</row>
    <row r="153" ht="15.75" customHeight="1" s="673">
      <c r="A153" s="69" t="n"/>
      <c r="B153" s="131" t="n"/>
      <c r="C153" s="131" t="n"/>
      <c r="D153" s="131" t="n"/>
      <c r="E153" s="69" t="n"/>
      <c r="F153" s="69" t="n"/>
      <c r="G153" s="69" t="n"/>
      <c r="H153" s="69" t="n"/>
      <c r="I153" s="69" t="n"/>
      <c r="J153" s="131" t="n"/>
      <c r="K153" s="131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</row>
    <row r="154" ht="15.75" customHeight="1" s="673">
      <c r="A154" s="69" t="n"/>
      <c r="B154" s="131" t="n"/>
      <c r="C154" s="131" t="n"/>
      <c r="D154" s="131" t="n"/>
      <c r="E154" s="69" t="n"/>
      <c r="F154" s="69" t="n"/>
      <c r="G154" s="69" t="n"/>
      <c r="H154" s="69" t="n"/>
      <c r="I154" s="69" t="n"/>
      <c r="J154" s="131" t="n"/>
      <c r="K154" s="131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</row>
    <row r="155" ht="15.75" customHeight="1" s="673">
      <c r="A155" s="69" t="n"/>
      <c r="B155" s="131" t="n"/>
      <c r="C155" s="131" t="n"/>
      <c r="D155" s="131" t="n"/>
      <c r="E155" s="69" t="n"/>
      <c r="F155" s="69" t="n"/>
      <c r="G155" s="69" t="n"/>
      <c r="H155" s="69" t="n"/>
      <c r="I155" s="69" t="n"/>
      <c r="J155" s="131" t="n"/>
      <c r="K155" s="131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</row>
    <row r="156" ht="15.75" customHeight="1" s="673">
      <c r="A156" s="69" t="n"/>
      <c r="B156" s="131" t="n"/>
      <c r="C156" s="131" t="n"/>
      <c r="D156" s="131" t="n"/>
      <c r="E156" s="69" t="n"/>
      <c r="F156" s="69" t="n"/>
      <c r="G156" s="69" t="n"/>
      <c r="H156" s="69" t="n"/>
      <c r="I156" s="69" t="n"/>
      <c r="J156" s="131" t="n"/>
      <c r="K156" s="131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</row>
    <row r="157" ht="15.75" customHeight="1" s="673">
      <c r="A157" s="69" t="n"/>
      <c r="B157" s="131" t="n"/>
      <c r="C157" s="131" t="n"/>
      <c r="D157" s="131" t="n"/>
      <c r="E157" s="69" t="n"/>
      <c r="F157" s="69" t="n"/>
      <c r="G157" s="69" t="n"/>
      <c r="H157" s="69" t="n"/>
      <c r="I157" s="69" t="n"/>
      <c r="J157" s="131" t="n"/>
      <c r="K157" s="131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</row>
    <row r="158" ht="15.75" customHeight="1" s="673">
      <c r="A158" s="69" t="n"/>
      <c r="B158" s="131" t="n"/>
      <c r="C158" s="131" t="n"/>
      <c r="D158" s="131" t="n"/>
      <c r="E158" s="69" t="n"/>
      <c r="F158" s="69" t="n"/>
      <c r="G158" s="69" t="n"/>
      <c r="H158" s="69" t="n"/>
      <c r="I158" s="69" t="n"/>
      <c r="J158" s="131" t="n"/>
      <c r="K158" s="131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</row>
    <row r="159" ht="15.75" customHeight="1" s="673">
      <c r="A159" s="69" t="n"/>
      <c r="B159" s="131" t="n"/>
      <c r="C159" s="131" t="n"/>
      <c r="D159" s="131" t="n"/>
      <c r="E159" s="69" t="n"/>
      <c r="F159" s="69" t="n"/>
      <c r="G159" s="69" t="n"/>
      <c r="H159" s="69" t="n"/>
      <c r="I159" s="69" t="n"/>
      <c r="J159" s="131" t="n"/>
      <c r="K159" s="131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</row>
    <row r="160" ht="15.75" customHeight="1" s="673">
      <c r="A160" s="69" t="n"/>
      <c r="B160" s="131" t="n"/>
      <c r="C160" s="131" t="n"/>
      <c r="D160" s="131" t="n"/>
      <c r="E160" s="69" t="n"/>
      <c r="F160" s="69" t="n"/>
      <c r="G160" s="69" t="n"/>
      <c r="H160" s="69" t="n"/>
      <c r="I160" s="69" t="n"/>
      <c r="J160" s="131" t="n"/>
      <c r="K160" s="131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</row>
    <row r="161" ht="15.75" customHeight="1" s="673">
      <c r="A161" s="69" t="n"/>
      <c r="B161" s="131" t="n"/>
      <c r="C161" s="131" t="n"/>
      <c r="D161" s="131" t="n"/>
      <c r="E161" s="69" t="n"/>
      <c r="F161" s="69" t="n"/>
      <c r="G161" s="69" t="n"/>
      <c r="H161" s="69" t="n"/>
      <c r="I161" s="69" t="n"/>
      <c r="J161" s="131" t="n"/>
      <c r="K161" s="131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</row>
    <row r="162" ht="15.75" customHeight="1" s="673">
      <c r="A162" s="69" t="n"/>
      <c r="B162" s="131" t="n"/>
      <c r="C162" s="131" t="n"/>
      <c r="D162" s="131" t="n"/>
      <c r="E162" s="69" t="n"/>
      <c r="F162" s="69" t="n"/>
      <c r="G162" s="69" t="n"/>
      <c r="H162" s="69" t="n"/>
      <c r="I162" s="69" t="n"/>
      <c r="J162" s="131" t="n"/>
      <c r="K162" s="131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</row>
    <row r="163" ht="15.75" customHeight="1" s="673">
      <c r="A163" s="69" t="n"/>
      <c r="B163" s="131" t="n"/>
      <c r="C163" s="131" t="n"/>
      <c r="D163" s="131" t="n"/>
      <c r="E163" s="69" t="n"/>
      <c r="F163" s="69" t="n"/>
      <c r="G163" s="69" t="n"/>
      <c r="H163" s="69" t="n"/>
      <c r="I163" s="69" t="n"/>
      <c r="J163" s="131" t="n"/>
      <c r="K163" s="131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</row>
    <row r="164" ht="15.75" customHeight="1" s="673">
      <c r="A164" s="69" t="n"/>
      <c r="B164" s="131" t="n"/>
      <c r="C164" s="131" t="n"/>
      <c r="D164" s="131" t="n"/>
      <c r="E164" s="69" t="n"/>
      <c r="F164" s="69" t="n"/>
      <c r="G164" s="69" t="n"/>
      <c r="H164" s="69" t="n"/>
      <c r="I164" s="69" t="n"/>
      <c r="J164" s="131" t="n"/>
      <c r="K164" s="131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</row>
    <row r="165" ht="15.75" customHeight="1" s="673">
      <c r="A165" s="69" t="n"/>
      <c r="B165" s="131" t="n"/>
      <c r="C165" s="131" t="n"/>
      <c r="D165" s="131" t="n"/>
      <c r="E165" s="69" t="n"/>
      <c r="F165" s="69" t="n"/>
      <c r="G165" s="69" t="n"/>
      <c r="H165" s="69" t="n"/>
      <c r="I165" s="69" t="n"/>
      <c r="J165" s="131" t="n"/>
      <c r="K165" s="131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  <c r="Z165" s="69" t="n"/>
    </row>
    <row r="166" ht="15.75" customHeight="1" s="673">
      <c r="A166" s="69" t="n"/>
      <c r="B166" s="131" t="n"/>
      <c r="C166" s="131" t="n"/>
      <c r="D166" s="131" t="n"/>
      <c r="E166" s="69" t="n"/>
      <c r="F166" s="69" t="n"/>
      <c r="G166" s="69" t="n"/>
      <c r="H166" s="69" t="n"/>
      <c r="I166" s="69" t="n"/>
      <c r="J166" s="131" t="n"/>
      <c r="K166" s="131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</row>
    <row r="167" ht="15.75" customHeight="1" s="673">
      <c r="A167" s="69" t="n"/>
      <c r="B167" s="131" t="n"/>
      <c r="C167" s="131" t="n"/>
      <c r="D167" s="131" t="n"/>
      <c r="E167" s="69" t="n"/>
      <c r="F167" s="69" t="n"/>
      <c r="G167" s="69" t="n"/>
      <c r="H167" s="69" t="n"/>
      <c r="I167" s="69" t="n"/>
      <c r="J167" s="131" t="n"/>
      <c r="K167" s="131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</row>
    <row r="168" ht="15.75" customHeight="1" s="673">
      <c r="A168" s="69" t="n"/>
      <c r="B168" s="131" t="n"/>
      <c r="C168" s="131" t="n"/>
      <c r="D168" s="131" t="n"/>
      <c r="E168" s="69" t="n"/>
      <c r="F168" s="69" t="n"/>
      <c r="G168" s="69" t="n"/>
      <c r="H168" s="69" t="n"/>
      <c r="I168" s="69" t="n"/>
      <c r="J168" s="131" t="n"/>
      <c r="K168" s="131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</row>
    <row r="169" ht="15.75" customHeight="1" s="673">
      <c r="A169" s="69" t="n"/>
      <c r="B169" s="131" t="n"/>
      <c r="C169" s="131" t="n"/>
      <c r="D169" s="131" t="n"/>
      <c r="E169" s="69" t="n"/>
      <c r="F169" s="69" t="n"/>
      <c r="G169" s="69" t="n"/>
      <c r="H169" s="69" t="n"/>
      <c r="I169" s="69" t="n"/>
      <c r="J169" s="131" t="n"/>
      <c r="K169" s="131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</row>
    <row r="170" ht="15.75" customHeight="1" s="673">
      <c r="A170" s="69" t="n"/>
      <c r="B170" s="131" t="n"/>
      <c r="C170" s="131" t="n"/>
      <c r="D170" s="131" t="n"/>
      <c r="E170" s="69" t="n"/>
      <c r="F170" s="69" t="n"/>
      <c r="G170" s="69" t="n"/>
      <c r="H170" s="69" t="n"/>
      <c r="I170" s="69" t="n"/>
      <c r="J170" s="131" t="n"/>
      <c r="K170" s="131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</row>
    <row r="171" ht="15.75" customHeight="1" s="673">
      <c r="A171" s="69" t="n"/>
      <c r="B171" s="131" t="n"/>
      <c r="C171" s="131" t="n"/>
      <c r="D171" s="131" t="n"/>
      <c r="E171" s="69" t="n"/>
      <c r="F171" s="69" t="n"/>
      <c r="G171" s="69" t="n"/>
      <c r="H171" s="69" t="n"/>
      <c r="I171" s="69" t="n"/>
      <c r="J171" s="131" t="n"/>
      <c r="K171" s="131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</row>
    <row r="172" ht="15.75" customHeight="1" s="673">
      <c r="A172" s="69" t="n"/>
      <c r="B172" s="131" t="n"/>
      <c r="C172" s="131" t="n"/>
      <c r="D172" s="131" t="n"/>
      <c r="E172" s="69" t="n"/>
      <c r="F172" s="69" t="n"/>
      <c r="G172" s="69" t="n"/>
      <c r="H172" s="69" t="n"/>
      <c r="I172" s="69" t="n"/>
      <c r="J172" s="131" t="n"/>
      <c r="K172" s="131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</row>
    <row r="173" ht="15.75" customHeight="1" s="673">
      <c r="A173" s="69" t="n"/>
      <c r="B173" s="131" t="n"/>
      <c r="C173" s="131" t="n"/>
      <c r="D173" s="131" t="n"/>
      <c r="E173" s="69" t="n"/>
      <c r="F173" s="69" t="n"/>
      <c r="G173" s="69" t="n"/>
      <c r="H173" s="69" t="n"/>
      <c r="I173" s="69" t="n"/>
      <c r="J173" s="131" t="n"/>
      <c r="K173" s="131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</row>
    <row r="174" ht="15.75" customHeight="1" s="673">
      <c r="A174" s="69" t="n"/>
      <c r="B174" s="131" t="n"/>
      <c r="C174" s="131" t="n"/>
      <c r="D174" s="131" t="n"/>
      <c r="E174" s="69" t="n"/>
      <c r="F174" s="69" t="n"/>
      <c r="G174" s="69" t="n"/>
      <c r="H174" s="69" t="n"/>
      <c r="I174" s="69" t="n"/>
      <c r="J174" s="131" t="n"/>
      <c r="K174" s="131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</row>
    <row r="175" ht="15.75" customHeight="1" s="673">
      <c r="A175" s="69" t="n"/>
      <c r="B175" s="131" t="n"/>
      <c r="C175" s="131" t="n"/>
      <c r="D175" s="131" t="n"/>
      <c r="E175" s="69" t="n"/>
      <c r="F175" s="69" t="n"/>
      <c r="G175" s="69" t="n"/>
      <c r="H175" s="69" t="n"/>
      <c r="I175" s="69" t="n"/>
      <c r="J175" s="131" t="n"/>
      <c r="K175" s="131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</row>
    <row r="176" ht="15.75" customHeight="1" s="673">
      <c r="A176" s="69" t="n"/>
      <c r="B176" s="131" t="n"/>
      <c r="C176" s="131" t="n"/>
      <c r="D176" s="131" t="n"/>
      <c r="E176" s="69" t="n"/>
      <c r="F176" s="69" t="n"/>
      <c r="G176" s="69" t="n"/>
      <c r="H176" s="69" t="n"/>
      <c r="I176" s="69" t="n"/>
      <c r="J176" s="131" t="n"/>
      <c r="K176" s="131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</row>
    <row r="177" ht="15.75" customHeight="1" s="673">
      <c r="A177" s="69" t="n"/>
      <c r="B177" s="131" t="n"/>
      <c r="C177" s="131" t="n"/>
      <c r="D177" s="131" t="n"/>
      <c r="E177" s="69" t="n"/>
      <c r="F177" s="69" t="n"/>
      <c r="G177" s="69" t="n"/>
      <c r="H177" s="69" t="n"/>
      <c r="I177" s="69" t="n"/>
      <c r="J177" s="131" t="n"/>
      <c r="K177" s="131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</row>
    <row r="178" ht="15.75" customHeight="1" s="673">
      <c r="A178" s="69" t="n"/>
      <c r="B178" s="131" t="n"/>
      <c r="C178" s="131" t="n"/>
      <c r="D178" s="131" t="n"/>
      <c r="E178" s="69" t="n"/>
      <c r="F178" s="69" t="n"/>
      <c r="G178" s="69" t="n"/>
      <c r="H178" s="69" t="n"/>
      <c r="I178" s="69" t="n"/>
      <c r="J178" s="131" t="n"/>
      <c r="K178" s="131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</row>
    <row r="179" ht="15.75" customHeight="1" s="673">
      <c r="A179" s="69" t="n"/>
      <c r="B179" s="131" t="n"/>
      <c r="C179" s="131" t="n"/>
      <c r="D179" s="131" t="n"/>
      <c r="E179" s="69" t="n"/>
      <c r="F179" s="69" t="n"/>
      <c r="G179" s="69" t="n"/>
      <c r="H179" s="69" t="n"/>
      <c r="I179" s="69" t="n"/>
      <c r="J179" s="131" t="n"/>
      <c r="K179" s="131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</row>
    <row r="180" ht="15.75" customHeight="1" s="673">
      <c r="A180" s="69" t="n"/>
      <c r="B180" s="131" t="n"/>
      <c r="C180" s="131" t="n"/>
      <c r="D180" s="131" t="n"/>
      <c r="E180" s="69" t="n"/>
      <c r="F180" s="69" t="n"/>
      <c r="G180" s="69" t="n"/>
      <c r="H180" s="69" t="n"/>
      <c r="I180" s="69" t="n"/>
      <c r="J180" s="131" t="n"/>
      <c r="K180" s="131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</row>
    <row r="181" ht="15.75" customHeight="1" s="673">
      <c r="A181" s="69" t="n"/>
      <c r="B181" s="131" t="n"/>
      <c r="C181" s="131" t="n"/>
      <c r="D181" s="131" t="n"/>
      <c r="E181" s="69" t="n"/>
      <c r="F181" s="69" t="n"/>
      <c r="G181" s="69" t="n"/>
      <c r="H181" s="69" t="n"/>
      <c r="I181" s="69" t="n"/>
      <c r="J181" s="131" t="n"/>
      <c r="K181" s="131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</row>
    <row r="182" ht="15.75" customHeight="1" s="673">
      <c r="A182" s="69" t="n"/>
      <c r="B182" s="131" t="n"/>
      <c r="C182" s="131" t="n"/>
      <c r="D182" s="131" t="n"/>
      <c r="E182" s="69" t="n"/>
      <c r="F182" s="69" t="n"/>
      <c r="G182" s="69" t="n"/>
      <c r="H182" s="69" t="n"/>
      <c r="I182" s="69" t="n"/>
      <c r="J182" s="131" t="n"/>
      <c r="K182" s="131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</row>
    <row r="183" ht="15.75" customHeight="1" s="673">
      <c r="A183" s="69" t="n"/>
      <c r="B183" s="131" t="n"/>
      <c r="C183" s="131" t="n"/>
      <c r="D183" s="131" t="n"/>
      <c r="E183" s="69" t="n"/>
      <c r="F183" s="69" t="n"/>
      <c r="G183" s="69" t="n"/>
      <c r="H183" s="69" t="n"/>
      <c r="I183" s="69" t="n"/>
      <c r="J183" s="131" t="n"/>
      <c r="K183" s="131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</row>
    <row r="184" ht="15.75" customHeight="1" s="673">
      <c r="A184" s="69" t="n"/>
      <c r="B184" s="131" t="n"/>
      <c r="C184" s="131" t="n"/>
      <c r="D184" s="131" t="n"/>
      <c r="E184" s="69" t="n"/>
      <c r="F184" s="69" t="n"/>
      <c r="G184" s="69" t="n"/>
      <c r="H184" s="69" t="n"/>
      <c r="I184" s="69" t="n"/>
      <c r="J184" s="131" t="n"/>
      <c r="K184" s="131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</row>
    <row r="185" ht="15.75" customHeight="1" s="673">
      <c r="A185" s="69" t="n"/>
      <c r="B185" s="131" t="n"/>
      <c r="C185" s="131" t="n"/>
      <c r="D185" s="131" t="n"/>
      <c r="E185" s="69" t="n"/>
      <c r="F185" s="69" t="n"/>
      <c r="G185" s="69" t="n"/>
      <c r="H185" s="69" t="n"/>
      <c r="I185" s="69" t="n"/>
      <c r="J185" s="131" t="n"/>
      <c r="K185" s="131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  <c r="Z185" s="69" t="n"/>
    </row>
    <row r="186" ht="15.75" customHeight="1" s="673">
      <c r="A186" s="69" t="n"/>
      <c r="B186" s="131" t="n"/>
      <c r="C186" s="131" t="n"/>
      <c r="D186" s="131" t="n"/>
      <c r="E186" s="69" t="n"/>
      <c r="F186" s="69" t="n"/>
      <c r="G186" s="69" t="n"/>
      <c r="H186" s="69" t="n"/>
      <c r="I186" s="69" t="n"/>
      <c r="J186" s="131" t="n"/>
      <c r="K186" s="131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</row>
    <row r="187" ht="15.75" customHeight="1" s="673">
      <c r="A187" s="69" t="n"/>
      <c r="B187" s="131" t="n"/>
      <c r="C187" s="131" t="n"/>
      <c r="D187" s="131" t="n"/>
      <c r="E187" s="69" t="n"/>
      <c r="F187" s="69" t="n"/>
      <c r="G187" s="69" t="n"/>
      <c r="H187" s="69" t="n"/>
      <c r="I187" s="69" t="n"/>
      <c r="J187" s="131" t="n"/>
      <c r="K187" s="131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</row>
    <row r="188" ht="15.75" customHeight="1" s="673">
      <c r="A188" s="69" t="n"/>
      <c r="B188" s="131" t="n"/>
      <c r="C188" s="131" t="n"/>
      <c r="D188" s="131" t="n"/>
      <c r="E188" s="69" t="n"/>
      <c r="F188" s="69" t="n"/>
      <c r="G188" s="69" t="n"/>
      <c r="H188" s="69" t="n"/>
      <c r="I188" s="69" t="n"/>
      <c r="J188" s="131" t="n"/>
      <c r="K188" s="131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</row>
    <row r="189" ht="15.75" customHeight="1" s="673">
      <c r="A189" s="69" t="n"/>
      <c r="B189" s="131" t="n"/>
      <c r="C189" s="131" t="n"/>
      <c r="D189" s="131" t="n"/>
      <c r="E189" s="69" t="n"/>
      <c r="F189" s="69" t="n"/>
      <c r="G189" s="69" t="n"/>
      <c r="H189" s="69" t="n"/>
      <c r="I189" s="69" t="n"/>
      <c r="J189" s="131" t="n"/>
      <c r="K189" s="131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</row>
    <row r="190" ht="15.75" customHeight="1" s="673">
      <c r="A190" s="69" t="n"/>
      <c r="B190" s="131" t="n"/>
      <c r="C190" s="131" t="n"/>
      <c r="D190" s="131" t="n"/>
      <c r="E190" s="69" t="n"/>
      <c r="F190" s="69" t="n"/>
      <c r="G190" s="69" t="n"/>
      <c r="H190" s="69" t="n"/>
      <c r="I190" s="69" t="n"/>
      <c r="J190" s="131" t="n"/>
      <c r="K190" s="131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</row>
    <row r="191" ht="15.75" customHeight="1" s="673">
      <c r="A191" s="69" t="n"/>
      <c r="B191" s="131" t="n"/>
      <c r="C191" s="131" t="n"/>
      <c r="D191" s="131" t="n"/>
      <c r="E191" s="69" t="n"/>
      <c r="F191" s="69" t="n"/>
      <c r="G191" s="69" t="n"/>
      <c r="H191" s="69" t="n"/>
      <c r="I191" s="69" t="n"/>
      <c r="J191" s="131" t="n"/>
      <c r="K191" s="131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</row>
    <row r="192" ht="15.75" customHeight="1" s="673">
      <c r="A192" s="69" t="n"/>
      <c r="B192" s="131" t="n"/>
      <c r="C192" s="131" t="n"/>
      <c r="D192" s="131" t="n"/>
      <c r="E192" s="69" t="n"/>
      <c r="F192" s="69" t="n"/>
      <c r="G192" s="69" t="n"/>
      <c r="H192" s="69" t="n"/>
      <c r="I192" s="69" t="n"/>
      <c r="J192" s="131" t="n"/>
      <c r="K192" s="131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</row>
    <row r="193" ht="15.75" customHeight="1" s="673">
      <c r="A193" s="69" t="n"/>
      <c r="B193" s="131" t="n"/>
      <c r="C193" s="131" t="n"/>
      <c r="D193" s="131" t="n"/>
      <c r="E193" s="69" t="n"/>
      <c r="F193" s="69" t="n"/>
      <c r="G193" s="69" t="n"/>
      <c r="H193" s="69" t="n"/>
      <c r="I193" s="69" t="n"/>
      <c r="J193" s="131" t="n"/>
      <c r="K193" s="131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</row>
    <row r="194" ht="15.75" customHeight="1" s="673">
      <c r="A194" s="69" t="n"/>
      <c r="B194" s="131" t="n"/>
      <c r="C194" s="131" t="n"/>
      <c r="D194" s="131" t="n"/>
      <c r="E194" s="69" t="n"/>
      <c r="F194" s="69" t="n"/>
      <c r="G194" s="69" t="n"/>
      <c r="H194" s="69" t="n"/>
      <c r="I194" s="69" t="n"/>
      <c r="J194" s="131" t="n"/>
      <c r="K194" s="131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</row>
    <row r="195" ht="15.75" customHeight="1" s="673">
      <c r="A195" s="69" t="n"/>
      <c r="B195" s="131" t="n"/>
      <c r="C195" s="131" t="n"/>
      <c r="D195" s="131" t="n"/>
      <c r="E195" s="69" t="n"/>
      <c r="F195" s="69" t="n"/>
      <c r="G195" s="69" t="n"/>
      <c r="H195" s="69" t="n"/>
      <c r="I195" s="69" t="n"/>
      <c r="J195" s="131" t="n"/>
      <c r="K195" s="131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</row>
    <row r="196" ht="15.75" customHeight="1" s="673">
      <c r="A196" s="69" t="n"/>
      <c r="B196" s="131" t="n"/>
      <c r="C196" s="131" t="n"/>
      <c r="D196" s="131" t="n"/>
      <c r="E196" s="69" t="n"/>
      <c r="F196" s="69" t="n"/>
      <c r="G196" s="69" t="n"/>
      <c r="H196" s="69" t="n"/>
      <c r="I196" s="69" t="n"/>
      <c r="J196" s="131" t="n"/>
      <c r="K196" s="131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</row>
    <row r="197" ht="15.75" customHeight="1" s="673">
      <c r="A197" s="69" t="n"/>
      <c r="B197" s="131" t="n"/>
      <c r="C197" s="131" t="n"/>
      <c r="D197" s="131" t="n"/>
      <c r="E197" s="69" t="n"/>
      <c r="F197" s="69" t="n"/>
      <c r="G197" s="69" t="n"/>
      <c r="H197" s="69" t="n"/>
      <c r="I197" s="69" t="n"/>
      <c r="J197" s="131" t="n"/>
      <c r="K197" s="131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</row>
    <row r="198" ht="15.75" customHeight="1" s="673">
      <c r="A198" s="69" t="n"/>
      <c r="B198" s="131" t="n"/>
      <c r="C198" s="131" t="n"/>
      <c r="D198" s="131" t="n"/>
      <c r="E198" s="69" t="n"/>
      <c r="F198" s="69" t="n"/>
      <c r="G198" s="69" t="n"/>
      <c r="H198" s="69" t="n"/>
      <c r="I198" s="69" t="n"/>
      <c r="J198" s="131" t="n"/>
      <c r="K198" s="131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</row>
    <row r="199" ht="15.75" customHeight="1" s="673">
      <c r="A199" s="69" t="n"/>
      <c r="B199" s="131" t="n"/>
      <c r="C199" s="131" t="n"/>
      <c r="D199" s="131" t="n"/>
      <c r="E199" s="69" t="n"/>
      <c r="F199" s="69" t="n"/>
      <c r="G199" s="69" t="n"/>
      <c r="H199" s="69" t="n"/>
      <c r="I199" s="69" t="n"/>
      <c r="J199" s="131" t="n"/>
      <c r="K199" s="131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</row>
    <row r="200" ht="15.75" customHeight="1" s="673">
      <c r="A200" s="69" t="n"/>
      <c r="B200" s="131" t="n"/>
      <c r="C200" s="131" t="n"/>
      <c r="D200" s="131" t="n"/>
      <c r="E200" s="69" t="n"/>
      <c r="F200" s="69" t="n"/>
      <c r="G200" s="69" t="n"/>
      <c r="H200" s="69" t="n"/>
      <c r="I200" s="69" t="n"/>
      <c r="J200" s="131" t="n"/>
      <c r="K200" s="131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</row>
    <row r="201" ht="15.75" customHeight="1" s="673">
      <c r="A201" s="69" t="n"/>
      <c r="B201" s="131" t="n"/>
      <c r="C201" s="131" t="n"/>
      <c r="D201" s="131" t="n"/>
      <c r="E201" s="69" t="n"/>
      <c r="F201" s="69" t="n"/>
      <c r="G201" s="69" t="n"/>
      <c r="H201" s="69" t="n"/>
      <c r="I201" s="69" t="n"/>
      <c r="J201" s="131" t="n"/>
      <c r="K201" s="131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</row>
    <row r="202" ht="15.75" customHeight="1" s="673">
      <c r="A202" s="69" t="n"/>
      <c r="B202" s="131" t="n"/>
      <c r="C202" s="131" t="n"/>
      <c r="D202" s="131" t="n"/>
      <c r="E202" s="69" t="n"/>
      <c r="F202" s="69" t="n"/>
      <c r="G202" s="69" t="n"/>
      <c r="H202" s="69" t="n"/>
      <c r="I202" s="69" t="n"/>
      <c r="J202" s="131" t="n"/>
      <c r="K202" s="131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</row>
    <row r="203" ht="15.75" customHeight="1" s="673">
      <c r="A203" s="69" t="n"/>
      <c r="B203" s="131" t="n"/>
      <c r="C203" s="131" t="n"/>
      <c r="D203" s="131" t="n"/>
      <c r="E203" s="69" t="n"/>
      <c r="F203" s="69" t="n"/>
      <c r="G203" s="69" t="n"/>
      <c r="H203" s="69" t="n"/>
      <c r="I203" s="69" t="n"/>
      <c r="J203" s="131" t="n"/>
      <c r="K203" s="131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</row>
    <row r="204" ht="15.75" customHeight="1" s="673">
      <c r="A204" s="69" t="n"/>
      <c r="B204" s="131" t="n"/>
      <c r="C204" s="131" t="n"/>
      <c r="D204" s="131" t="n"/>
      <c r="E204" s="69" t="n"/>
      <c r="F204" s="69" t="n"/>
      <c r="G204" s="69" t="n"/>
      <c r="H204" s="69" t="n"/>
      <c r="I204" s="69" t="n"/>
      <c r="J204" s="131" t="n"/>
      <c r="K204" s="131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</row>
    <row r="205" ht="15.75" customHeight="1" s="673">
      <c r="A205" s="69" t="n"/>
      <c r="B205" s="131" t="n"/>
      <c r="C205" s="131" t="n"/>
      <c r="D205" s="131" t="n"/>
      <c r="E205" s="69" t="n"/>
      <c r="F205" s="69" t="n"/>
      <c r="G205" s="69" t="n"/>
      <c r="H205" s="69" t="n"/>
      <c r="I205" s="69" t="n"/>
      <c r="J205" s="131" t="n"/>
      <c r="K205" s="131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</row>
    <row r="206" ht="15.75" customHeight="1" s="673">
      <c r="A206" s="69" t="n"/>
      <c r="B206" s="131" t="n"/>
      <c r="C206" s="131" t="n"/>
      <c r="D206" s="131" t="n"/>
      <c r="E206" s="69" t="n"/>
      <c r="F206" s="69" t="n"/>
      <c r="G206" s="69" t="n"/>
      <c r="H206" s="69" t="n"/>
      <c r="I206" s="69" t="n"/>
      <c r="J206" s="131" t="n"/>
      <c r="K206" s="131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</row>
    <row r="207" ht="15.75" customHeight="1" s="673">
      <c r="A207" s="69" t="n"/>
      <c r="B207" s="131" t="n"/>
      <c r="C207" s="131" t="n"/>
      <c r="D207" s="131" t="n"/>
      <c r="E207" s="69" t="n"/>
      <c r="F207" s="69" t="n"/>
      <c r="G207" s="69" t="n"/>
      <c r="H207" s="69" t="n"/>
      <c r="I207" s="69" t="n"/>
      <c r="J207" s="131" t="n"/>
      <c r="K207" s="131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</row>
    <row r="208" ht="15.75" customHeight="1" s="673">
      <c r="A208" s="69" t="n"/>
      <c r="B208" s="131" t="n"/>
      <c r="C208" s="131" t="n"/>
      <c r="D208" s="131" t="n"/>
      <c r="E208" s="69" t="n"/>
      <c r="F208" s="69" t="n"/>
      <c r="G208" s="69" t="n"/>
      <c r="H208" s="69" t="n"/>
      <c r="I208" s="69" t="n"/>
      <c r="J208" s="131" t="n"/>
      <c r="K208" s="131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</row>
    <row r="209" ht="15.75" customHeight="1" s="673">
      <c r="A209" s="69" t="n"/>
      <c r="B209" s="131" t="n"/>
      <c r="C209" s="131" t="n"/>
      <c r="D209" s="131" t="n"/>
      <c r="E209" s="69" t="n"/>
      <c r="F209" s="69" t="n"/>
      <c r="G209" s="69" t="n"/>
      <c r="H209" s="69" t="n"/>
      <c r="I209" s="69" t="n"/>
      <c r="J209" s="131" t="n"/>
      <c r="K209" s="131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</row>
    <row r="210" ht="15.75" customHeight="1" s="673">
      <c r="A210" s="69" t="n"/>
      <c r="B210" s="131" t="n"/>
      <c r="C210" s="131" t="n"/>
      <c r="D210" s="131" t="n"/>
      <c r="E210" s="69" t="n"/>
      <c r="F210" s="69" t="n"/>
      <c r="G210" s="69" t="n"/>
      <c r="H210" s="69" t="n"/>
      <c r="I210" s="69" t="n"/>
      <c r="J210" s="131" t="n"/>
      <c r="K210" s="131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</row>
    <row r="211" ht="15.75" customHeight="1" s="673">
      <c r="A211" s="69" t="n"/>
      <c r="B211" s="131" t="n"/>
      <c r="C211" s="131" t="n"/>
      <c r="D211" s="131" t="n"/>
      <c r="E211" s="69" t="n"/>
      <c r="F211" s="69" t="n"/>
      <c r="G211" s="69" t="n"/>
      <c r="H211" s="69" t="n"/>
      <c r="I211" s="69" t="n"/>
      <c r="J211" s="131" t="n"/>
      <c r="K211" s="131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  <c r="Z211" s="69" t="n"/>
    </row>
    <row r="212" ht="15.75" customHeight="1" s="673">
      <c r="A212" s="69" t="n"/>
      <c r="B212" s="131" t="n"/>
      <c r="C212" s="131" t="n"/>
      <c r="D212" s="131" t="n"/>
      <c r="E212" s="69" t="n"/>
      <c r="F212" s="69" t="n"/>
      <c r="G212" s="69" t="n"/>
      <c r="H212" s="69" t="n"/>
      <c r="I212" s="69" t="n"/>
      <c r="J212" s="131" t="n"/>
      <c r="K212" s="131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</row>
    <row r="213" ht="15.75" customHeight="1" s="673">
      <c r="A213" s="69" t="n"/>
      <c r="B213" s="131" t="n"/>
      <c r="C213" s="131" t="n"/>
      <c r="D213" s="131" t="n"/>
      <c r="E213" s="69" t="n"/>
      <c r="F213" s="69" t="n"/>
      <c r="G213" s="69" t="n"/>
      <c r="H213" s="69" t="n"/>
      <c r="I213" s="69" t="n"/>
      <c r="J213" s="131" t="n"/>
      <c r="K213" s="131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  <c r="Z213" s="69" t="n"/>
    </row>
    <row r="214" ht="15.75" customHeight="1" s="673">
      <c r="A214" s="69" t="n"/>
      <c r="B214" s="131" t="n"/>
      <c r="C214" s="131" t="n"/>
      <c r="D214" s="131" t="n"/>
      <c r="E214" s="69" t="n"/>
      <c r="F214" s="69" t="n"/>
      <c r="G214" s="69" t="n"/>
      <c r="H214" s="69" t="n"/>
      <c r="I214" s="69" t="n"/>
      <c r="J214" s="131" t="n"/>
      <c r="K214" s="131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</row>
    <row r="215" ht="15.75" customHeight="1" s="673">
      <c r="A215" s="69" t="n"/>
      <c r="B215" s="131" t="n"/>
      <c r="C215" s="131" t="n"/>
      <c r="D215" s="131" t="n"/>
      <c r="E215" s="69" t="n"/>
      <c r="F215" s="69" t="n"/>
      <c r="G215" s="69" t="n"/>
      <c r="H215" s="69" t="n"/>
      <c r="I215" s="69" t="n"/>
      <c r="J215" s="131" t="n"/>
      <c r="K215" s="131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</row>
    <row r="216" ht="15.75" customHeight="1" s="673">
      <c r="A216" s="69" t="n"/>
      <c r="B216" s="131" t="n"/>
      <c r="C216" s="131" t="n"/>
      <c r="D216" s="131" t="n"/>
      <c r="E216" s="69" t="n"/>
      <c r="F216" s="69" t="n"/>
      <c r="G216" s="69" t="n"/>
      <c r="H216" s="69" t="n"/>
      <c r="I216" s="69" t="n"/>
      <c r="J216" s="131" t="n"/>
      <c r="K216" s="131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</row>
    <row r="217" ht="15.75" customHeight="1" s="673">
      <c r="A217" s="69" t="n"/>
      <c r="B217" s="131" t="n"/>
      <c r="C217" s="131" t="n"/>
      <c r="D217" s="131" t="n"/>
      <c r="E217" s="69" t="n"/>
      <c r="F217" s="69" t="n"/>
      <c r="G217" s="69" t="n"/>
      <c r="H217" s="69" t="n"/>
      <c r="I217" s="69" t="n"/>
      <c r="J217" s="131" t="n"/>
      <c r="K217" s="131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  <c r="Z217" s="69" t="n"/>
    </row>
    <row r="218" ht="15.75" customHeight="1" s="673">
      <c r="A218" s="69" t="n"/>
      <c r="B218" s="131" t="n"/>
      <c r="C218" s="131" t="n"/>
      <c r="D218" s="131" t="n"/>
      <c r="E218" s="69" t="n"/>
      <c r="F218" s="69" t="n"/>
      <c r="G218" s="69" t="n"/>
      <c r="H218" s="69" t="n"/>
      <c r="I218" s="69" t="n"/>
      <c r="J218" s="131" t="n"/>
      <c r="K218" s="131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</row>
    <row r="219" ht="15.75" customHeight="1" s="673">
      <c r="A219" s="69" t="n"/>
      <c r="B219" s="131" t="n"/>
      <c r="C219" s="131" t="n"/>
      <c r="D219" s="131" t="n"/>
      <c r="E219" s="69" t="n"/>
      <c r="F219" s="69" t="n"/>
      <c r="G219" s="69" t="n"/>
      <c r="H219" s="69" t="n"/>
      <c r="I219" s="69" t="n"/>
      <c r="J219" s="131" t="n"/>
      <c r="K219" s="131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  <c r="Z219" s="69" t="n"/>
    </row>
    <row r="220" ht="15.75" customHeight="1" s="673">
      <c r="A220" s="69" t="n"/>
      <c r="B220" s="131" t="n"/>
      <c r="C220" s="131" t="n"/>
      <c r="D220" s="131" t="n"/>
      <c r="E220" s="69" t="n"/>
      <c r="F220" s="69" t="n"/>
      <c r="G220" s="69" t="n"/>
      <c r="H220" s="69" t="n"/>
      <c r="I220" s="69" t="n"/>
      <c r="J220" s="131" t="n"/>
      <c r="K220" s="131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</row>
    <row r="221" ht="15.75" customHeight="1" s="673">
      <c r="A221" s="69" t="n"/>
      <c r="B221" s="131" t="n"/>
      <c r="C221" s="131" t="n"/>
      <c r="D221" s="131" t="n"/>
      <c r="E221" s="69" t="n"/>
      <c r="F221" s="69" t="n"/>
      <c r="G221" s="69" t="n"/>
      <c r="H221" s="69" t="n"/>
      <c r="I221" s="69" t="n"/>
      <c r="J221" s="131" t="n"/>
      <c r="K221" s="131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</row>
    <row r="222" ht="15.75" customHeight="1" s="673">
      <c r="A222" s="69" t="n"/>
      <c r="B222" s="131" t="n"/>
      <c r="C222" s="131" t="n"/>
      <c r="D222" s="131" t="n"/>
      <c r="E222" s="69" t="n"/>
      <c r="F222" s="69" t="n"/>
      <c r="G222" s="69" t="n"/>
      <c r="H222" s="69" t="n"/>
      <c r="I222" s="69" t="n"/>
      <c r="J222" s="131" t="n"/>
      <c r="K222" s="131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</row>
    <row r="223" ht="15.75" customHeight="1" s="673">
      <c r="A223" s="69" t="n"/>
      <c r="B223" s="131" t="n"/>
      <c r="C223" s="131" t="n"/>
      <c r="D223" s="131" t="n"/>
      <c r="E223" s="69" t="n"/>
      <c r="F223" s="69" t="n"/>
      <c r="G223" s="69" t="n"/>
      <c r="H223" s="69" t="n"/>
      <c r="I223" s="69" t="n"/>
      <c r="J223" s="131" t="n"/>
      <c r="K223" s="131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  <c r="Z223" s="69" t="n"/>
    </row>
    <row r="224" ht="15.75" customHeight="1" s="673">
      <c r="A224" s="69" t="n"/>
      <c r="B224" s="131" t="n"/>
      <c r="C224" s="131" t="n"/>
      <c r="D224" s="131" t="n"/>
      <c r="E224" s="69" t="n"/>
      <c r="F224" s="69" t="n"/>
      <c r="G224" s="69" t="n"/>
      <c r="H224" s="69" t="n"/>
      <c r="I224" s="69" t="n"/>
      <c r="J224" s="131" t="n"/>
      <c r="K224" s="131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</row>
    <row r="225" ht="15.75" customHeight="1" s="673">
      <c r="A225" s="69" t="n"/>
      <c r="B225" s="131" t="n"/>
      <c r="C225" s="131" t="n"/>
      <c r="D225" s="131" t="n"/>
      <c r="E225" s="69" t="n"/>
      <c r="F225" s="69" t="n"/>
      <c r="G225" s="69" t="n"/>
      <c r="H225" s="69" t="n"/>
      <c r="I225" s="69" t="n"/>
      <c r="J225" s="131" t="n"/>
      <c r="K225" s="131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  <c r="Z225" s="69" t="n"/>
    </row>
    <row r="226" ht="15.75" customHeight="1" s="673">
      <c r="A226" s="69" t="n"/>
      <c r="B226" s="131" t="n"/>
      <c r="C226" s="131" t="n"/>
      <c r="D226" s="131" t="n"/>
      <c r="E226" s="69" t="n"/>
      <c r="F226" s="69" t="n"/>
      <c r="G226" s="69" t="n"/>
      <c r="H226" s="69" t="n"/>
      <c r="I226" s="69" t="n"/>
      <c r="J226" s="131" t="n"/>
      <c r="K226" s="131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</row>
    <row r="227" ht="15.75" customHeight="1" s="673">
      <c r="A227" s="69" t="n"/>
      <c r="B227" s="131" t="n"/>
      <c r="C227" s="131" t="n"/>
      <c r="D227" s="131" t="n"/>
      <c r="E227" s="69" t="n"/>
      <c r="F227" s="69" t="n"/>
      <c r="G227" s="69" t="n"/>
      <c r="H227" s="69" t="n"/>
      <c r="I227" s="69" t="n"/>
      <c r="J227" s="131" t="n"/>
      <c r="K227" s="131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  <c r="Z227" s="69" t="n"/>
    </row>
    <row r="228" ht="15.75" customHeight="1" s="673">
      <c r="A228" s="69" t="n"/>
      <c r="B228" s="131" t="n"/>
      <c r="C228" s="131" t="n"/>
      <c r="D228" s="131" t="n"/>
      <c r="E228" s="69" t="n"/>
      <c r="F228" s="69" t="n"/>
      <c r="G228" s="69" t="n"/>
      <c r="H228" s="69" t="n"/>
      <c r="I228" s="69" t="n"/>
      <c r="J228" s="131" t="n"/>
      <c r="K228" s="131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</row>
    <row r="229" ht="15.75" customHeight="1" s="673">
      <c r="A229" s="52" t="n"/>
      <c r="B229" s="52" t="n"/>
      <c r="C229" s="52" t="n"/>
      <c r="D229" s="52" t="n"/>
      <c r="E229" s="52" t="n"/>
      <c r="F229" s="52" t="n"/>
      <c r="G229" s="52" t="n"/>
      <c r="H229" s="52" t="n"/>
      <c r="I229" s="52" t="n"/>
      <c r="J229" s="52" t="n"/>
      <c r="K229" s="52" t="n"/>
      <c r="L229" s="52" t="n"/>
      <c r="M229" s="52" t="n"/>
      <c r="N229" s="52" t="n"/>
      <c r="O229" s="52" t="n"/>
      <c r="P229" s="52" t="n"/>
      <c r="Q229" s="52" t="n"/>
      <c r="R229" s="52" t="n"/>
      <c r="S229" s="52" t="n"/>
      <c r="T229" s="52" t="n"/>
      <c r="U229" s="52" t="n"/>
      <c r="V229" s="52" t="n"/>
      <c r="W229" s="52" t="n"/>
      <c r="X229" s="52" t="n"/>
      <c r="Y229" s="52" t="n"/>
      <c r="Z229" s="52" t="n"/>
    </row>
    <row r="230" ht="15.75" customHeight="1" s="673">
      <c r="A230" s="52" t="n"/>
      <c r="B230" s="52" t="n"/>
      <c r="C230" s="52" t="n"/>
      <c r="D230" s="52" t="n"/>
      <c r="E230" s="52" t="n"/>
      <c r="F230" s="52" t="n"/>
      <c r="G230" s="52" t="n"/>
      <c r="H230" s="52" t="n"/>
      <c r="I230" s="52" t="n"/>
      <c r="J230" s="52" t="n"/>
      <c r="K230" s="52" t="n"/>
      <c r="L230" s="52" t="n"/>
      <c r="M230" s="52" t="n"/>
      <c r="N230" s="52" t="n"/>
      <c r="O230" s="52" t="n"/>
      <c r="P230" s="52" t="n"/>
      <c r="Q230" s="52" t="n"/>
      <c r="R230" s="52" t="n"/>
      <c r="S230" s="52" t="n"/>
      <c r="T230" s="52" t="n"/>
      <c r="U230" s="52" t="n"/>
      <c r="V230" s="52" t="n"/>
      <c r="W230" s="52" t="n"/>
      <c r="X230" s="52" t="n"/>
      <c r="Y230" s="52" t="n"/>
      <c r="Z230" s="52" t="n"/>
    </row>
    <row r="231" ht="15.75" customHeight="1" s="673">
      <c r="A231" s="52" t="n"/>
      <c r="B231" s="52" t="n"/>
      <c r="C231" s="52" t="n"/>
      <c r="D231" s="52" t="n"/>
      <c r="E231" s="52" t="n"/>
      <c r="F231" s="52" t="n"/>
      <c r="G231" s="52" t="n"/>
      <c r="H231" s="52" t="n"/>
      <c r="I231" s="52" t="n"/>
      <c r="J231" s="52" t="n"/>
      <c r="K231" s="52" t="n"/>
      <c r="L231" s="52" t="n"/>
      <c r="M231" s="52" t="n"/>
      <c r="N231" s="52" t="n"/>
      <c r="O231" s="52" t="n"/>
      <c r="P231" s="52" t="n"/>
      <c r="Q231" s="52" t="n"/>
      <c r="R231" s="52" t="n"/>
      <c r="S231" s="52" t="n"/>
      <c r="T231" s="52" t="n"/>
      <c r="U231" s="52" t="n"/>
      <c r="V231" s="52" t="n"/>
      <c r="W231" s="52" t="n"/>
      <c r="X231" s="52" t="n"/>
      <c r="Y231" s="52" t="n"/>
      <c r="Z231" s="52" t="n"/>
    </row>
    <row r="232" ht="15.75" customHeight="1" s="673">
      <c r="A232" s="52" t="n"/>
      <c r="B232" s="52" t="n"/>
      <c r="C232" s="52" t="n"/>
      <c r="D232" s="52" t="n"/>
      <c r="E232" s="52" t="n"/>
      <c r="F232" s="52" t="n"/>
      <c r="G232" s="52" t="n"/>
      <c r="H232" s="52" t="n"/>
      <c r="I232" s="52" t="n"/>
      <c r="J232" s="52" t="n"/>
      <c r="K232" s="52" t="n"/>
      <c r="L232" s="52" t="n"/>
      <c r="M232" s="52" t="n"/>
      <c r="N232" s="52" t="n"/>
      <c r="O232" s="52" t="n"/>
      <c r="P232" s="52" t="n"/>
      <c r="Q232" s="52" t="n"/>
      <c r="R232" s="52" t="n"/>
      <c r="S232" s="52" t="n"/>
      <c r="T232" s="52" t="n"/>
      <c r="U232" s="52" t="n"/>
      <c r="V232" s="52" t="n"/>
      <c r="W232" s="52" t="n"/>
      <c r="X232" s="52" t="n"/>
      <c r="Y232" s="52" t="n"/>
      <c r="Z232" s="52" t="n"/>
    </row>
    <row r="233" ht="15.75" customHeight="1" s="673">
      <c r="A233" s="52" t="n"/>
      <c r="B233" s="52" t="n"/>
      <c r="C233" s="52" t="n"/>
      <c r="D233" s="52" t="n"/>
      <c r="E233" s="52" t="n"/>
      <c r="F233" s="52" t="n"/>
      <c r="G233" s="52" t="n"/>
      <c r="H233" s="52" t="n"/>
      <c r="I233" s="52" t="n"/>
      <c r="J233" s="52" t="n"/>
      <c r="K233" s="52" t="n"/>
      <c r="L233" s="52" t="n"/>
      <c r="M233" s="52" t="n"/>
      <c r="N233" s="52" t="n"/>
      <c r="O233" s="52" t="n"/>
      <c r="P233" s="52" t="n"/>
      <c r="Q233" s="52" t="n"/>
      <c r="R233" s="52" t="n"/>
      <c r="S233" s="52" t="n"/>
      <c r="T233" s="52" t="n"/>
      <c r="U233" s="52" t="n"/>
      <c r="V233" s="52" t="n"/>
      <c r="W233" s="52" t="n"/>
      <c r="X233" s="52" t="n"/>
      <c r="Y233" s="52" t="n"/>
      <c r="Z233" s="52" t="n"/>
    </row>
    <row r="234" ht="15.75" customHeight="1" s="673">
      <c r="A234" s="52" t="n"/>
      <c r="B234" s="52" t="n"/>
      <c r="C234" s="52" t="n"/>
      <c r="D234" s="52" t="n"/>
      <c r="E234" s="52" t="n"/>
      <c r="F234" s="52" t="n"/>
      <c r="G234" s="52" t="n"/>
      <c r="H234" s="52" t="n"/>
      <c r="I234" s="52" t="n"/>
      <c r="J234" s="52" t="n"/>
      <c r="K234" s="52" t="n"/>
      <c r="L234" s="52" t="n"/>
      <c r="M234" s="52" t="n"/>
      <c r="N234" s="52" t="n"/>
      <c r="O234" s="52" t="n"/>
      <c r="P234" s="52" t="n"/>
      <c r="Q234" s="52" t="n"/>
      <c r="R234" s="52" t="n"/>
      <c r="S234" s="52" t="n"/>
      <c r="T234" s="52" t="n"/>
      <c r="U234" s="52" t="n"/>
      <c r="V234" s="52" t="n"/>
      <c r="W234" s="52" t="n"/>
      <c r="X234" s="52" t="n"/>
      <c r="Y234" s="52" t="n"/>
      <c r="Z234" s="52" t="n"/>
    </row>
    <row r="235" ht="15.75" customHeight="1" s="673">
      <c r="A235" s="52" t="n"/>
      <c r="B235" s="52" t="n"/>
      <c r="C235" s="52" t="n"/>
      <c r="D235" s="52" t="n"/>
      <c r="E235" s="52" t="n"/>
      <c r="F235" s="52" t="n"/>
      <c r="G235" s="52" t="n"/>
      <c r="H235" s="52" t="n"/>
      <c r="I235" s="52" t="n"/>
      <c r="J235" s="52" t="n"/>
      <c r="K235" s="52" t="n"/>
      <c r="L235" s="52" t="n"/>
      <c r="M235" s="52" t="n"/>
      <c r="N235" s="52" t="n"/>
      <c r="O235" s="52" t="n"/>
      <c r="P235" s="52" t="n"/>
      <c r="Q235" s="52" t="n"/>
      <c r="R235" s="52" t="n"/>
      <c r="S235" s="52" t="n"/>
      <c r="T235" s="52" t="n"/>
      <c r="U235" s="52" t="n"/>
      <c r="V235" s="52" t="n"/>
      <c r="W235" s="52" t="n"/>
      <c r="X235" s="52" t="n"/>
      <c r="Y235" s="52" t="n"/>
      <c r="Z235" s="52" t="n"/>
    </row>
    <row r="236" ht="15.75" customHeight="1" s="673">
      <c r="A236" s="52" t="n"/>
      <c r="B236" s="52" t="n"/>
      <c r="C236" s="52" t="n"/>
      <c r="D236" s="52" t="n"/>
      <c r="E236" s="52" t="n"/>
      <c r="F236" s="52" t="n"/>
      <c r="G236" s="52" t="n"/>
      <c r="H236" s="52" t="n"/>
      <c r="I236" s="52" t="n"/>
      <c r="J236" s="52" t="n"/>
      <c r="K236" s="52" t="n"/>
      <c r="L236" s="52" t="n"/>
      <c r="M236" s="52" t="n"/>
      <c r="N236" s="52" t="n"/>
      <c r="O236" s="52" t="n"/>
      <c r="P236" s="52" t="n"/>
      <c r="Q236" s="52" t="n"/>
      <c r="R236" s="52" t="n"/>
      <c r="S236" s="52" t="n"/>
      <c r="T236" s="52" t="n"/>
      <c r="U236" s="52" t="n"/>
      <c r="V236" s="52" t="n"/>
      <c r="W236" s="52" t="n"/>
      <c r="X236" s="52" t="n"/>
      <c r="Y236" s="52" t="n"/>
      <c r="Z236" s="52" t="n"/>
    </row>
    <row r="237" ht="15.75" customHeight="1" s="673">
      <c r="A237" s="52" t="n"/>
      <c r="B237" s="52" t="n"/>
      <c r="C237" s="52" t="n"/>
      <c r="D237" s="52" t="n"/>
      <c r="E237" s="52" t="n"/>
      <c r="F237" s="52" t="n"/>
      <c r="G237" s="52" t="n"/>
      <c r="H237" s="52" t="n"/>
      <c r="I237" s="52" t="n"/>
      <c r="J237" s="52" t="n"/>
      <c r="K237" s="52" t="n"/>
      <c r="L237" s="52" t="n"/>
      <c r="M237" s="52" t="n"/>
      <c r="N237" s="52" t="n"/>
      <c r="O237" s="52" t="n"/>
      <c r="P237" s="52" t="n"/>
      <c r="Q237" s="52" t="n"/>
      <c r="R237" s="52" t="n"/>
      <c r="S237" s="52" t="n"/>
      <c r="T237" s="52" t="n"/>
      <c r="U237" s="52" t="n"/>
      <c r="V237" s="52" t="n"/>
      <c r="W237" s="52" t="n"/>
      <c r="X237" s="52" t="n"/>
      <c r="Y237" s="52" t="n"/>
      <c r="Z237" s="52" t="n"/>
    </row>
    <row r="238" ht="15.75" customHeight="1" s="673">
      <c r="A238" s="52" t="n"/>
      <c r="B238" s="52" t="n"/>
      <c r="C238" s="52" t="n"/>
      <c r="D238" s="52" t="n"/>
      <c r="E238" s="52" t="n"/>
      <c r="F238" s="52" t="n"/>
      <c r="G238" s="52" t="n"/>
      <c r="H238" s="52" t="n"/>
      <c r="I238" s="52" t="n"/>
      <c r="J238" s="52" t="n"/>
      <c r="K238" s="52" t="n"/>
      <c r="L238" s="52" t="n"/>
      <c r="M238" s="52" t="n"/>
      <c r="N238" s="52" t="n"/>
      <c r="O238" s="52" t="n"/>
      <c r="P238" s="52" t="n"/>
      <c r="Q238" s="52" t="n"/>
      <c r="R238" s="52" t="n"/>
      <c r="S238" s="52" t="n"/>
      <c r="T238" s="52" t="n"/>
      <c r="U238" s="52" t="n"/>
      <c r="V238" s="52" t="n"/>
      <c r="W238" s="52" t="n"/>
      <c r="X238" s="52" t="n"/>
      <c r="Y238" s="52" t="n"/>
      <c r="Z238" s="52" t="n"/>
    </row>
    <row r="239" ht="15.75" customHeight="1" s="673">
      <c r="A239" s="52" t="n"/>
      <c r="B239" s="52" t="n"/>
      <c r="C239" s="52" t="n"/>
      <c r="D239" s="52" t="n"/>
      <c r="E239" s="52" t="n"/>
      <c r="F239" s="52" t="n"/>
      <c r="G239" s="52" t="n"/>
      <c r="H239" s="52" t="n"/>
      <c r="I239" s="52" t="n"/>
      <c r="J239" s="52" t="n"/>
      <c r="K239" s="52" t="n"/>
      <c r="L239" s="52" t="n"/>
      <c r="M239" s="52" t="n"/>
      <c r="N239" s="52" t="n"/>
      <c r="O239" s="52" t="n"/>
      <c r="P239" s="52" t="n"/>
      <c r="Q239" s="52" t="n"/>
      <c r="R239" s="52" t="n"/>
      <c r="S239" s="52" t="n"/>
      <c r="T239" s="52" t="n"/>
      <c r="U239" s="52" t="n"/>
      <c r="V239" s="52" t="n"/>
      <c r="W239" s="52" t="n"/>
      <c r="X239" s="52" t="n"/>
      <c r="Y239" s="52" t="n"/>
      <c r="Z239" s="52" t="n"/>
    </row>
    <row r="240" ht="15.75" customHeight="1" s="673">
      <c r="A240" s="52" t="n"/>
      <c r="B240" s="52" t="n"/>
      <c r="C240" s="52" t="n"/>
      <c r="D240" s="52" t="n"/>
      <c r="E240" s="52" t="n"/>
      <c r="F240" s="52" t="n"/>
      <c r="G240" s="52" t="n"/>
      <c r="H240" s="52" t="n"/>
      <c r="I240" s="52" t="n"/>
      <c r="J240" s="52" t="n"/>
      <c r="K240" s="52" t="n"/>
      <c r="L240" s="52" t="n"/>
      <c r="M240" s="52" t="n"/>
      <c r="N240" s="52" t="n"/>
      <c r="O240" s="52" t="n"/>
      <c r="P240" s="52" t="n"/>
      <c r="Q240" s="52" t="n"/>
      <c r="R240" s="52" t="n"/>
      <c r="S240" s="52" t="n"/>
      <c r="T240" s="52" t="n"/>
      <c r="U240" s="52" t="n"/>
      <c r="V240" s="52" t="n"/>
      <c r="W240" s="52" t="n"/>
      <c r="X240" s="52" t="n"/>
      <c r="Y240" s="52" t="n"/>
      <c r="Z240" s="52" t="n"/>
    </row>
    <row r="241" ht="15.75" customHeight="1" s="673">
      <c r="A241" s="52" t="n"/>
      <c r="B241" s="52" t="n"/>
      <c r="C241" s="52" t="n"/>
      <c r="D241" s="52" t="n"/>
      <c r="E241" s="52" t="n"/>
      <c r="F241" s="52" t="n"/>
      <c r="G241" s="52" t="n"/>
      <c r="H241" s="52" t="n"/>
      <c r="I241" s="52" t="n"/>
      <c r="J241" s="52" t="n"/>
      <c r="K241" s="52" t="n"/>
      <c r="L241" s="52" t="n"/>
      <c r="M241" s="52" t="n"/>
      <c r="N241" s="52" t="n"/>
      <c r="O241" s="52" t="n"/>
      <c r="P241" s="52" t="n"/>
      <c r="Q241" s="52" t="n"/>
      <c r="R241" s="52" t="n"/>
      <c r="S241" s="52" t="n"/>
      <c r="T241" s="52" t="n"/>
      <c r="U241" s="52" t="n"/>
      <c r="V241" s="52" t="n"/>
      <c r="W241" s="52" t="n"/>
      <c r="X241" s="52" t="n"/>
      <c r="Y241" s="52" t="n"/>
      <c r="Z241" s="52" t="n"/>
    </row>
    <row r="242" ht="15.75" customHeight="1" s="673">
      <c r="A242" s="52" t="n"/>
      <c r="B242" s="52" t="n"/>
      <c r="C242" s="52" t="n"/>
      <c r="D242" s="52" t="n"/>
      <c r="E242" s="52" t="n"/>
      <c r="F242" s="52" t="n"/>
      <c r="G242" s="52" t="n"/>
      <c r="H242" s="52" t="n"/>
      <c r="I242" s="52" t="n"/>
      <c r="J242" s="52" t="n"/>
      <c r="K242" s="52" t="n"/>
      <c r="L242" s="52" t="n"/>
      <c r="M242" s="52" t="n"/>
      <c r="N242" s="52" t="n"/>
      <c r="O242" s="52" t="n"/>
      <c r="P242" s="52" t="n"/>
      <c r="Q242" s="52" t="n"/>
      <c r="R242" s="52" t="n"/>
      <c r="S242" s="52" t="n"/>
      <c r="T242" s="52" t="n"/>
      <c r="U242" s="52" t="n"/>
      <c r="V242" s="52" t="n"/>
      <c r="W242" s="52" t="n"/>
      <c r="X242" s="52" t="n"/>
      <c r="Y242" s="52" t="n"/>
      <c r="Z242" s="52" t="n"/>
    </row>
    <row r="243" ht="15.75" customHeight="1" s="673">
      <c r="A243" s="52" t="n"/>
      <c r="B243" s="52" t="n"/>
      <c r="C243" s="52" t="n"/>
      <c r="D243" s="52" t="n"/>
      <c r="E243" s="52" t="n"/>
      <c r="F243" s="52" t="n"/>
      <c r="G243" s="52" t="n"/>
      <c r="H243" s="52" t="n"/>
      <c r="I243" s="52" t="n"/>
      <c r="J243" s="52" t="n"/>
      <c r="K243" s="52" t="n"/>
      <c r="L243" s="52" t="n"/>
      <c r="M243" s="52" t="n"/>
      <c r="N243" s="52" t="n"/>
      <c r="O243" s="52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2" t="n"/>
    </row>
    <row r="244" ht="15.75" customHeight="1" s="673">
      <c r="A244" s="52" t="n"/>
      <c r="B244" s="52" t="n"/>
      <c r="C244" s="52" t="n"/>
      <c r="D244" s="52" t="n"/>
      <c r="E244" s="52" t="n"/>
      <c r="F244" s="52" t="n"/>
      <c r="G244" s="52" t="n"/>
      <c r="H244" s="52" t="n"/>
      <c r="I244" s="52" t="n"/>
      <c r="J244" s="52" t="n"/>
      <c r="K244" s="52" t="n"/>
      <c r="L244" s="52" t="n"/>
      <c r="M244" s="52" t="n"/>
      <c r="N244" s="52" t="n"/>
      <c r="O244" s="52" t="n"/>
      <c r="P244" s="52" t="n"/>
      <c r="Q244" s="52" t="n"/>
      <c r="R244" s="52" t="n"/>
      <c r="S244" s="52" t="n"/>
      <c r="T244" s="52" t="n"/>
      <c r="U244" s="52" t="n"/>
      <c r="V244" s="52" t="n"/>
      <c r="W244" s="52" t="n"/>
      <c r="X244" s="52" t="n"/>
      <c r="Y244" s="52" t="n"/>
      <c r="Z244" s="52" t="n"/>
    </row>
    <row r="245" ht="15.75" customHeight="1" s="673">
      <c r="A245" s="52" t="n"/>
      <c r="B245" s="52" t="n"/>
      <c r="C245" s="52" t="n"/>
      <c r="D245" s="52" t="n"/>
      <c r="E245" s="52" t="n"/>
      <c r="F245" s="52" t="n"/>
      <c r="G245" s="52" t="n"/>
      <c r="H245" s="52" t="n"/>
      <c r="I245" s="52" t="n"/>
      <c r="J245" s="52" t="n"/>
      <c r="K245" s="52" t="n"/>
      <c r="L245" s="52" t="n"/>
      <c r="M245" s="52" t="n"/>
      <c r="N245" s="52" t="n"/>
      <c r="O245" s="52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2" t="n"/>
    </row>
    <row r="246" ht="15.75" customHeight="1" s="673">
      <c r="A246" s="52" t="n"/>
      <c r="B246" s="52" t="n"/>
      <c r="C246" s="52" t="n"/>
      <c r="D246" s="52" t="n"/>
      <c r="E246" s="52" t="n"/>
      <c r="F246" s="52" t="n"/>
      <c r="G246" s="52" t="n"/>
      <c r="H246" s="52" t="n"/>
      <c r="I246" s="52" t="n"/>
      <c r="J246" s="52" t="n"/>
      <c r="K246" s="52" t="n"/>
      <c r="L246" s="52" t="n"/>
      <c r="M246" s="52" t="n"/>
      <c r="N246" s="52" t="n"/>
      <c r="O246" s="52" t="n"/>
      <c r="P246" s="52" t="n"/>
      <c r="Q246" s="52" t="n"/>
      <c r="R246" s="52" t="n"/>
      <c r="S246" s="52" t="n"/>
      <c r="T246" s="52" t="n"/>
      <c r="U246" s="52" t="n"/>
      <c r="V246" s="52" t="n"/>
      <c r="W246" s="52" t="n"/>
      <c r="X246" s="52" t="n"/>
      <c r="Y246" s="52" t="n"/>
      <c r="Z246" s="52" t="n"/>
    </row>
    <row r="247" ht="15.75" customHeight="1" s="673">
      <c r="A247" s="52" t="n"/>
      <c r="B247" s="52" t="n"/>
      <c r="C247" s="52" t="n"/>
      <c r="D247" s="52" t="n"/>
      <c r="E247" s="52" t="n"/>
      <c r="F247" s="52" t="n"/>
      <c r="G247" s="52" t="n"/>
      <c r="H247" s="52" t="n"/>
      <c r="I247" s="52" t="n"/>
      <c r="J247" s="52" t="n"/>
      <c r="K247" s="52" t="n"/>
      <c r="L247" s="52" t="n"/>
      <c r="M247" s="52" t="n"/>
      <c r="N247" s="52" t="n"/>
      <c r="O247" s="52" t="n"/>
      <c r="P247" s="52" t="n"/>
      <c r="Q247" s="52" t="n"/>
      <c r="R247" s="52" t="n"/>
      <c r="S247" s="52" t="n"/>
      <c r="T247" s="52" t="n"/>
      <c r="U247" s="52" t="n"/>
      <c r="V247" s="52" t="n"/>
      <c r="W247" s="52" t="n"/>
      <c r="X247" s="52" t="n"/>
      <c r="Y247" s="52" t="n"/>
      <c r="Z247" s="52" t="n"/>
    </row>
    <row r="248" ht="15.75" customHeight="1" s="673">
      <c r="A248" s="52" t="n"/>
      <c r="B248" s="52" t="n"/>
      <c r="C248" s="52" t="n"/>
      <c r="D248" s="52" t="n"/>
      <c r="E248" s="52" t="n"/>
      <c r="F248" s="52" t="n"/>
      <c r="G248" s="52" t="n"/>
      <c r="H248" s="52" t="n"/>
      <c r="I248" s="52" t="n"/>
      <c r="J248" s="52" t="n"/>
      <c r="K248" s="52" t="n"/>
      <c r="L248" s="52" t="n"/>
      <c r="M248" s="52" t="n"/>
      <c r="N248" s="52" t="n"/>
      <c r="O248" s="52" t="n"/>
      <c r="P248" s="52" t="n"/>
      <c r="Q248" s="52" t="n"/>
      <c r="R248" s="52" t="n"/>
      <c r="S248" s="52" t="n"/>
      <c r="T248" s="52" t="n"/>
      <c r="U248" s="52" t="n"/>
      <c r="V248" s="52" t="n"/>
      <c r="W248" s="52" t="n"/>
      <c r="X248" s="52" t="n"/>
      <c r="Y248" s="52" t="n"/>
      <c r="Z248" s="52" t="n"/>
    </row>
    <row r="249" ht="15.75" customHeight="1" s="673">
      <c r="A249" s="52" t="n"/>
      <c r="B249" s="52" t="n"/>
      <c r="C249" s="52" t="n"/>
      <c r="D249" s="52" t="n"/>
      <c r="E249" s="52" t="n"/>
      <c r="F249" s="52" t="n"/>
      <c r="G249" s="52" t="n"/>
      <c r="H249" s="52" t="n"/>
      <c r="I249" s="52" t="n"/>
      <c r="J249" s="52" t="n"/>
      <c r="K249" s="52" t="n"/>
      <c r="L249" s="52" t="n"/>
      <c r="M249" s="52" t="n"/>
      <c r="N249" s="52" t="n"/>
      <c r="O249" s="52" t="n"/>
      <c r="P249" s="52" t="n"/>
      <c r="Q249" s="52" t="n"/>
      <c r="R249" s="52" t="n"/>
      <c r="S249" s="52" t="n"/>
      <c r="T249" s="52" t="n"/>
      <c r="U249" s="52" t="n"/>
      <c r="V249" s="52" t="n"/>
      <c r="W249" s="52" t="n"/>
      <c r="X249" s="52" t="n"/>
      <c r="Y249" s="52" t="n"/>
      <c r="Z249" s="52" t="n"/>
    </row>
    <row r="250" ht="15.75" customHeight="1" s="673">
      <c r="A250" s="52" t="n"/>
      <c r="B250" s="52" t="n"/>
      <c r="C250" s="52" t="n"/>
      <c r="D250" s="52" t="n"/>
      <c r="E250" s="52" t="n"/>
      <c r="F250" s="52" t="n"/>
      <c r="G250" s="52" t="n"/>
      <c r="H250" s="52" t="n"/>
      <c r="I250" s="52" t="n"/>
      <c r="J250" s="52" t="n"/>
      <c r="K250" s="52" t="n"/>
      <c r="L250" s="52" t="n"/>
      <c r="M250" s="52" t="n"/>
      <c r="N250" s="52" t="n"/>
      <c r="O250" s="52" t="n"/>
      <c r="P250" s="52" t="n"/>
      <c r="Q250" s="52" t="n"/>
      <c r="R250" s="52" t="n"/>
      <c r="S250" s="52" t="n"/>
      <c r="T250" s="52" t="n"/>
      <c r="U250" s="52" t="n"/>
      <c r="V250" s="52" t="n"/>
      <c r="W250" s="52" t="n"/>
      <c r="X250" s="52" t="n"/>
      <c r="Y250" s="52" t="n"/>
      <c r="Z250" s="52" t="n"/>
    </row>
    <row r="251" ht="15.75" customHeight="1" s="673">
      <c r="A251" s="52" t="n"/>
      <c r="B251" s="52" t="n"/>
      <c r="C251" s="52" t="n"/>
      <c r="D251" s="52" t="n"/>
      <c r="E251" s="52" t="n"/>
      <c r="F251" s="52" t="n"/>
      <c r="G251" s="52" t="n"/>
      <c r="H251" s="52" t="n"/>
      <c r="I251" s="52" t="n"/>
      <c r="J251" s="52" t="n"/>
      <c r="K251" s="52" t="n"/>
      <c r="L251" s="52" t="n"/>
      <c r="M251" s="52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  <c r="X251" s="52" t="n"/>
      <c r="Y251" s="52" t="n"/>
      <c r="Z251" s="52" t="n"/>
    </row>
    <row r="252" ht="15.75" customHeight="1" s="673">
      <c r="A252" s="52" t="n"/>
      <c r="B252" s="52" t="n"/>
      <c r="C252" s="52" t="n"/>
      <c r="D252" s="52" t="n"/>
      <c r="E252" s="52" t="n"/>
      <c r="F252" s="52" t="n"/>
      <c r="G252" s="52" t="n"/>
      <c r="H252" s="52" t="n"/>
      <c r="I252" s="52" t="n"/>
      <c r="J252" s="52" t="n"/>
      <c r="K252" s="52" t="n"/>
      <c r="L252" s="52" t="n"/>
      <c r="M252" s="52" t="n"/>
      <c r="N252" s="52" t="n"/>
      <c r="O252" s="52" t="n"/>
      <c r="P252" s="52" t="n"/>
      <c r="Q252" s="52" t="n"/>
      <c r="R252" s="52" t="n"/>
      <c r="S252" s="52" t="n"/>
      <c r="T252" s="52" t="n"/>
      <c r="U252" s="52" t="n"/>
      <c r="V252" s="52" t="n"/>
      <c r="W252" s="52" t="n"/>
      <c r="X252" s="52" t="n"/>
      <c r="Y252" s="52" t="n"/>
      <c r="Z252" s="52" t="n"/>
    </row>
    <row r="253" ht="15.75" customHeight="1" s="673">
      <c r="A253" s="52" t="n"/>
      <c r="B253" s="52" t="n"/>
      <c r="C253" s="52" t="n"/>
      <c r="D253" s="52" t="n"/>
      <c r="E253" s="52" t="n"/>
      <c r="F253" s="52" t="n"/>
      <c r="G253" s="52" t="n"/>
      <c r="H253" s="52" t="n"/>
      <c r="I253" s="52" t="n"/>
      <c r="J253" s="52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  <c r="X253" s="52" t="n"/>
      <c r="Y253" s="52" t="n"/>
      <c r="Z253" s="52" t="n"/>
    </row>
    <row r="254" ht="15.75" customHeight="1" s="673">
      <c r="A254" s="52" t="n"/>
      <c r="B254" s="52" t="n"/>
      <c r="C254" s="52" t="n"/>
      <c r="D254" s="52" t="n"/>
      <c r="E254" s="52" t="n"/>
      <c r="F254" s="52" t="n"/>
      <c r="G254" s="52" t="n"/>
      <c r="H254" s="52" t="n"/>
      <c r="I254" s="52" t="n"/>
      <c r="J254" s="52" t="n"/>
      <c r="K254" s="52" t="n"/>
      <c r="L254" s="52" t="n"/>
      <c r="M254" s="52" t="n"/>
      <c r="N254" s="52" t="n"/>
      <c r="O254" s="52" t="n"/>
      <c r="P254" s="52" t="n"/>
      <c r="Q254" s="52" t="n"/>
      <c r="R254" s="52" t="n"/>
      <c r="S254" s="52" t="n"/>
      <c r="T254" s="52" t="n"/>
      <c r="U254" s="52" t="n"/>
      <c r="V254" s="52" t="n"/>
      <c r="W254" s="52" t="n"/>
      <c r="X254" s="52" t="n"/>
      <c r="Y254" s="52" t="n"/>
      <c r="Z254" s="52" t="n"/>
    </row>
    <row r="255" ht="15.75" customHeight="1" s="673">
      <c r="A255" s="52" t="n"/>
      <c r="B255" s="52" t="n"/>
      <c r="C255" s="52" t="n"/>
      <c r="D255" s="52" t="n"/>
      <c r="E255" s="52" t="n"/>
      <c r="F255" s="52" t="n"/>
      <c r="G255" s="52" t="n"/>
      <c r="H255" s="52" t="n"/>
      <c r="I255" s="52" t="n"/>
      <c r="J255" s="52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52" t="n"/>
      <c r="T255" s="52" t="n"/>
      <c r="U255" s="52" t="n"/>
      <c r="V255" s="52" t="n"/>
      <c r="W255" s="52" t="n"/>
      <c r="X255" s="52" t="n"/>
      <c r="Y255" s="52" t="n"/>
      <c r="Z255" s="52" t="n"/>
    </row>
    <row r="256" ht="15.75" customHeight="1" s="673">
      <c r="A256" s="52" t="n"/>
      <c r="B256" s="52" t="n"/>
      <c r="C256" s="52" t="n"/>
      <c r="D256" s="52" t="n"/>
      <c r="E256" s="52" t="n"/>
      <c r="F256" s="52" t="n"/>
      <c r="G256" s="52" t="n"/>
      <c r="H256" s="52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  <c r="X256" s="52" t="n"/>
      <c r="Y256" s="52" t="n"/>
      <c r="Z256" s="52" t="n"/>
    </row>
    <row r="257" ht="15.75" customHeight="1" s="673">
      <c r="A257" s="52" t="n"/>
      <c r="B257" s="52" t="n"/>
      <c r="C257" s="52" t="n"/>
      <c r="D257" s="52" t="n"/>
      <c r="E257" s="52" t="n"/>
      <c r="F257" s="52" t="n"/>
      <c r="G257" s="52" t="n"/>
      <c r="H257" s="52" t="n"/>
      <c r="I257" s="52" t="n"/>
      <c r="J257" s="52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  <c r="X257" s="52" t="n"/>
      <c r="Y257" s="52" t="n"/>
      <c r="Z257" s="52" t="n"/>
    </row>
    <row r="258" ht="15.75" customHeight="1" s="673">
      <c r="A258" s="52" t="n"/>
      <c r="B258" s="52" t="n"/>
      <c r="C258" s="52" t="n"/>
      <c r="D258" s="52" t="n"/>
      <c r="E258" s="52" t="n"/>
      <c r="F258" s="52" t="n"/>
      <c r="G258" s="52" t="n"/>
      <c r="H258" s="52" t="n"/>
      <c r="I258" s="52" t="n"/>
      <c r="J258" s="52" t="n"/>
      <c r="K258" s="52" t="n"/>
      <c r="L258" s="52" t="n"/>
      <c r="M258" s="52" t="n"/>
      <c r="N258" s="52" t="n"/>
      <c r="O258" s="52" t="n"/>
      <c r="P258" s="52" t="n"/>
      <c r="Q258" s="52" t="n"/>
      <c r="R258" s="52" t="n"/>
      <c r="S258" s="52" t="n"/>
      <c r="T258" s="52" t="n"/>
      <c r="U258" s="52" t="n"/>
      <c r="V258" s="52" t="n"/>
      <c r="W258" s="52" t="n"/>
      <c r="X258" s="52" t="n"/>
      <c r="Y258" s="52" t="n"/>
      <c r="Z258" s="52" t="n"/>
    </row>
    <row r="259" ht="15.75" customHeight="1" s="673">
      <c r="A259" s="52" t="n"/>
      <c r="B259" s="52" t="n"/>
      <c r="C259" s="52" t="n"/>
      <c r="D259" s="52" t="n"/>
      <c r="E259" s="52" t="n"/>
      <c r="F259" s="52" t="n"/>
      <c r="G259" s="52" t="n"/>
      <c r="H259" s="52" t="n"/>
      <c r="I259" s="52" t="n"/>
      <c r="J259" s="52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  <c r="X259" s="52" t="n"/>
      <c r="Y259" s="52" t="n"/>
      <c r="Z259" s="52" t="n"/>
    </row>
    <row r="260" ht="15.75" customHeight="1" s="673">
      <c r="A260" s="52" t="n"/>
      <c r="B260" s="52" t="n"/>
      <c r="C260" s="52" t="n"/>
      <c r="D260" s="52" t="n"/>
      <c r="E260" s="52" t="n"/>
      <c r="F260" s="52" t="n"/>
      <c r="G260" s="52" t="n"/>
      <c r="H260" s="52" t="n"/>
      <c r="I260" s="52" t="n"/>
      <c r="J260" s="52" t="n"/>
      <c r="K260" s="52" t="n"/>
      <c r="L260" s="52" t="n"/>
      <c r="M260" s="52" t="n"/>
      <c r="N260" s="52" t="n"/>
      <c r="O260" s="52" t="n"/>
      <c r="P260" s="52" t="n"/>
      <c r="Q260" s="52" t="n"/>
      <c r="R260" s="52" t="n"/>
      <c r="S260" s="52" t="n"/>
      <c r="T260" s="52" t="n"/>
      <c r="U260" s="52" t="n"/>
      <c r="V260" s="52" t="n"/>
      <c r="W260" s="52" t="n"/>
      <c r="X260" s="52" t="n"/>
      <c r="Y260" s="52" t="n"/>
      <c r="Z260" s="52" t="n"/>
    </row>
    <row r="261" ht="15.75" customHeight="1" s="673">
      <c r="A261" s="52" t="n"/>
      <c r="B261" s="52" t="n"/>
      <c r="C261" s="52" t="n"/>
      <c r="D261" s="52" t="n"/>
      <c r="E261" s="52" t="n"/>
      <c r="F261" s="52" t="n"/>
      <c r="G261" s="52" t="n"/>
      <c r="H261" s="52" t="n"/>
      <c r="I261" s="52" t="n"/>
      <c r="J261" s="52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  <c r="X261" s="52" t="n"/>
      <c r="Y261" s="52" t="n"/>
      <c r="Z261" s="52" t="n"/>
    </row>
    <row r="262" ht="15.75" customHeight="1" s="673">
      <c r="A262" s="52" t="n"/>
      <c r="B262" s="52" t="n"/>
      <c r="C262" s="52" t="n"/>
      <c r="D262" s="52" t="n"/>
      <c r="E262" s="52" t="n"/>
      <c r="F262" s="52" t="n"/>
      <c r="G262" s="52" t="n"/>
      <c r="H262" s="52" t="n"/>
      <c r="I262" s="52" t="n"/>
      <c r="J262" s="52" t="n"/>
      <c r="K262" s="52" t="n"/>
      <c r="L262" s="52" t="n"/>
      <c r="M262" s="52" t="n"/>
      <c r="N262" s="52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  <c r="X262" s="52" t="n"/>
      <c r="Y262" s="52" t="n"/>
      <c r="Z262" s="52" t="n"/>
    </row>
    <row r="263" ht="15.75" customHeight="1" s="673">
      <c r="A263" s="52" t="n"/>
      <c r="B263" s="52" t="n"/>
      <c r="C263" s="52" t="n"/>
      <c r="D263" s="52" t="n"/>
      <c r="E263" s="52" t="n"/>
      <c r="F263" s="52" t="n"/>
      <c r="G263" s="52" t="n"/>
      <c r="H263" s="52" t="n"/>
      <c r="I263" s="52" t="n"/>
      <c r="J263" s="52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  <c r="X263" s="52" t="n"/>
      <c r="Y263" s="52" t="n"/>
      <c r="Z263" s="52" t="n"/>
    </row>
    <row r="264" ht="15.75" customHeight="1" s="673">
      <c r="A264" s="52" t="n"/>
      <c r="B264" s="52" t="n"/>
      <c r="C264" s="52" t="n"/>
      <c r="D264" s="52" t="n"/>
      <c r="E264" s="52" t="n"/>
      <c r="F264" s="52" t="n"/>
      <c r="G264" s="52" t="n"/>
      <c r="H264" s="52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  <c r="X264" s="52" t="n"/>
      <c r="Y264" s="52" t="n"/>
      <c r="Z264" s="52" t="n"/>
    </row>
    <row r="265" ht="15.75" customHeight="1" s="673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  <c r="Z265" s="52" t="n"/>
    </row>
    <row r="266" ht="15.75" customHeight="1" s="673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</row>
    <row r="267" ht="15.75" customHeight="1" s="673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</row>
    <row r="268" ht="15.75" customHeight="1" s="673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</row>
    <row r="269" ht="15.75" customHeight="1" s="673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pageMargins left="0.5905511811023623" right="0.5905511811023623" top="0.5905511811023623" bottom="0.5905511811023623" header="0" footer="0"/>
  <pageSetup orientation="landscape" paperSize="9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E0C1"/>
    <outlinePr summaryBelow="1" summaryRight="1"/>
    <pageSetUpPr fitToPage="1"/>
  </sheetPr>
  <dimension ref="A1:AE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75" customWidth="1" style="673" min="1" max="1"/>
    <col width="28.75" customWidth="1" style="673" min="2" max="2"/>
    <col width="10.63" customWidth="1" style="673" min="3" max="3"/>
    <col width="10.75" customWidth="1" style="673" min="4" max="4"/>
    <col width="12.75" customWidth="1" style="673" min="5" max="5"/>
    <col width="4.25" customWidth="1" style="673" min="6" max="6"/>
    <col width="21.88" customWidth="1" style="673" min="7" max="7"/>
    <col width="10.63" customWidth="1" style="673" min="8" max="8"/>
    <col width="10.75" customWidth="1" style="673" min="9" max="9"/>
    <col width="12.75" customWidth="1" style="673" min="10" max="10"/>
    <col width="4.25" customWidth="1" style="673" min="11" max="11"/>
    <col width="21.88" customWidth="1" style="673" min="12" max="12"/>
    <col width="10.63" customWidth="1" style="673" min="13" max="13"/>
    <col width="10.75" customWidth="1" style="673" min="14" max="14"/>
    <col width="12.75" customWidth="1" style="673" min="15" max="15"/>
    <col width="4.25" customWidth="1" style="673" min="16" max="16"/>
    <col width="21.88" customWidth="1" style="673" min="17" max="17"/>
    <col width="10.63" customWidth="1" style="673" min="18" max="18"/>
    <col width="10.75" customWidth="1" style="673" min="19" max="19"/>
    <col width="12.75" customWidth="1" style="673" min="20" max="20"/>
    <col width="5.75" customWidth="1" style="673" min="21" max="21"/>
    <col width="14.75" customWidth="1" style="673" min="22" max="22"/>
    <col width="8.880000000000001" customWidth="1" style="673" min="23" max="23"/>
    <col width="8.630000000000001" customWidth="1" style="673" min="24" max="31"/>
  </cols>
  <sheetData>
    <row r="1" hidden="1" s="673">
      <c r="A1" s="69" t="n"/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1" t="n"/>
      <c r="R1" s="131" t="n"/>
      <c r="S1" s="131" t="n"/>
      <c r="T1" s="131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  <c r="AD1" s="69" t="n"/>
      <c r="AE1" s="69" t="n"/>
    </row>
    <row r="2" hidden="1" s="673">
      <c r="A2" s="69" t="n"/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1" t="n"/>
      <c r="S2" s="131" t="n"/>
      <c r="T2" s="131" t="n"/>
      <c r="U2" s="69" t="n"/>
      <c r="V2" s="69" t="n"/>
      <c r="W2" s="69" t="n"/>
      <c r="X2" s="69" t="n"/>
      <c r="Y2" s="69" t="n"/>
      <c r="Z2" s="69" t="n"/>
      <c r="AA2" s="69" t="n"/>
      <c r="AB2" s="69" t="n"/>
      <c r="AC2" s="69" t="n"/>
      <c r="AD2" s="69" t="n"/>
      <c r="AE2" s="69" t="n"/>
    </row>
    <row r="3" hidden="1" s="673">
      <c r="A3" s="69" t="n"/>
      <c r="B3" s="131" t="n"/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1" t="n"/>
      <c r="O3" s="131" t="n"/>
      <c r="P3" s="131" t="n"/>
      <c r="Q3" s="131" t="n"/>
      <c r="R3" s="131" t="n"/>
      <c r="S3" s="131" t="n"/>
      <c r="T3" s="131" t="n"/>
      <c r="U3" s="69" t="n"/>
      <c r="V3" s="69" t="n"/>
      <c r="W3" s="69" t="n"/>
      <c r="X3" s="69" t="n"/>
      <c r="Y3" s="69" t="n"/>
      <c r="Z3" s="69" t="n"/>
      <c r="AA3" s="69" t="n"/>
      <c r="AB3" s="69" t="n"/>
      <c r="AC3" s="69" t="n"/>
      <c r="AD3" s="69" t="n"/>
      <c r="AE3" s="69" t="n"/>
    </row>
    <row r="4" hidden="1" s="673">
      <c r="A4" s="69" t="n"/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69" t="n"/>
      <c r="V4" s="69" t="n"/>
      <c r="W4" s="69" t="n"/>
      <c r="X4" s="69" t="n"/>
      <c r="Y4" s="69" t="n"/>
      <c r="Z4" s="69" t="n"/>
      <c r="AA4" s="69" t="n"/>
      <c r="AB4" s="69" t="n"/>
      <c r="AC4" s="69" t="n"/>
      <c r="AD4" s="69" t="n"/>
      <c r="AE4" s="69" t="n"/>
    </row>
    <row r="5" hidden="1" s="673">
      <c r="A5" s="69" t="n"/>
      <c r="B5" s="131" t="n"/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69" t="n"/>
      <c r="V5" s="69" t="n"/>
      <c r="W5" s="69" t="n"/>
      <c r="X5" s="69" t="n"/>
      <c r="Y5" s="69" t="n"/>
      <c r="Z5" s="69" t="n"/>
      <c r="AA5" s="69" t="n"/>
      <c r="AB5" s="69" t="n"/>
      <c r="AC5" s="69" t="n"/>
      <c r="AD5" s="69" t="n"/>
      <c r="AE5" s="69" t="n"/>
    </row>
    <row r="6">
      <c r="A6" s="69" t="n"/>
      <c r="B6" s="131" t="n"/>
      <c r="C6" s="131" t="n"/>
      <c r="D6" s="131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</row>
    <row r="7">
      <c r="A7" s="69" t="n"/>
      <c r="B7" s="73" t="inlineStr">
        <is>
          <t>CALCIR - HISTÓRICO</t>
        </is>
      </c>
      <c r="C7" s="73" t="n"/>
      <c r="D7" s="73" t="n"/>
      <c r="E7" s="73" t="n"/>
      <c r="F7" s="74" t="n"/>
      <c r="G7" s="73" t="n"/>
      <c r="H7" s="73" t="n"/>
      <c r="I7" s="73" t="n"/>
      <c r="J7" s="73" t="n"/>
      <c r="K7" s="74" t="n"/>
      <c r="L7" s="73" t="n"/>
      <c r="M7" s="73" t="n"/>
      <c r="N7" s="73" t="n"/>
      <c r="O7" s="73" t="n"/>
      <c r="P7" s="74" t="n"/>
      <c r="Q7" s="73" t="n"/>
      <c r="R7" s="73" t="n"/>
      <c r="S7" s="73" t="n"/>
      <c r="T7" s="73">
        <f>RECEITAS!I12</f>
        <v/>
      </c>
      <c r="U7" s="75" t="n"/>
      <c r="V7" s="75" t="n"/>
      <c r="W7" s="75" t="n"/>
      <c r="X7" s="75" t="n"/>
      <c r="Y7" s="75" t="n"/>
      <c r="Z7" s="75" t="n"/>
      <c r="AA7" s="75" t="n"/>
      <c r="AB7" s="75" t="n"/>
      <c r="AC7" s="69" t="n"/>
      <c r="AD7" s="69" t="n"/>
      <c r="AE7" s="69" t="n"/>
    </row>
    <row r="8">
      <c r="A8" s="69" t="n"/>
      <c r="B8" s="153">
        <f>RECEITAS!B13</f>
        <v/>
      </c>
      <c r="C8" s="153" t="n"/>
      <c r="D8" s="153" t="n"/>
      <c r="E8" s="153" t="n"/>
      <c r="F8" s="82" t="n"/>
      <c r="G8" s="153" t="n"/>
      <c r="H8" s="153" t="n"/>
      <c r="I8" s="153" t="n"/>
      <c r="J8" s="153" t="n"/>
      <c r="K8" s="82" t="n"/>
      <c r="L8" s="153" t="n"/>
      <c r="M8" s="153" t="n"/>
      <c r="N8" s="153" t="n"/>
      <c r="O8" s="153" t="n"/>
      <c r="P8" s="69" t="n"/>
      <c r="Q8" s="153" t="n"/>
      <c r="R8" s="153" t="n"/>
      <c r="S8" s="153" t="n"/>
      <c r="T8" s="153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69" t="n"/>
      <c r="AD8" s="69" t="n"/>
      <c r="AE8" s="69" t="n"/>
    </row>
    <row r="9">
      <c r="A9" s="69" t="n"/>
      <c r="B9" s="153" t="n"/>
      <c r="C9" s="153" t="n"/>
      <c r="D9" s="153" t="n"/>
      <c r="E9" s="153" t="n"/>
      <c r="F9" s="82" t="n"/>
      <c r="G9" s="153" t="n"/>
      <c r="H9" s="153" t="n"/>
      <c r="I9" s="153" t="n"/>
      <c r="J9" s="153" t="n"/>
      <c r="K9" s="82" t="n"/>
      <c r="L9" s="153" t="n"/>
      <c r="M9" s="153" t="n"/>
      <c r="N9" s="153" t="n"/>
      <c r="O9" s="153" t="n"/>
      <c r="P9" s="69" t="n"/>
      <c r="Q9" s="153" t="n"/>
      <c r="R9" s="153" t="n"/>
      <c r="S9" s="153" t="n"/>
      <c r="T9" s="153" t="n"/>
      <c r="U9" s="75" t="n"/>
      <c r="V9" s="75" t="n"/>
      <c r="W9" s="75" t="n"/>
      <c r="X9" s="75" t="n"/>
      <c r="Y9" s="75" t="n"/>
      <c r="Z9" s="75" t="n"/>
      <c r="AA9" s="75" t="n"/>
      <c r="AB9" s="75" t="n"/>
      <c r="AC9" s="69" t="n"/>
      <c r="AD9" s="69" t="n"/>
      <c r="AE9" s="69" t="n"/>
    </row>
    <row r="10">
      <c r="A10" s="69" t="n"/>
      <c r="B10" s="710" t="inlineStr">
        <is>
          <t>1° REUNIÃO</t>
        </is>
      </c>
      <c r="F10" s="69" t="n"/>
      <c r="G10" s="710" t="inlineStr">
        <is>
          <t>2° REUNIÃO</t>
        </is>
      </c>
      <c r="K10" s="69" t="n"/>
      <c r="L10" s="710" t="inlineStr">
        <is>
          <t>3° REUNIÃO</t>
        </is>
      </c>
      <c r="P10" s="69" t="n"/>
      <c r="Q10" s="710" t="inlineStr">
        <is>
          <t>4° REUNIÃO</t>
        </is>
      </c>
      <c r="U10" s="69" t="n"/>
      <c r="V10" s="69" t="n"/>
      <c r="W10" s="69" t="n"/>
      <c r="X10" s="69" t="n"/>
      <c r="Y10" s="69" t="n"/>
      <c r="Z10" s="69" t="n"/>
      <c r="AA10" s="69" t="n"/>
      <c r="AB10" s="69" t="n"/>
      <c r="AC10" s="69" t="n"/>
      <c r="AD10" s="69" t="n"/>
      <c r="AE10" s="69" t="n"/>
    </row>
    <row r="11">
      <c r="A11" s="69" t="n"/>
      <c r="B11" s="75" t="n"/>
      <c r="C11" s="75" t="n"/>
      <c r="D11" s="75" t="n"/>
      <c r="E11" s="69" t="n"/>
      <c r="F11" s="69" t="n"/>
      <c r="G11" s="75" t="n"/>
      <c r="H11" s="75" t="n"/>
      <c r="I11" s="75" t="n"/>
      <c r="J11" s="69" t="n"/>
      <c r="K11" s="69" t="n"/>
      <c r="L11" s="75" t="n"/>
      <c r="M11" s="75" t="n"/>
      <c r="N11" s="75" t="n"/>
      <c r="O11" s="69" t="n"/>
      <c r="P11" s="69" t="n"/>
      <c r="Q11" s="75" t="n"/>
      <c r="R11" s="75" t="n"/>
      <c r="S11" s="75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</row>
    <row r="12">
      <c r="A12" s="69" t="n"/>
      <c r="B12" s="385" t="n"/>
      <c r="C12" s="75" t="n"/>
      <c r="D12" s="75" t="n"/>
      <c r="E12" s="386" t="n"/>
      <c r="F12" s="69" t="n"/>
      <c r="G12" s="75" t="n"/>
      <c r="H12" s="75" t="n"/>
      <c r="I12" s="75" t="n"/>
      <c r="J12" s="69" t="n"/>
      <c r="K12" s="69" t="n"/>
      <c r="L12" s="75" t="n"/>
      <c r="M12" s="75" t="n"/>
      <c r="N12" s="75" t="n"/>
      <c r="O12" s="69" t="n"/>
      <c r="P12" s="69" t="n"/>
      <c r="Q12" s="75" t="n"/>
      <c r="R12" s="75" t="n"/>
      <c r="S12" s="75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</row>
    <row r="13">
      <c r="A13" s="69" t="n"/>
      <c r="B13" s="82" t="inlineStr">
        <is>
          <t>Período Inicial</t>
        </is>
      </c>
      <c r="C13" s="387" t="n"/>
      <c r="D13" s="387" t="n"/>
      <c r="E13" s="82" t="inlineStr">
        <is>
          <t>Período Final</t>
        </is>
      </c>
      <c r="F13" s="75" t="n"/>
      <c r="G13" s="82" t="inlineStr">
        <is>
          <t>Período Inicial</t>
        </is>
      </c>
      <c r="H13" s="387" t="n"/>
      <c r="I13" s="387" t="n"/>
      <c r="J13" s="82" t="inlineStr">
        <is>
          <t>Período Final</t>
        </is>
      </c>
      <c r="K13" s="75" t="n"/>
      <c r="L13" s="82" t="inlineStr">
        <is>
          <t>Período Inicial</t>
        </is>
      </c>
      <c r="M13" s="387" t="n"/>
      <c r="N13" s="387" t="n"/>
      <c r="O13" s="82" t="inlineStr">
        <is>
          <t>Período Final</t>
        </is>
      </c>
      <c r="P13" s="75" t="n"/>
      <c r="Q13" s="82" t="inlineStr">
        <is>
          <t>Período Inicial</t>
        </is>
      </c>
      <c r="R13" s="387" t="n"/>
      <c r="S13" s="387" t="n"/>
      <c r="T13" s="82" t="inlineStr">
        <is>
          <t>Período Final</t>
        </is>
      </c>
      <c r="U13" s="75" t="n"/>
      <c r="V13" s="75" t="n"/>
      <c r="W13" s="75" t="n"/>
      <c r="X13" s="75" t="n"/>
      <c r="Y13" s="69" t="n"/>
      <c r="Z13" s="69" t="n"/>
      <c r="AA13" s="69" t="n"/>
      <c r="AB13" s="69" t="n"/>
      <c r="AC13" s="69" t="n"/>
      <c r="AD13" s="69" t="n"/>
      <c r="AE13" s="69" t="n"/>
    </row>
    <row r="14">
      <c r="A14" s="83" t="n"/>
      <c r="B14" s="87" t="n">
        <v>45658</v>
      </c>
      <c r="C14" s="388" t="n"/>
      <c r="D14" s="388" t="n"/>
      <c r="E14" s="87" t="n">
        <v>46022</v>
      </c>
      <c r="F14" s="389" t="n"/>
      <c r="G14" s="87" t="n">
        <v>45292</v>
      </c>
      <c r="H14" s="388" t="n"/>
      <c r="I14" s="388" t="n"/>
      <c r="J14" s="87" t="n">
        <v>45657</v>
      </c>
      <c r="K14" s="389" t="n"/>
      <c r="L14" s="87" t="n"/>
      <c r="M14" s="388" t="n"/>
      <c r="N14" s="388" t="n"/>
      <c r="O14" s="87" t="n"/>
      <c r="P14" s="389" t="n"/>
      <c r="Q14" s="87" t="n"/>
      <c r="R14" s="388" t="n"/>
      <c r="S14" s="388" t="n"/>
      <c r="T14" s="87" t="n"/>
      <c r="U14" s="88" t="n"/>
      <c r="V14" s="75" t="n"/>
      <c r="W14" s="75" t="n"/>
      <c r="X14" s="75" t="n"/>
      <c r="Y14" s="75" t="n"/>
      <c r="Z14" s="75" t="n"/>
      <c r="AA14" s="69" t="n"/>
      <c r="AB14" s="69" t="n"/>
      <c r="AC14" s="69" t="n"/>
      <c r="AD14" s="69" t="n"/>
      <c r="AE14" s="69" t="n"/>
    </row>
    <row r="15">
      <c r="A15" s="83" t="n"/>
      <c r="B15" s="390" t="n"/>
      <c r="C15" s="390" t="n"/>
      <c r="D15" s="390" t="n"/>
      <c r="E15" s="390" t="n"/>
      <c r="F15" s="389" t="n"/>
      <c r="G15" s="390" t="n"/>
      <c r="H15" s="390" t="n"/>
      <c r="I15" s="390" t="n"/>
      <c r="J15" s="390" t="n"/>
      <c r="K15" s="389" t="n"/>
      <c r="L15" s="390" t="n"/>
      <c r="M15" s="390" t="n"/>
      <c r="N15" s="390" t="n"/>
      <c r="O15" s="390" t="n"/>
      <c r="P15" s="389" t="n"/>
      <c r="Q15" s="390" t="n"/>
      <c r="R15" s="390" t="n"/>
      <c r="S15" s="390" t="n"/>
      <c r="T15" s="390" t="n"/>
      <c r="U15" s="88" t="n"/>
      <c r="V15" s="75" t="n"/>
      <c r="W15" s="75" t="n"/>
      <c r="X15" s="75" t="n"/>
      <c r="Y15" s="69" t="n"/>
      <c r="Z15" s="69" t="n"/>
      <c r="AA15" s="69" t="n"/>
      <c r="AB15" s="69" t="n"/>
      <c r="AC15" s="69" t="n"/>
      <c r="AD15" s="69" t="n"/>
      <c r="AE15" s="69" t="n"/>
    </row>
    <row r="16">
      <c r="A16" s="83" t="n"/>
      <c r="B16" s="89" t="n"/>
      <c r="C16" s="89" t="n"/>
      <c r="D16" s="89" t="n"/>
      <c r="E16" s="101" t="n"/>
      <c r="F16" s="391" t="n"/>
      <c r="G16" s="89" t="n"/>
      <c r="H16" s="89" t="n"/>
      <c r="I16" s="89" t="n"/>
      <c r="J16" s="101" t="n"/>
      <c r="K16" s="391" t="n"/>
      <c r="L16" s="89" t="n"/>
      <c r="M16" s="89" t="n"/>
      <c r="N16" s="89" t="n"/>
      <c r="O16" s="101" t="n"/>
      <c r="P16" s="391" t="n"/>
      <c r="Q16" s="89" t="n"/>
      <c r="R16" s="89" t="n"/>
      <c r="S16" s="89" t="n"/>
      <c r="T16" s="101" t="n"/>
      <c r="U16" s="392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</row>
    <row r="17">
      <c r="A17" s="83" t="n"/>
      <c r="B17" s="92" t="inlineStr">
        <is>
          <t>Descrição</t>
        </is>
      </c>
      <c r="C17" s="92" t="inlineStr">
        <is>
          <t>Realizado</t>
        </is>
      </c>
      <c r="D17" s="92" t="inlineStr">
        <is>
          <t>Projetado</t>
        </is>
      </c>
      <c r="E17" s="92">
        <f>CONCAT("Total ",RECEITAS!I12)</f>
        <v/>
      </c>
      <c r="F17" s="391" t="n"/>
      <c r="G17" s="92" t="inlineStr">
        <is>
          <t>Descrição</t>
        </is>
      </c>
      <c r="H17" s="92" t="inlineStr">
        <is>
          <t>Realizado</t>
        </is>
      </c>
      <c r="I17" s="92" t="inlineStr">
        <is>
          <t>Projetado</t>
        </is>
      </c>
      <c r="J17" s="92">
        <f>CONCAT("Total ",RECEITAS!N12)</f>
        <v/>
      </c>
      <c r="K17" s="391" t="n"/>
      <c r="L17" s="92" t="inlineStr">
        <is>
          <t>Descrição</t>
        </is>
      </c>
      <c r="M17" s="92" t="inlineStr">
        <is>
          <t>Realizado</t>
        </is>
      </c>
      <c r="N17" s="92" t="inlineStr">
        <is>
          <t>Projetado</t>
        </is>
      </c>
      <c r="O17" s="92">
        <f>CONCAT("Total ",RECEITAS!S12)</f>
        <v/>
      </c>
      <c r="P17" s="391" t="n"/>
      <c r="Q17" s="92" t="inlineStr">
        <is>
          <t>Descrição</t>
        </is>
      </c>
      <c r="R17" s="92" t="inlineStr">
        <is>
          <t>Realizado</t>
        </is>
      </c>
      <c r="S17" s="92" t="inlineStr">
        <is>
          <t>Projetado</t>
        </is>
      </c>
      <c r="T17" s="92">
        <f>CONCAT("Total ",RECEITAS!X12)</f>
        <v/>
      </c>
      <c r="U17" s="392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</row>
    <row r="18">
      <c r="A18" s="83" t="n"/>
      <c r="B18" s="364" t="inlineStr">
        <is>
          <t>Receitas PF</t>
        </is>
      </c>
      <c r="C18" s="393" t="n">
        <v>0</v>
      </c>
      <c r="D18" s="393" t="n">
        <v>0</v>
      </c>
      <c r="E18" s="393">
        <f>C18+D18</f>
        <v/>
      </c>
      <c r="F18" s="391" t="n"/>
      <c r="G18" s="364" t="inlineStr">
        <is>
          <t>Receitas PF</t>
        </is>
      </c>
      <c r="H18" s="393" t="n">
        <v>0</v>
      </c>
      <c r="I18" s="393" t="n">
        <v>0</v>
      </c>
      <c r="J18" s="393">
        <f>H18+I18</f>
        <v/>
      </c>
      <c r="K18" s="391" t="n"/>
      <c r="L18" s="364" t="inlineStr">
        <is>
          <t>Receitas PF</t>
        </is>
      </c>
      <c r="M18" s="393" t="n"/>
      <c r="N18" s="393" t="n"/>
      <c r="O18" s="393">
        <f>M18+N18</f>
        <v/>
      </c>
      <c r="P18" s="391" t="n"/>
      <c r="Q18" s="364" t="inlineStr">
        <is>
          <t>Receitas PF</t>
        </is>
      </c>
      <c r="R18" s="393" t="n"/>
      <c r="S18" s="393" t="n"/>
      <c r="T18" s="393">
        <f>R18+S18</f>
        <v/>
      </c>
      <c r="U18" s="392" t="n"/>
      <c r="V18" s="6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</row>
    <row r="19">
      <c r="A19" s="83" t="n"/>
      <c r="B19" s="84" t="n"/>
      <c r="C19" s="84" t="n"/>
      <c r="D19" s="84" t="n"/>
      <c r="E19" s="84" t="n"/>
      <c r="F19" s="391" t="n"/>
      <c r="G19" s="84" t="n"/>
      <c r="H19" s="84" t="n"/>
      <c r="I19" s="84" t="n"/>
      <c r="J19" s="84" t="n"/>
      <c r="K19" s="391" t="n"/>
      <c r="L19" s="84" t="n"/>
      <c r="M19" s="84" t="n"/>
      <c r="N19" s="84" t="n"/>
      <c r="O19" s="84" t="n"/>
      <c r="P19" s="391" t="n"/>
      <c r="Q19" s="84" t="n"/>
      <c r="R19" s="84" t="n"/>
      <c r="S19" s="84" t="n"/>
      <c r="T19" s="84" t="n"/>
      <c r="U19" s="392" t="n"/>
      <c r="V19" s="69" t="n"/>
      <c r="W19" s="69" t="n"/>
      <c r="X19" s="69" t="n"/>
      <c r="Y19" s="69" t="n"/>
      <c r="Z19" s="69" t="n"/>
      <c r="AA19" s="69" t="n"/>
      <c r="AB19" s="69" t="n"/>
      <c r="AC19" s="69" t="n"/>
      <c r="AD19" s="69" t="n"/>
      <c r="AE19" s="69" t="n"/>
    </row>
    <row r="20">
      <c r="A20" s="83" t="n"/>
      <c r="B20" s="160" t="inlineStr">
        <is>
          <t>Despesas Totais PF</t>
        </is>
      </c>
      <c r="C20" s="394">
        <f>C21+C22</f>
        <v/>
      </c>
      <c r="D20" s="394">
        <f>D21+D22</f>
        <v/>
      </c>
      <c r="E20" s="394">
        <f>C20+D20</f>
        <v/>
      </c>
      <c r="F20" s="391" t="n"/>
      <c r="G20" s="160" t="inlineStr">
        <is>
          <t>Despesas Totais PF</t>
        </is>
      </c>
      <c r="H20" s="394">
        <f>H21+H22</f>
        <v/>
      </c>
      <c r="I20" s="394">
        <f>I21+I22</f>
        <v/>
      </c>
      <c r="J20" s="394">
        <f>H20+I20</f>
        <v/>
      </c>
      <c r="K20" s="391" t="n"/>
      <c r="L20" s="160" t="inlineStr">
        <is>
          <t>Despesas Totais PF</t>
        </is>
      </c>
      <c r="M20" s="394">
        <f>M21+M22</f>
        <v/>
      </c>
      <c r="N20" s="394">
        <f>N21+N22</f>
        <v/>
      </c>
      <c r="O20" s="394">
        <f>M20+N20</f>
        <v/>
      </c>
      <c r="P20" s="391" t="n"/>
      <c r="Q20" s="160" t="inlineStr">
        <is>
          <t>Despesas Totais PF</t>
        </is>
      </c>
      <c r="R20" s="394">
        <f>R21+R22</f>
        <v/>
      </c>
      <c r="S20" s="394">
        <f>S21+S22</f>
        <v/>
      </c>
      <c r="T20" s="394">
        <f>R20+S20</f>
        <v/>
      </c>
      <c r="U20" s="88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</row>
    <row r="21" ht="15.75" customHeight="1" s="673">
      <c r="A21" s="83" t="n"/>
      <c r="B21" s="123" t="inlineStr">
        <is>
          <t>Operacionais</t>
        </is>
      </c>
      <c r="C21" s="394" t="n"/>
      <c r="D21" s="394" t="n"/>
      <c r="E21" s="394">
        <f>C21+D21</f>
        <v/>
      </c>
      <c r="F21" s="391" t="n"/>
      <c r="G21" s="123" t="inlineStr">
        <is>
          <t>Operacionais</t>
        </is>
      </c>
      <c r="H21" s="394" t="n"/>
      <c r="I21" s="394" t="n"/>
      <c r="J21" s="394">
        <f>H21+I21</f>
        <v/>
      </c>
      <c r="K21" s="391" t="n"/>
      <c r="L21" s="123" t="inlineStr">
        <is>
          <t>Operacionais</t>
        </is>
      </c>
      <c r="M21" s="394" t="n"/>
      <c r="N21" s="394" t="n"/>
      <c r="O21" s="394">
        <f>M21+N21</f>
        <v/>
      </c>
      <c r="P21" s="391" t="n"/>
      <c r="Q21" s="123" t="inlineStr">
        <is>
          <t>Operacionais</t>
        </is>
      </c>
      <c r="R21" s="394" t="n"/>
      <c r="S21" s="394" t="n"/>
      <c r="T21" s="394">
        <f>R21+S21</f>
        <v/>
      </c>
      <c r="U21" s="88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  <c r="AE21" s="75" t="n"/>
    </row>
    <row r="22" ht="15.75" customHeight="1" s="673">
      <c r="A22" s="83" t="n"/>
      <c r="B22" s="123" t="inlineStr">
        <is>
          <t>Imobilizado</t>
        </is>
      </c>
      <c r="C22" s="394" t="n"/>
      <c r="D22" s="394" t="n"/>
      <c r="E22" s="394">
        <f>C22+D22</f>
        <v/>
      </c>
      <c r="F22" s="395" t="n"/>
      <c r="G22" s="123" t="inlineStr">
        <is>
          <t>Imobilizado</t>
        </is>
      </c>
      <c r="H22" s="394" t="n"/>
      <c r="I22" s="394" t="n"/>
      <c r="J22" s="394">
        <f>H22+I22</f>
        <v/>
      </c>
      <c r="K22" s="391" t="n"/>
      <c r="L22" s="123" t="inlineStr">
        <is>
          <t>Imobilizado</t>
        </is>
      </c>
      <c r="M22" s="394" t="n"/>
      <c r="N22" s="394" t="n"/>
      <c r="O22" s="394">
        <f>M22+N22</f>
        <v/>
      </c>
      <c r="P22" s="391" t="n"/>
      <c r="Q22" s="123" t="inlineStr">
        <is>
          <t>Imobilizado</t>
        </is>
      </c>
      <c r="R22" s="394" t="n"/>
      <c r="S22" s="394" t="n"/>
      <c r="T22" s="394">
        <f>R22+S22</f>
        <v/>
      </c>
      <c r="U22" s="88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  <c r="AE22" s="75" t="n"/>
    </row>
    <row r="23" ht="15.75" customHeight="1" s="673">
      <c r="A23" s="83" t="n"/>
      <c r="B23" s="396" t="n"/>
      <c r="C23" s="396" t="n"/>
      <c r="D23" s="89" t="n"/>
      <c r="E23" s="101" t="n"/>
      <c r="F23" s="395" t="n"/>
      <c r="G23" s="396" t="n"/>
      <c r="H23" s="396" t="n"/>
      <c r="I23" s="89" t="n"/>
      <c r="J23" s="101" t="n"/>
      <c r="K23" s="391" t="n"/>
      <c r="L23" s="396" t="n"/>
      <c r="M23" s="396" t="n"/>
      <c r="N23" s="89" t="n"/>
      <c r="O23" s="101" t="n"/>
      <c r="P23" s="391" t="n"/>
      <c r="Q23" s="396" t="n"/>
      <c r="R23" s="396" t="n"/>
      <c r="S23" s="89" t="n"/>
      <c r="T23" s="101" t="n"/>
      <c r="U23" s="88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  <c r="AE23" s="75" t="n"/>
    </row>
    <row r="24" ht="15.75" customHeight="1" s="673">
      <c r="A24" s="83" t="n"/>
      <c r="B24" s="397" t="inlineStr">
        <is>
          <t>Resultado PF</t>
        </is>
      </c>
      <c r="C24" s="398">
        <f>C18-C20</f>
        <v/>
      </c>
      <c r="D24" s="398">
        <f>D18-D20</f>
        <v/>
      </c>
      <c r="E24" s="398">
        <f>E18-E20</f>
        <v/>
      </c>
      <c r="F24" s="395" t="n"/>
      <c r="G24" s="397" t="inlineStr">
        <is>
          <t>Resultado PF</t>
        </is>
      </c>
      <c r="H24" s="398">
        <f>H18-H20</f>
        <v/>
      </c>
      <c r="I24" s="398">
        <f>I18-I20</f>
        <v/>
      </c>
      <c r="J24" s="398">
        <f>J18-J20</f>
        <v/>
      </c>
      <c r="K24" s="391" t="n"/>
      <c r="L24" s="397" t="inlineStr">
        <is>
          <t>Resultado PF</t>
        </is>
      </c>
      <c r="M24" s="398">
        <f>M18-M20</f>
        <v/>
      </c>
      <c r="N24" s="398">
        <f>N18-N20</f>
        <v/>
      </c>
      <c r="O24" s="398">
        <f>O18-O20</f>
        <v/>
      </c>
      <c r="P24" s="391" t="n"/>
      <c r="Q24" s="397" t="inlineStr">
        <is>
          <t>Resultado PF</t>
        </is>
      </c>
      <c r="R24" s="398">
        <f>R18-R20</f>
        <v/>
      </c>
      <c r="S24" s="398">
        <f>S18-S20</f>
        <v/>
      </c>
      <c r="T24" s="398">
        <f>T18-T20</f>
        <v/>
      </c>
      <c r="U24" s="88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</row>
    <row r="25" ht="15.75" customHeight="1" s="673">
      <c r="A25" s="83" t="n"/>
      <c r="B25" s="390" t="n"/>
      <c r="C25" s="390" t="n"/>
      <c r="D25" s="390" t="n"/>
      <c r="E25" s="390" t="n"/>
      <c r="F25" s="395" t="n"/>
      <c r="G25" s="390" t="n"/>
      <c r="H25" s="390" t="n"/>
      <c r="I25" s="390" t="n"/>
      <c r="J25" s="390" t="n"/>
      <c r="K25" s="389" t="n"/>
      <c r="L25" s="390" t="n"/>
      <c r="M25" s="390" t="n"/>
      <c r="N25" s="390" t="n"/>
      <c r="O25" s="390" t="n"/>
      <c r="P25" s="389" t="n"/>
      <c r="Q25" s="390" t="n"/>
      <c r="R25" s="390" t="n"/>
      <c r="S25" s="390" t="n"/>
      <c r="T25" s="390" t="n"/>
      <c r="U25" s="88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</row>
    <row r="26" ht="15.75" customHeight="1" s="673">
      <c r="A26" s="83" t="n"/>
      <c r="B26" s="364" t="inlineStr">
        <is>
          <t>Receitas PJ</t>
        </is>
      </c>
      <c r="C26" s="393" t="n">
        <v>0</v>
      </c>
      <c r="D26" s="393" t="n">
        <v>0</v>
      </c>
      <c r="E26" s="393">
        <f>C26+D26</f>
        <v/>
      </c>
      <c r="F26" s="395" t="n"/>
      <c r="G26" s="364" t="inlineStr">
        <is>
          <t>Receitas PJ</t>
        </is>
      </c>
      <c r="H26" s="393" t="n">
        <v>0</v>
      </c>
      <c r="I26" s="393" t="n">
        <v>0</v>
      </c>
      <c r="J26" s="393">
        <f>H26+I26</f>
        <v/>
      </c>
      <c r="K26" s="391" t="n"/>
      <c r="L26" s="364" t="inlineStr">
        <is>
          <t>Receitas PJ</t>
        </is>
      </c>
      <c r="M26" s="393" t="n"/>
      <c r="N26" s="393" t="n"/>
      <c r="O26" s="393">
        <f>M26+N26</f>
        <v/>
      </c>
      <c r="P26" s="395" t="n"/>
      <c r="Q26" s="364" t="inlineStr">
        <is>
          <t>Receitas PJ</t>
        </is>
      </c>
      <c r="R26" s="393" t="n"/>
      <c r="S26" s="393" t="n"/>
      <c r="T26" s="393">
        <f>R26+S26</f>
        <v/>
      </c>
      <c r="U26" s="88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  <c r="AE26" s="75" t="n"/>
    </row>
    <row r="27" ht="15.75" customHeight="1" s="673">
      <c r="A27" s="83" t="n"/>
      <c r="B27" s="101" t="n"/>
      <c r="C27" s="101" t="n"/>
      <c r="D27" s="101" t="n"/>
      <c r="E27" s="101" t="n"/>
      <c r="F27" s="395" t="n"/>
      <c r="G27" s="388" t="n"/>
      <c r="H27" s="388" t="n"/>
      <c r="I27" s="388" t="n"/>
      <c r="J27" s="388" t="n"/>
      <c r="K27" s="391" t="n"/>
      <c r="L27" s="388" t="n"/>
      <c r="M27" s="388" t="n"/>
      <c r="N27" s="388" t="n"/>
      <c r="O27" s="388" t="n"/>
      <c r="P27" s="395" t="n"/>
      <c r="Q27" s="388" t="n"/>
      <c r="R27" s="388" t="n"/>
      <c r="S27" s="388" t="n"/>
      <c r="T27" s="388" t="n"/>
      <c r="U27" s="88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  <c r="AE27" s="75" t="n"/>
    </row>
    <row r="28" ht="15.75" customHeight="1" s="673">
      <c r="A28" s="83" t="n"/>
      <c r="B28" s="711" t="inlineStr">
        <is>
          <t>RESUMO NEGOCIO</t>
        </is>
      </c>
      <c r="C28" s="712" t="n"/>
      <c r="D28" s="712" t="n"/>
      <c r="E28" s="713" t="n"/>
      <c r="F28" s="395" t="n"/>
      <c r="G28" s="711" t="inlineStr">
        <is>
          <t>RESUMO NEGOCIO</t>
        </is>
      </c>
      <c r="H28" s="712" t="n"/>
      <c r="I28" s="712" t="n"/>
      <c r="J28" s="713" t="n"/>
      <c r="K28" s="391" t="n"/>
      <c r="L28" s="711" t="inlineStr">
        <is>
          <t>RESUMO NEGOCIO</t>
        </is>
      </c>
      <c r="M28" s="712" t="n"/>
      <c r="N28" s="712" t="n"/>
      <c r="O28" s="713" t="n"/>
      <c r="P28" s="395" t="n"/>
      <c r="Q28" s="711" t="inlineStr">
        <is>
          <t>RESUMO NEGOCIO</t>
        </is>
      </c>
      <c r="R28" s="712" t="n"/>
      <c r="S28" s="712" t="n"/>
      <c r="T28" s="713" t="n"/>
      <c r="U28" s="88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</row>
    <row r="29" ht="15.75" customHeight="1" s="673">
      <c r="A29" s="83" t="n"/>
      <c r="B29" s="714" t="n"/>
      <c r="C29" s="715" t="n"/>
      <c r="D29" s="715" t="n"/>
      <c r="E29" s="716" t="n"/>
      <c r="F29" s="395" t="n"/>
      <c r="G29" s="714" t="n"/>
      <c r="H29" s="715" t="n"/>
      <c r="I29" s="715" t="n"/>
      <c r="J29" s="716" t="n"/>
      <c r="K29" s="391" t="n"/>
      <c r="L29" s="714" t="n"/>
      <c r="M29" s="715" t="n"/>
      <c r="N29" s="715" t="n"/>
      <c r="O29" s="716" t="n"/>
      <c r="P29" s="395" t="n"/>
      <c r="Q29" s="714" t="n"/>
      <c r="R29" s="715" t="n"/>
      <c r="S29" s="715" t="n"/>
      <c r="T29" s="716" t="n"/>
      <c r="U29" s="88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</row>
    <row r="30" ht="15.75" customHeight="1" s="673">
      <c r="A30" s="83" t="n"/>
      <c r="B30" s="704" t="inlineStr">
        <is>
          <t>RECEITA</t>
        </is>
      </c>
      <c r="C30" s="678" t="n"/>
      <c r="D30" s="676" t="n"/>
      <c r="E30" s="393" t="n">
        <v>0</v>
      </c>
      <c r="F30" s="395" t="n"/>
      <c r="G30" s="704" t="inlineStr">
        <is>
          <t>RECEITA</t>
        </is>
      </c>
      <c r="H30" s="678" t="n"/>
      <c r="I30" s="676" t="n"/>
      <c r="J30" s="393" t="n">
        <v>0</v>
      </c>
      <c r="K30" s="395" t="n"/>
      <c r="L30" s="704" t="inlineStr">
        <is>
          <t>RECEITA</t>
        </is>
      </c>
      <c r="M30" s="678" t="n"/>
      <c r="N30" s="676" t="n"/>
      <c r="O30" s="393" t="n"/>
      <c r="P30" s="395" t="n"/>
      <c r="Q30" s="704" t="inlineStr">
        <is>
          <t>RECEITA</t>
        </is>
      </c>
      <c r="R30" s="678" t="n"/>
      <c r="S30" s="676" t="n"/>
      <c r="T30" s="393" t="n"/>
      <c r="U30" s="88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</row>
    <row r="31" ht="15.75" customHeight="1" s="673">
      <c r="A31" s="83" t="n"/>
      <c r="B31" s="160" t="inlineStr">
        <is>
          <t>CUSTOS/DESPESAS</t>
        </is>
      </c>
      <c r="C31" s="678" t="n"/>
      <c r="D31" s="676" t="n"/>
      <c r="E31" s="394" t="n">
        <v>0</v>
      </c>
      <c r="F31" s="389" t="n"/>
      <c r="G31" s="160" t="inlineStr">
        <is>
          <t>CUSTOS/DESPESAS</t>
        </is>
      </c>
      <c r="H31" s="678" t="n"/>
      <c r="I31" s="676" t="n"/>
      <c r="J31" s="394" t="n">
        <v>0</v>
      </c>
      <c r="K31" s="389" t="n"/>
      <c r="L31" s="160" t="inlineStr">
        <is>
          <t>CUSTOS/DESPESAS</t>
        </is>
      </c>
      <c r="M31" s="678" t="n"/>
      <c r="N31" s="676" t="n"/>
      <c r="O31" s="394" t="n"/>
      <c r="P31" s="389" t="n"/>
      <c r="Q31" s="160" t="inlineStr">
        <is>
          <t>CUSTOS/DESPESAS</t>
        </is>
      </c>
      <c r="R31" s="678" t="n"/>
      <c r="S31" s="676" t="n"/>
      <c r="T31" s="394" t="n"/>
      <c r="U31" s="88" t="n"/>
      <c r="V31" s="75" t="n"/>
      <c r="W31" s="75" t="n"/>
      <c r="X31" s="75" t="n"/>
      <c r="Y31" s="69" t="n"/>
      <c r="Z31" s="69" t="n"/>
      <c r="AA31" s="69" t="n"/>
      <c r="AB31" s="69" t="n"/>
      <c r="AC31" s="69" t="n"/>
      <c r="AD31" s="69" t="n"/>
      <c r="AE31" s="69" t="n"/>
    </row>
    <row r="32" ht="15.75" customHeight="1" s="673">
      <c r="A32" s="83" t="n"/>
      <c r="B32" s="717" t="inlineStr">
        <is>
          <t>RESULTADO</t>
        </is>
      </c>
      <c r="C32" s="678" t="n"/>
      <c r="D32" s="676" t="n"/>
      <c r="E32" s="407" t="n">
        <v>0</v>
      </c>
      <c r="F32" s="389" t="n"/>
      <c r="G32" s="717" t="inlineStr">
        <is>
          <t>RESULTADO</t>
        </is>
      </c>
      <c r="H32" s="678" t="n"/>
      <c r="I32" s="676" t="n"/>
      <c r="J32" s="407" t="n">
        <v>0</v>
      </c>
      <c r="K32" s="389" t="n"/>
      <c r="L32" s="717" t="inlineStr">
        <is>
          <t>RESULTADO</t>
        </is>
      </c>
      <c r="M32" s="678" t="n"/>
      <c r="N32" s="676" t="n"/>
      <c r="O32" s="407" t="n"/>
      <c r="P32" s="389" t="n"/>
      <c r="Q32" s="717" t="inlineStr">
        <is>
          <t>RESULTADO</t>
        </is>
      </c>
      <c r="R32" s="678" t="n"/>
      <c r="S32" s="676" t="n"/>
      <c r="T32" s="407" t="n"/>
      <c r="U32" s="88" t="n"/>
      <c r="V32" s="69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69" t="n"/>
    </row>
    <row r="33" ht="15.75" customHeight="1" s="673">
      <c r="A33" s="83" t="n"/>
      <c r="B33" s="718" t="inlineStr">
        <is>
          <t>IMPOSTO PAGO</t>
        </is>
      </c>
      <c r="C33" s="678" t="n"/>
      <c r="D33" s="676" t="n"/>
      <c r="E33" s="409" t="n">
        <v>0</v>
      </c>
      <c r="F33" s="389" t="n"/>
      <c r="G33" s="718" t="inlineStr">
        <is>
          <t>IMPOSTO PAGO</t>
        </is>
      </c>
      <c r="H33" s="678" t="n"/>
      <c r="I33" s="676" t="n"/>
      <c r="J33" s="409" t="n">
        <v>0</v>
      </c>
      <c r="K33" s="389" t="n"/>
      <c r="L33" s="718" t="inlineStr">
        <is>
          <t>IMPOSTO PAGO</t>
        </is>
      </c>
      <c r="M33" s="678" t="n"/>
      <c r="N33" s="676" t="n"/>
      <c r="O33" s="409" t="n"/>
      <c r="P33" s="389" t="n"/>
      <c r="Q33" s="718" t="inlineStr">
        <is>
          <t>IMPOSTO PAGO</t>
        </is>
      </c>
      <c r="R33" s="678" t="n"/>
      <c r="S33" s="676" t="n"/>
      <c r="T33" s="409" t="n"/>
      <c r="U33" s="88" t="n"/>
      <c r="V33" s="69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</row>
    <row r="34" ht="15.75" customHeight="1" s="673">
      <c r="A34" s="83" t="n"/>
      <c r="B34" s="410" t="n"/>
      <c r="C34" s="410" t="n"/>
      <c r="D34" s="410" t="n"/>
      <c r="E34" s="410" t="n"/>
      <c r="F34" s="391" t="n"/>
      <c r="G34" s="410" t="n"/>
      <c r="H34" s="410" t="n"/>
      <c r="I34" s="410" t="n"/>
      <c r="J34" s="410" t="n"/>
      <c r="K34" s="391" t="n"/>
      <c r="L34" s="410" t="n"/>
      <c r="M34" s="410" t="n"/>
      <c r="N34" s="410" t="n"/>
      <c r="O34" s="410" t="n"/>
      <c r="P34" s="391" t="n"/>
      <c r="Q34" s="410" t="n"/>
      <c r="R34" s="410" t="n"/>
      <c r="S34" s="410" t="n"/>
      <c r="T34" s="410" t="n"/>
      <c r="U34" s="392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69" t="n"/>
    </row>
    <row r="35" ht="15.75" customHeight="1" s="673">
      <c r="A35" s="83" t="n"/>
      <c r="B35" s="718" t="inlineStr">
        <is>
          <t>ECONOMIA TRIBUTÁRIA</t>
        </is>
      </c>
      <c r="C35" s="678" t="n"/>
      <c r="D35" s="676" t="n"/>
      <c r="E35" s="411" t="n">
        <v>0</v>
      </c>
      <c r="F35" s="389" t="n"/>
      <c r="G35" s="718" t="inlineStr">
        <is>
          <t>ECONOMIA TRIBUTÁRIA</t>
        </is>
      </c>
      <c r="H35" s="678" t="n"/>
      <c r="I35" s="676" t="n"/>
      <c r="J35" s="411" t="n">
        <v>0</v>
      </c>
      <c r="K35" s="389" t="n"/>
      <c r="L35" s="718" t="inlineStr">
        <is>
          <t>ECONOMIA TRIBUTÁRIA</t>
        </is>
      </c>
      <c r="M35" s="678" t="n"/>
      <c r="N35" s="676" t="n"/>
      <c r="O35" s="411" t="n"/>
      <c r="P35" s="389" t="n"/>
      <c r="Q35" s="718" t="inlineStr">
        <is>
          <t>ECONOMIA TRIBUTÁRIA</t>
        </is>
      </c>
      <c r="R35" s="678" t="n"/>
      <c r="S35" s="676" t="n"/>
      <c r="T35" s="411" t="n"/>
      <c r="U35" s="88" t="n"/>
      <c r="V35" s="69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69" t="n"/>
    </row>
    <row r="36" ht="15.75" customHeight="1" s="673">
      <c r="A36" s="69" t="n"/>
      <c r="B36" s="128" t="n"/>
      <c r="C36" s="128" t="n"/>
      <c r="D36" s="128" t="n"/>
      <c r="E36" s="128" t="n"/>
      <c r="F36" s="75" t="n"/>
      <c r="G36" s="128" t="n"/>
      <c r="H36" s="128" t="n"/>
      <c r="I36" s="128" t="n"/>
      <c r="J36" s="128" t="n"/>
      <c r="K36" s="75" t="n"/>
      <c r="L36" s="128" t="n"/>
      <c r="M36" s="128" t="n"/>
      <c r="N36" s="128" t="n"/>
      <c r="O36" s="128" t="n"/>
      <c r="P36" s="75" t="n"/>
      <c r="Q36" s="128" t="n"/>
      <c r="R36" s="128" t="n"/>
      <c r="S36" s="128" t="n"/>
      <c r="T36" s="128" t="n"/>
      <c r="U36" s="75" t="n"/>
      <c r="V36" s="69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69" t="n"/>
    </row>
    <row r="37" ht="15.75" customHeight="1" s="673">
      <c r="A37" s="69" t="n"/>
      <c r="B37" s="75" t="n"/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69" t="n"/>
      <c r="W37" s="69" t="n"/>
      <c r="X37" s="69" t="n"/>
      <c r="Y37" s="69" t="n"/>
      <c r="Z37" s="69" t="n"/>
      <c r="AA37" s="69" t="n"/>
      <c r="AB37" s="69" t="n"/>
      <c r="AC37" s="69" t="n"/>
      <c r="AD37" s="69" t="n"/>
      <c r="AE37" s="69" t="n"/>
    </row>
    <row r="38" ht="15.75" customHeight="1" s="673">
      <c r="A38" s="69" t="n"/>
      <c r="B38" s="75" t="n"/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69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</row>
    <row r="39" ht="15.75" customHeight="1" s="673">
      <c r="A39" s="69" t="n"/>
      <c r="B39" s="75" t="n"/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69" t="n"/>
      <c r="W39" s="69" t="n"/>
      <c r="X39" s="69" t="n"/>
      <c r="Y39" s="69" t="n"/>
      <c r="Z39" s="69" t="n"/>
      <c r="AA39" s="69" t="n"/>
      <c r="AB39" s="69" t="n"/>
      <c r="AC39" s="69" t="n"/>
      <c r="AD39" s="69" t="n"/>
      <c r="AE39" s="69" t="n"/>
    </row>
    <row r="40" ht="15.75" customHeight="1" s="673">
      <c r="A40" s="69" t="n"/>
      <c r="B40" s="710" t="inlineStr">
        <is>
          <t>5° REUNIÃO</t>
        </is>
      </c>
      <c r="F40" s="75" t="n"/>
      <c r="G40" s="710" t="inlineStr">
        <is>
          <t>6° REUNIÃO</t>
        </is>
      </c>
      <c r="K40" s="75" t="n"/>
      <c r="L40" s="710" t="inlineStr">
        <is>
          <t>7° REUNIÃO</t>
        </is>
      </c>
      <c r="P40" s="75" t="n"/>
      <c r="Q40" s="710" t="inlineStr">
        <is>
          <t>8° REUNIÃO</t>
        </is>
      </c>
      <c r="U40" s="75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</row>
    <row r="41" ht="15.75" customHeight="1" s="673">
      <c r="A41" s="69" t="n"/>
      <c r="B41" s="131" t="n"/>
      <c r="C41" s="131" t="n"/>
      <c r="D41" s="131" t="n"/>
      <c r="E41" s="131" t="n"/>
      <c r="F41" s="131" t="n"/>
      <c r="G41" s="131" t="n"/>
      <c r="H41" s="131" t="n"/>
      <c r="I41" s="131" t="n"/>
      <c r="J41" s="131" t="n"/>
      <c r="K41" s="131" t="n"/>
      <c r="L41" s="131" t="n"/>
      <c r="M41" s="131" t="n"/>
      <c r="N41" s="131" t="n"/>
      <c r="O41" s="131" t="n"/>
      <c r="P41" s="131" t="n"/>
      <c r="Q41" s="131" t="n"/>
      <c r="R41" s="131" t="n"/>
      <c r="S41" s="131" t="n"/>
      <c r="T41" s="131" t="n"/>
      <c r="U41" s="69" t="n"/>
      <c r="V41" s="69" t="n"/>
      <c r="W41" s="69" t="n"/>
      <c r="X41" s="69" t="n"/>
      <c r="Y41" s="69" t="n"/>
      <c r="Z41" s="69" t="n"/>
      <c r="AA41" s="69" t="n"/>
      <c r="AB41" s="69" t="n"/>
      <c r="AC41" s="69" t="n"/>
      <c r="AD41" s="69" t="n"/>
      <c r="AE41" s="69" t="n"/>
    </row>
    <row r="42" ht="15.75" customHeight="1" s="673">
      <c r="A42" s="69" t="n"/>
      <c r="B42" s="75" t="n"/>
      <c r="C42" s="75" t="n"/>
      <c r="D42" s="75" t="n"/>
      <c r="E42" s="69" t="n"/>
      <c r="F42" s="75" t="n"/>
      <c r="G42" s="75" t="n"/>
      <c r="H42" s="75" t="n"/>
      <c r="I42" s="75" t="n"/>
      <c r="J42" s="69" t="n"/>
      <c r="K42" s="75" t="n"/>
      <c r="L42" s="75" t="n"/>
      <c r="M42" s="75" t="n"/>
      <c r="N42" s="75" t="n"/>
      <c r="O42" s="69" t="n"/>
      <c r="P42" s="75" t="n"/>
      <c r="Q42" s="75" t="n"/>
      <c r="R42" s="75" t="n"/>
      <c r="S42" s="75" t="n"/>
      <c r="T42" s="69" t="n"/>
      <c r="U42" s="75" t="n"/>
      <c r="V42" s="69" t="n"/>
      <c r="W42" s="69" t="n"/>
      <c r="X42" s="69" t="n"/>
      <c r="Y42" s="69" t="n"/>
      <c r="Z42" s="69" t="n"/>
      <c r="AA42" s="69" t="n"/>
      <c r="AB42" s="69" t="n"/>
      <c r="AC42" s="69" t="n"/>
      <c r="AD42" s="69" t="n"/>
      <c r="AE42" s="69" t="n"/>
    </row>
    <row r="43" ht="15.75" customHeight="1" s="673">
      <c r="A43" s="69" t="n"/>
      <c r="B43" s="82" t="inlineStr">
        <is>
          <t>Período Inicial</t>
        </is>
      </c>
      <c r="C43" s="387" t="n"/>
      <c r="D43" s="387" t="n"/>
      <c r="E43" s="82" t="inlineStr">
        <is>
          <t>Período Final</t>
        </is>
      </c>
      <c r="F43" s="75" t="n"/>
      <c r="G43" s="82" t="inlineStr">
        <is>
          <t>Período Inicial</t>
        </is>
      </c>
      <c r="H43" s="387" t="n"/>
      <c r="I43" s="387" t="n"/>
      <c r="J43" s="82" t="inlineStr">
        <is>
          <t>Período Final</t>
        </is>
      </c>
      <c r="K43" s="75" t="n"/>
      <c r="L43" s="82" t="inlineStr">
        <is>
          <t>Período Inicial</t>
        </is>
      </c>
      <c r="M43" s="387" t="n"/>
      <c r="N43" s="387" t="n"/>
      <c r="O43" s="82" t="inlineStr">
        <is>
          <t>Período Final</t>
        </is>
      </c>
      <c r="P43" s="75" t="n"/>
      <c r="Q43" s="82" t="inlineStr">
        <is>
          <t>Período Inicial</t>
        </is>
      </c>
      <c r="R43" s="387" t="n"/>
      <c r="S43" s="387" t="n"/>
      <c r="T43" s="82" t="inlineStr">
        <is>
          <t>Período Final</t>
        </is>
      </c>
      <c r="U43" s="75" t="n"/>
      <c r="V43" s="69" t="n"/>
      <c r="W43" s="69" t="n"/>
      <c r="X43" s="69" t="n"/>
      <c r="Y43" s="69" t="n"/>
      <c r="Z43" s="69" t="n"/>
      <c r="AA43" s="69" t="n"/>
      <c r="AB43" s="69" t="n"/>
      <c r="AC43" s="69" t="n"/>
      <c r="AD43" s="69" t="n"/>
      <c r="AE43" s="69" t="n"/>
    </row>
    <row r="44" ht="15.75" customHeight="1" s="673">
      <c r="A44" s="83" t="n"/>
      <c r="B44" s="86" t="n"/>
      <c r="C44" s="388" t="n"/>
      <c r="D44" s="388" t="n"/>
      <c r="E44" s="412" t="n"/>
      <c r="F44" s="389" t="n"/>
      <c r="G44" s="86" t="n"/>
      <c r="H44" s="388" t="n"/>
      <c r="I44" s="388" t="n"/>
      <c r="J44" s="412" t="n"/>
      <c r="K44" s="389" t="n"/>
      <c r="L44" s="86" t="n"/>
      <c r="M44" s="388" t="n"/>
      <c r="N44" s="388" t="n"/>
      <c r="O44" s="412" t="n"/>
      <c r="P44" s="389" t="n"/>
      <c r="Q44" s="86" t="n"/>
      <c r="R44" s="388" t="n"/>
      <c r="S44" s="388" t="n"/>
      <c r="T44" s="412" t="n"/>
      <c r="U44" s="88" t="n"/>
      <c r="V44" s="69" t="n"/>
      <c r="W44" s="69" t="n"/>
      <c r="X44" s="69" t="n"/>
      <c r="Y44" s="69" t="n"/>
      <c r="Z44" s="69" t="n"/>
      <c r="AA44" s="69" t="n"/>
      <c r="AB44" s="69" t="n"/>
      <c r="AC44" s="69" t="n"/>
      <c r="AD44" s="69" t="n"/>
      <c r="AE44" s="69" t="n"/>
    </row>
    <row r="45" ht="15.75" customHeight="1" s="673">
      <c r="A45" s="83" t="n"/>
      <c r="B45" s="390" t="n"/>
      <c r="C45" s="390" t="n"/>
      <c r="D45" s="390" t="n"/>
      <c r="E45" s="390" t="n"/>
      <c r="F45" s="389" t="n"/>
      <c r="G45" s="390" t="n"/>
      <c r="H45" s="390" t="n"/>
      <c r="I45" s="390" t="n"/>
      <c r="J45" s="390" t="n"/>
      <c r="K45" s="389" t="n"/>
      <c r="L45" s="390" t="n"/>
      <c r="M45" s="390" t="n"/>
      <c r="N45" s="390" t="n"/>
      <c r="O45" s="390" t="n"/>
      <c r="P45" s="389" t="n"/>
      <c r="Q45" s="390" t="n"/>
      <c r="R45" s="390" t="n"/>
      <c r="S45" s="390" t="n"/>
      <c r="T45" s="390" t="n"/>
      <c r="U45" s="88" t="n"/>
      <c r="V45" s="69" t="n"/>
      <c r="W45" s="69" t="n"/>
      <c r="X45" s="69" t="n"/>
      <c r="Y45" s="69" t="n"/>
      <c r="Z45" s="69" t="n"/>
      <c r="AA45" s="69" t="n"/>
      <c r="AB45" s="69" t="n"/>
      <c r="AC45" s="69" t="n"/>
      <c r="AD45" s="69" t="n"/>
      <c r="AE45" s="69" t="n"/>
    </row>
    <row r="46" ht="15.75" customHeight="1" s="673">
      <c r="A46" s="83" t="n"/>
      <c r="B46" s="92" t="inlineStr">
        <is>
          <t>Descrição</t>
        </is>
      </c>
      <c r="C46" s="92" t="inlineStr">
        <is>
          <t>Realizado</t>
        </is>
      </c>
      <c r="D46" s="92" t="inlineStr">
        <is>
          <t>Projetado</t>
        </is>
      </c>
      <c r="E46" s="92">
        <f>CONCAT("Total ",RECEITAS!I41)</f>
        <v/>
      </c>
      <c r="F46" s="389" t="n"/>
      <c r="G46" s="92" t="inlineStr">
        <is>
          <t>Descrição</t>
        </is>
      </c>
      <c r="H46" s="92" t="inlineStr">
        <is>
          <t>Realizado</t>
        </is>
      </c>
      <c r="I46" s="92" t="inlineStr">
        <is>
          <t>Projetado</t>
        </is>
      </c>
      <c r="J46" s="92">
        <f>CONCAT("Total ",RECEITAS!N41)</f>
        <v/>
      </c>
      <c r="K46" s="389" t="n"/>
      <c r="L46" s="92" t="inlineStr">
        <is>
          <t>Descrição</t>
        </is>
      </c>
      <c r="M46" s="92" t="inlineStr">
        <is>
          <t>Realizado</t>
        </is>
      </c>
      <c r="N46" s="92" t="inlineStr">
        <is>
          <t>Projetado</t>
        </is>
      </c>
      <c r="O46" s="92">
        <f>CONCAT("Total ",RECEITAS!S41)</f>
        <v/>
      </c>
      <c r="P46" s="389" t="n"/>
      <c r="Q46" s="92" t="inlineStr">
        <is>
          <t>Descrição</t>
        </is>
      </c>
      <c r="R46" s="92" t="inlineStr">
        <is>
          <t>Realizado</t>
        </is>
      </c>
      <c r="S46" s="92" t="inlineStr">
        <is>
          <t>Projetado</t>
        </is>
      </c>
      <c r="T46" s="92">
        <f>CONCAT("Total ",RECEITAS!X41)</f>
        <v/>
      </c>
      <c r="U46" s="88" t="n"/>
      <c r="V46" s="69" t="n"/>
      <c r="W46" s="69" t="n"/>
      <c r="X46" s="69" t="n"/>
      <c r="Y46" s="69" t="n"/>
      <c r="Z46" s="69" t="n"/>
      <c r="AA46" s="69" t="n"/>
      <c r="AB46" s="69" t="n"/>
      <c r="AC46" s="69" t="n"/>
      <c r="AD46" s="69" t="n"/>
      <c r="AE46" s="69" t="n"/>
    </row>
    <row r="47" ht="15.75" customHeight="1" s="673">
      <c r="A47" s="83" t="n"/>
      <c r="B47" s="364" t="inlineStr">
        <is>
          <t>Receitas PF</t>
        </is>
      </c>
      <c r="C47" s="393" t="n"/>
      <c r="D47" s="393" t="n"/>
      <c r="E47" s="393">
        <f>C47+D47</f>
        <v/>
      </c>
      <c r="F47" s="389" t="n"/>
      <c r="G47" s="364" t="inlineStr">
        <is>
          <t>Receitas PF</t>
        </is>
      </c>
      <c r="H47" s="393" t="n"/>
      <c r="I47" s="393" t="n"/>
      <c r="J47" s="393">
        <f>H47+I47</f>
        <v/>
      </c>
      <c r="K47" s="389" t="n"/>
      <c r="L47" s="364" t="inlineStr">
        <is>
          <t>Receitas PF</t>
        </is>
      </c>
      <c r="M47" s="393" t="n"/>
      <c r="N47" s="393" t="n"/>
      <c r="O47" s="393">
        <f>M47+N47</f>
        <v/>
      </c>
      <c r="P47" s="389" t="n"/>
      <c r="Q47" s="364" t="inlineStr">
        <is>
          <t>Receitas PF</t>
        </is>
      </c>
      <c r="R47" s="393" t="n"/>
      <c r="S47" s="393" t="n"/>
      <c r="T47" s="393">
        <f>R47+S47</f>
        <v/>
      </c>
      <c r="U47" s="88" t="n"/>
      <c r="V47" s="69" t="n"/>
      <c r="W47" s="69" t="n"/>
      <c r="X47" s="69" t="n"/>
      <c r="Y47" s="69" t="n"/>
      <c r="Z47" s="69" t="n"/>
      <c r="AA47" s="69" t="n"/>
      <c r="AB47" s="69" t="n"/>
      <c r="AC47" s="69" t="n"/>
      <c r="AD47" s="69" t="n"/>
      <c r="AE47" s="69" t="n"/>
    </row>
    <row r="48" ht="15.75" customHeight="1" s="673">
      <c r="A48" s="83" t="n"/>
      <c r="B48" s="84" t="n"/>
      <c r="C48" s="84" t="n"/>
      <c r="D48" s="84" t="n"/>
      <c r="E48" s="84" t="n"/>
      <c r="F48" s="389" t="n"/>
      <c r="G48" s="84" t="n"/>
      <c r="H48" s="84" t="n"/>
      <c r="I48" s="84" t="n"/>
      <c r="J48" s="84" t="n"/>
      <c r="K48" s="389" t="n"/>
      <c r="L48" s="84" t="n"/>
      <c r="M48" s="84" t="n"/>
      <c r="N48" s="84" t="n"/>
      <c r="O48" s="84" t="n"/>
      <c r="P48" s="389" t="n"/>
      <c r="Q48" s="84" t="n"/>
      <c r="R48" s="84" t="n"/>
      <c r="S48" s="84" t="n"/>
      <c r="T48" s="84" t="n"/>
      <c r="U48" s="88" t="n"/>
      <c r="V48" s="69" t="n"/>
      <c r="W48" s="69" t="n"/>
      <c r="X48" s="69" t="n"/>
      <c r="Y48" s="69" t="n"/>
      <c r="Z48" s="69" t="n"/>
      <c r="AA48" s="69" t="n"/>
      <c r="AB48" s="69" t="n"/>
      <c r="AC48" s="69" t="n"/>
      <c r="AD48" s="69" t="n"/>
      <c r="AE48" s="69" t="n"/>
    </row>
    <row r="49" ht="15.75" customHeight="1" s="673">
      <c r="A49" s="83" t="n"/>
      <c r="B49" s="160" t="inlineStr">
        <is>
          <t>Despesas Totais PF</t>
        </is>
      </c>
      <c r="C49" s="394">
        <f>C50+C51</f>
        <v/>
      </c>
      <c r="D49" s="394">
        <f>D50+D51</f>
        <v/>
      </c>
      <c r="E49" s="394">
        <f>C49+D49</f>
        <v/>
      </c>
      <c r="F49" s="389" t="n"/>
      <c r="G49" s="160" t="inlineStr">
        <is>
          <t>Despesas Totais PF</t>
        </is>
      </c>
      <c r="H49" s="394">
        <f>H50+H51</f>
        <v/>
      </c>
      <c r="I49" s="394">
        <f>I50+I51</f>
        <v/>
      </c>
      <c r="J49" s="394">
        <f>J50+J51</f>
        <v/>
      </c>
      <c r="K49" s="389" t="n"/>
      <c r="L49" s="160" t="inlineStr">
        <is>
          <t>Despesas Totais PF</t>
        </is>
      </c>
      <c r="M49" s="394">
        <f>M50+M51</f>
        <v/>
      </c>
      <c r="N49" s="394">
        <f>N50+N51</f>
        <v/>
      </c>
      <c r="O49" s="394">
        <f>M49+N49</f>
        <v/>
      </c>
      <c r="P49" s="389" t="n"/>
      <c r="Q49" s="160" t="inlineStr">
        <is>
          <t>Despesas Totais PF</t>
        </is>
      </c>
      <c r="R49" s="394">
        <f>R50+R51</f>
        <v/>
      </c>
      <c r="S49" s="394">
        <f>S50+S51</f>
        <v/>
      </c>
      <c r="T49" s="394">
        <f>R49+S49</f>
        <v/>
      </c>
      <c r="U49" s="88" t="n"/>
      <c r="V49" s="75" t="n"/>
      <c r="W49" s="75" t="n"/>
      <c r="X49" s="75" t="n"/>
      <c r="Y49" s="75" t="n"/>
      <c r="Z49" s="75" t="n"/>
      <c r="AA49" s="75" t="n"/>
      <c r="AB49" s="75" t="n"/>
      <c r="AC49" s="69" t="n"/>
      <c r="AD49" s="69" t="n"/>
      <c r="AE49" s="69" t="n"/>
    </row>
    <row r="50" ht="15.75" customHeight="1" s="673">
      <c r="A50" s="83" t="n"/>
      <c r="B50" s="123" t="inlineStr">
        <is>
          <t>Operacionais</t>
        </is>
      </c>
      <c r="C50" s="394" t="n"/>
      <c r="D50" s="394" t="n"/>
      <c r="E50" s="394">
        <f>C50+D50</f>
        <v/>
      </c>
      <c r="F50" s="389" t="n"/>
      <c r="G50" s="123" t="inlineStr">
        <is>
          <t>Operacionais</t>
        </is>
      </c>
      <c r="H50" s="394" t="n"/>
      <c r="I50" s="394" t="n"/>
      <c r="J50" s="394">
        <f>H50+I50</f>
        <v/>
      </c>
      <c r="K50" s="389" t="n"/>
      <c r="L50" s="123" t="inlineStr">
        <is>
          <t>Operacionais</t>
        </is>
      </c>
      <c r="M50" s="394" t="n"/>
      <c r="N50" s="394" t="n"/>
      <c r="O50" s="394">
        <f>M50+N50</f>
        <v/>
      </c>
      <c r="P50" s="389" t="n"/>
      <c r="Q50" s="123" t="inlineStr">
        <is>
          <t>Operacionais</t>
        </is>
      </c>
      <c r="R50" s="394" t="n"/>
      <c r="S50" s="394" t="n"/>
      <c r="T50" s="394">
        <f>R50+S50</f>
        <v/>
      </c>
      <c r="U50" s="88" t="n"/>
      <c r="V50" s="75" t="n"/>
      <c r="W50" s="75" t="n"/>
      <c r="X50" s="75" t="n"/>
      <c r="Y50" s="75" t="n"/>
      <c r="Z50" s="75" t="n"/>
      <c r="AA50" s="75" t="n"/>
      <c r="AB50" s="75" t="n"/>
      <c r="AC50" s="69" t="n"/>
      <c r="AD50" s="69" t="n"/>
      <c r="AE50" s="69" t="n"/>
    </row>
    <row r="51" ht="15.75" customHeight="1" s="673">
      <c r="A51" s="83" t="n"/>
      <c r="B51" s="123" t="inlineStr">
        <is>
          <t>Imobilizado</t>
        </is>
      </c>
      <c r="C51" s="394" t="n"/>
      <c r="D51" s="394" t="n"/>
      <c r="E51" s="394">
        <f>C51+D51</f>
        <v/>
      </c>
      <c r="F51" s="389" t="n"/>
      <c r="G51" s="123" t="inlineStr">
        <is>
          <t>Imobilizado</t>
        </is>
      </c>
      <c r="H51" s="394" t="n"/>
      <c r="I51" s="394" t="n"/>
      <c r="J51" s="394">
        <f>H51+I51</f>
        <v/>
      </c>
      <c r="K51" s="389" t="n"/>
      <c r="L51" s="123" t="inlineStr">
        <is>
          <t>Imobilizado</t>
        </is>
      </c>
      <c r="M51" s="394" t="n"/>
      <c r="N51" s="394" t="n"/>
      <c r="O51" s="394">
        <f>M51+N51</f>
        <v/>
      </c>
      <c r="P51" s="389" t="n"/>
      <c r="Q51" s="123" t="inlineStr">
        <is>
          <t>Imobilizado</t>
        </is>
      </c>
      <c r="R51" s="394" t="n"/>
      <c r="S51" s="394" t="n"/>
      <c r="T51" s="394">
        <f>R51+S51</f>
        <v/>
      </c>
      <c r="U51" s="88" t="n"/>
      <c r="V51" s="75" t="n"/>
      <c r="W51" s="75" t="n"/>
      <c r="X51" s="75" t="n"/>
      <c r="Y51" s="75" t="n"/>
      <c r="Z51" s="75" t="n"/>
      <c r="AA51" s="75" t="n"/>
      <c r="AB51" s="75" t="n"/>
      <c r="AC51" s="69" t="n"/>
      <c r="AD51" s="69" t="n"/>
      <c r="AE51" s="69" t="n"/>
    </row>
    <row r="52" ht="15.75" customHeight="1" s="673">
      <c r="A52" s="83" t="n"/>
      <c r="B52" s="396" t="n"/>
      <c r="C52" s="396" t="n"/>
      <c r="D52" s="89" t="n"/>
      <c r="E52" s="101" t="n"/>
      <c r="F52" s="389" t="n"/>
      <c r="G52" s="396" t="n"/>
      <c r="H52" s="396" t="n"/>
      <c r="I52" s="89" t="n"/>
      <c r="J52" s="101" t="n"/>
      <c r="K52" s="389" t="n"/>
      <c r="L52" s="396" t="n"/>
      <c r="M52" s="396" t="n"/>
      <c r="N52" s="89" t="n"/>
      <c r="O52" s="101" t="n"/>
      <c r="P52" s="389" t="n"/>
      <c r="Q52" s="396" t="n"/>
      <c r="R52" s="396" t="n"/>
      <c r="S52" s="89" t="n"/>
      <c r="T52" s="101" t="n"/>
      <c r="U52" s="88" t="n"/>
      <c r="V52" s="75" t="n"/>
      <c r="W52" s="75" t="n"/>
      <c r="X52" s="75" t="n"/>
      <c r="Y52" s="75" t="n"/>
      <c r="Z52" s="75" t="n"/>
      <c r="AA52" s="75" t="n"/>
      <c r="AB52" s="75" t="n"/>
      <c r="AC52" s="69" t="n"/>
      <c r="AD52" s="69" t="n"/>
      <c r="AE52" s="69" t="n"/>
    </row>
    <row r="53" ht="15.75" customHeight="1" s="673">
      <c r="A53" s="83" t="n"/>
      <c r="B53" s="397" t="inlineStr">
        <is>
          <t>Resultado PF</t>
        </is>
      </c>
      <c r="C53" s="398">
        <f>C47-C49</f>
        <v/>
      </c>
      <c r="D53" s="398">
        <f>D47-D49</f>
        <v/>
      </c>
      <c r="E53" s="398">
        <f>E47-E49</f>
        <v/>
      </c>
      <c r="F53" s="389" t="n"/>
      <c r="G53" s="397" t="inlineStr">
        <is>
          <t>Resultado PF</t>
        </is>
      </c>
      <c r="H53" s="398">
        <f>H47-H49</f>
        <v/>
      </c>
      <c r="I53" s="398">
        <f>I47-I49</f>
        <v/>
      </c>
      <c r="J53" s="398">
        <f>J47-J49</f>
        <v/>
      </c>
      <c r="K53" s="389" t="n"/>
      <c r="L53" s="397" t="inlineStr">
        <is>
          <t>Resultado PF</t>
        </is>
      </c>
      <c r="M53" s="398">
        <f>M47-M49</f>
        <v/>
      </c>
      <c r="N53" s="398">
        <f>N47-N49</f>
        <v/>
      </c>
      <c r="O53" s="398">
        <f>O47-O49</f>
        <v/>
      </c>
      <c r="P53" s="389" t="n"/>
      <c r="Q53" s="397" t="inlineStr">
        <is>
          <t>Resultado PF</t>
        </is>
      </c>
      <c r="R53" s="398">
        <f>R47-R49</f>
        <v/>
      </c>
      <c r="S53" s="398">
        <f>S47-S49</f>
        <v/>
      </c>
      <c r="T53" s="398">
        <f>T47-T49</f>
        <v/>
      </c>
      <c r="U53" s="88" t="n"/>
      <c r="V53" s="75" t="n"/>
      <c r="W53" s="75" t="n"/>
      <c r="X53" s="75" t="n"/>
      <c r="Y53" s="75" t="n"/>
      <c r="Z53" s="75" t="n"/>
      <c r="AA53" s="75" t="n"/>
      <c r="AB53" s="75" t="n"/>
      <c r="AC53" s="69" t="n"/>
      <c r="AD53" s="69" t="n"/>
      <c r="AE53" s="69" t="n"/>
    </row>
    <row r="54" ht="15.75" customHeight="1" s="673">
      <c r="A54" s="83" t="n"/>
      <c r="B54" s="390" t="n"/>
      <c r="C54" s="390" t="n"/>
      <c r="D54" s="390" t="n"/>
      <c r="E54" s="390" t="n"/>
      <c r="F54" s="389" t="n"/>
      <c r="G54" s="390" t="n"/>
      <c r="H54" s="390" t="n"/>
      <c r="I54" s="390" t="n"/>
      <c r="J54" s="390" t="n"/>
      <c r="K54" s="389" t="n"/>
      <c r="L54" s="390" t="n"/>
      <c r="M54" s="390" t="n"/>
      <c r="N54" s="390" t="n"/>
      <c r="O54" s="390" t="n"/>
      <c r="P54" s="389" t="n"/>
      <c r="Q54" s="390" t="n"/>
      <c r="R54" s="390" t="n"/>
      <c r="S54" s="390" t="n"/>
      <c r="T54" s="390" t="n"/>
      <c r="U54" s="88" t="n"/>
      <c r="V54" s="75" t="n"/>
      <c r="W54" s="75" t="n"/>
      <c r="X54" s="75" t="n"/>
      <c r="Y54" s="75" t="n"/>
      <c r="Z54" s="75" t="n"/>
      <c r="AA54" s="75" t="n"/>
      <c r="AB54" s="75" t="n"/>
      <c r="AC54" s="69" t="n"/>
      <c r="AD54" s="69" t="n"/>
      <c r="AE54" s="69" t="n"/>
    </row>
    <row r="55" ht="15.75" customHeight="1" s="673">
      <c r="A55" s="83" t="n"/>
      <c r="B55" s="364" t="inlineStr">
        <is>
          <t>Receitas PJ</t>
        </is>
      </c>
      <c r="C55" s="393" t="n"/>
      <c r="D55" s="393" t="n"/>
      <c r="E55" s="393">
        <f>C55+D55</f>
        <v/>
      </c>
      <c r="F55" s="389" t="n"/>
      <c r="G55" s="364" t="inlineStr">
        <is>
          <t>Receitas PJ</t>
        </is>
      </c>
      <c r="H55" s="393" t="n"/>
      <c r="I55" s="393" t="n"/>
      <c r="J55" s="393">
        <f>H55+I55</f>
        <v/>
      </c>
      <c r="K55" s="389" t="n"/>
      <c r="L55" s="364" t="inlineStr">
        <is>
          <t>Receitas PJ</t>
        </is>
      </c>
      <c r="M55" s="393" t="n"/>
      <c r="N55" s="393" t="n"/>
      <c r="O55" s="393">
        <f>M55+N55</f>
        <v/>
      </c>
      <c r="P55" s="389" t="n"/>
      <c r="Q55" s="364" t="inlineStr">
        <is>
          <t>Receitas PJ</t>
        </is>
      </c>
      <c r="R55" s="393" t="n"/>
      <c r="S55" s="393" t="n"/>
      <c r="T55" s="393">
        <f>R55+S55</f>
        <v/>
      </c>
      <c r="U55" s="88" t="n"/>
      <c r="V55" s="75" t="n"/>
      <c r="W55" s="75" t="n"/>
      <c r="X55" s="75" t="n"/>
      <c r="Y55" s="75" t="n"/>
      <c r="Z55" s="75" t="n"/>
      <c r="AA55" s="75" t="n"/>
      <c r="AB55" s="75" t="n"/>
      <c r="AC55" s="69" t="n"/>
      <c r="AD55" s="69" t="n"/>
      <c r="AE55" s="69" t="n"/>
    </row>
    <row r="56" ht="15.75" customHeight="1" s="673">
      <c r="A56" s="83" t="n"/>
      <c r="B56" s="101" t="n"/>
      <c r="C56" s="101" t="n"/>
      <c r="D56" s="101" t="n"/>
      <c r="E56" s="101" t="n"/>
      <c r="F56" s="389" t="n"/>
      <c r="G56" s="101" t="n"/>
      <c r="H56" s="101" t="n"/>
      <c r="I56" s="101" t="n"/>
      <c r="J56" s="101" t="n"/>
      <c r="K56" s="389" t="n"/>
      <c r="L56" s="101" t="n"/>
      <c r="M56" s="101" t="n"/>
      <c r="N56" s="101" t="n"/>
      <c r="O56" s="101" t="n"/>
      <c r="P56" s="389" t="n"/>
      <c r="Q56" s="101" t="n"/>
      <c r="R56" s="101" t="n"/>
      <c r="S56" s="101" t="n"/>
      <c r="T56" s="101" t="n"/>
      <c r="U56" s="88" t="n"/>
      <c r="V56" s="75" t="n"/>
      <c r="W56" s="75" t="n"/>
      <c r="X56" s="75" t="n"/>
      <c r="Y56" s="75" t="n"/>
      <c r="Z56" s="75" t="n"/>
      <c r="AA56" s="75" t="n"/>
      <c r="AB56" s="75" t="n"/>
      <c r="AC56" s="69" t="n"/>
      <c r="AD56" s="69" t="n"/>
      <c r="AE56" s="69" t="n"/>
    </row>
    <row r="57" ht="15.75" customHeight="1" s="673">
      <c r="A57" s="83" t="n"/>
      <c r="B57" s="711" t="inlineStr">
        <is>
          <t>RESUMO NEGOCIO</t>
        </is>
      </c>
      <c r="C57" s="712" t="n"/>
      <c r="D57" s="712" t="n"/>
      <c r="E57" s="713" t="n"/>
      <c r="F57" s="389" t="n"/>
      <c r="G57" s="711" t="inlineStr">
        <is>
          <t>RESUMO NEGOCIO</t>
        </is>
      </c>
      <c r="H57" s="712" t="n"/>
      <c r="I57" s="712" t="n"/>
      <c r="J57" s="713" t="n"/>
      <c r="K57" s="389" t="n"/>
      <c r="L57" s="711" t="inlineStr">
        <is>
          <t>RESUMO NEGOCIO</t>
        </is>
      </c>
      <c r="M57" s="712" t="n"/>
      <c r="N57" s="712" t="n"/>
      <c r="O57" s="713" t="n"/>
      <c r="P57" s="389" t="n"/>
      <c r="Q57" s="711" t="inlineStr">
        <is>
          <t>RESUMO NEGOCIO</t>
        </is>
      </c>
      <c r="R57" s="712" t="n"/>
      <c r="S57" s="712" t="n"/>
      <c r="T57" s="713" t="n"/>
      <c r="U57" s="88" t="n"/>
      <c r="V57" s="75" t="n"/>
      <c r="W57" s="75" t="n"/>
      <c r="X57" s="75" t="n"/>
      <c r="Y57" s="75" t="n"/>
      <c r="Z57" s="75" t="n"/>
      <c r="AA57" s="75" t="n"/>
      <c r="AB57" s="75" t="n"/>
      <c r="AC57" s="69" t="n"/>
      <c r="AD57" s="69" t="n"/>
      <c r="AE57" s="69" t="n"/>
    </row>
    <row r="58" ht="15.75" customHeight="1" s="673">
      <c r="A58" s="83" t="n"/>
      <c r="B58" s="714" t="n"/>
      <c r="C58" s="715" t="n"/>
      <c r="D58" s="715" t="n"/>
      <c r="E58" s="716" t="n"/>
      <c r="F58" s="389" t="n"/>
      <c r="G58" s="714" t="n"/>
      <c r="H58" s="715" t="n"/>
      <c r="I58" s="715" t="n"/>
      <c r="J58" s="716" t="n"/>
      <c r="K58" s="389" t="n"/>
      <c r="L58" s="714" t="n"/>
      <c r="M58" s="715" t="n"/>
      <c r="N58" s="715" t="n"/>
      <c r="O58" s="716" t="n"/>
      <c r="P58" s="389" t="n"/>
      <c r="Q58" s="714" t="n"/>
      <c r="R58" s="715" t="n"/>
      <c r="S58" s="715" t="n"/>
      <c r="T58" s="716" t="n"/>
      <c r="U58" s="88" t="n"/>
      <c r="V58" s="75" t="n"/>
      <c r="W58" s="75" t="n"/>
      <c r="X58" s="75" t="n"/>
      <c r="Y58" s="75" t="n"/>
      <c r="Z58" s="75" t="n"/>
      <c r="AA58" s="75" t="n"/>
      <c r="AB58" s="75" t="n"/>
      <c r="AC58" s="69" t="n"/>
      <c r="AD58" s="69" t="n"/>
      <c r="AE58" s="69" t="n"/>
    </row>
    <row r="59" ht="15.75" customHeight="1" s="673">
      <c r="A59" s="83" t="n"/>
      <c r="B59" s="704" t="inlineStr">
        <is>
          <t>RECEITA</t>
        </is>
      </c>
      <c r="C59" s="678" t="n"/>
      <c r="D59" s="676" t="n"/>
      <c r="E59" s="393" t="n"/>
      <c r="F59" s="389" t="n"/>
      <c r="G59" s="704" t="inlineStr">
        <is>
          <t>RECEITA</t>
        </is>
      </c>
      <c r="H59" s="678" t="n"/>
      <c r="I59" s="676" t="n"/>
      <c r="J59" s="393" t="n"/>
      <c r="K59" s="389" t="n"/>
      <c r="L59" s="704" t="inlineStr">
        <is>
          <t>RECEITA</t>
        </is>
      </c>
      <c r="M59" s="678" t="n"/>
      <c r="N59" s="676" t="n"/>
      <c r="O59" s="393" t="n"/>
      <c r="P59" s="389" t="n"/>
      <c r="Q59" s="704" t="inlineStr">
        <is>
          <t>RECEITA</t>
        </is>
      </c>
      <c r="R59" s="678" t="n"/>
      <c r="S59" s="676" t="n"/>
      <c r="T59" s="393" t="n"/>
      <c r="U59" s="88" t="n"/>
      <c r="V59" s="75" t="n"/>
      <c r="W59" s="75" t="n"/>
      <c r="X59" s="75" t="n"/>
      <c r="Y59" s="75" t="n"/>
      <c r="Z59" s="75" t="n"/>
      <c r="AA59" s="75" t="n"/>
      <c r="AB59" s="75" t="n"/>
      <c r="AC59" s="69" t="n"/>
      <c r="AD59" s="69" t="n"/>
      <c r="AE59" s="69" t="n"/>
    </row>
    <row r="60" ht="15.75" customHeight="1" s="673">
      <c r="A60" s="83" t="n"/>
      <c r="B60" s="160" t="inlineStr">
        <is>
          <t>CUSTOS/DESPESAS</t>
        </is>
      </c>
      <c r="C60" s="678" t="n"/>
      <c r="D60" s="676" t="n"/>
      <c r="E60" s="394" t="n"/>
      <c r="F60" s="389" t="n"/>
      <c r="G60" s="160" t="inlineStr">
        <is>
          <t>CUSTOS/DESPESAS</t>
        </is>
      </c>
      <c r="H60" s="678" t="n"/>
      <c r="I60" s="676" t="n"/>
      <c r="J60" s="394" t="n"/>
      <c r="K60" s="389" t="n"/>
      <c r="L60" s="160" t="inlineStr">
        <is>
          <t>CUSTOS/DESPESAS</t>
        </is>
      </c>
      <c r="M60" s="678" t="n"/>
      <c r="N60" s="676" t="n"/>
      <c r="O60" s="394" t="n"/>
      <c r="P60" s="389" t="n"/>
      <c r="Q60" s="160" t="inlineStr">
        <is>
          <t>CUSTOS/DESPESAS</t>
        </is>
      </c>
      <c r="R60" s="678" t="n"/>
      <c r="S60" s="676" t="n"/>
      <c r="T60" s="394" t="n"/>
      <c r="U60" s="88" t="n"/>
      <c r="V60" s="75" t="n"/>
      <c r="W60" s="75" t="n"/>
      <c r="X60" s="75" t="n"/>
      <c r="Y60" s="75" t="n"/>
      <c r="Z60" s="75" t="n"/>
      <c r="AA60" s="75" t="n"/>
      <c r="AB60" s="75" t="n"/>
      <c r="AC60" s="69" t="n"/>
      <c r="AD60" s="69" t="n"/>
      <c r="AE60" s="69" t="n"/>
    </row>
    <row r="61" ht="15.75" customHeight="1" s="673">
      <c r="A61" s="83" t="n"/>
      <c r="B61" s="717" t="inlineStr">
        <is>
          <t>RESULTADO</t>
        </is>
      </c>
      <c r="C61" s="678" t="n"/>
      <c r="D61" s="676" t="n"/>
      <c r="E61" s="407" t="n"/>
      <c r="F61" s="389" t="n"/>
      <c r="G61" s="717" t="inlineStr">
        <is>
          <t>RESULTADO</t>
        </is>
      </c>
      <c r="H61" s="678" t="n"/>
      <c r="I61" s="676" t="n"/>
      <c r="J61" s="407" t="n"/>
      <c r="K61" s="389" t="n"/>
      <c r="L61" s="717" t="inlineStr">
        <is>
          <t>RESULTADO</t>
        </is>
      </c>
      <c r="M61" s="678" t="n"/>
      <c r="N61" s="676" t="n"/>
      <c r="O61" s="407" t="n"/>
      <c r="P61" s="389" t="n"/>
      <c r="Q61" s="717" t="inlineStr">
        <is>
          <t>RESULTADO</t>
        </is>
      </c>
      <c r="R61" s="678" t="n"/>
      <c r="S61" s="676" t="n"/>
      <c r="T61" s="407" t="n"/>
      <c r="U61" s="88" t="n"/>
      <c r="V61" s="75" t="n"/>
      <c r="W61" s="75" t="n"/>
      <c r="X61" s="75" t="n"/>
      <c r="Y61" s="75" t="n"/>
      <c r="Z61" s="75" t="n"/>
      <c r="AA61" s="75" t="n"/>
      <c r="AB61" s="75" t="n"/>
      <c r="AC61" s="69" t="n"/>
      <c r="AD61" s="69" t="n"/>
      <c r="AE61" s="69" t="n"/>
    </row>
    <row r="62" ht="15.75" customHeight="1" s="673">
      <c r="A62" s="83" t="n"/>
      <c r="B62" s="718" t="inlineStr">
        <is>
          <t>IMPOSTO PAGO</t>
        </is>
      </c>
      <c r="C62" s="678" t="n"/>
      <c r="D62" s="676" t="n"/>
      <c r="E62" s="409" t="n"/>
      <c r="F62" s="389" t="n"/>
      <c r="G62" s="718" t="inlineStr">
        <is>
          <t>IMPOSTO PAGO</t>
        </is>
      </c>
      <c r="H62" s="678" t="n"/>
      <c r="I62" s="676" t="n"/>
      <c r="J62" s="409" t="n"/>
      <c r="K62" s="389" t="n"/>
      <c r="L62" s="718" t="inlineStr">
        <is>
          <t>IMPOSTO PAGO</t>
        </is>
      </c>
      <c r="M62" s="678" t="n"/>
      <c r="N62" s="676" t="n"/>
      <c r="O62" s="409" t="n"/>
      <c r="P62" s="389" t="n"/>
      <c r="Q62" s="718" t="inlineStr">
        <is>
          <t>IMPOSTO PAGO</t>
        </is>
      </c>
      <c r="R62" s="678" t="n"/>
      <c r="S62" s="676" t="n"/>
      <c r="T62" s="409" t="n"/>
      <c r="U62" s="88" t="n"/>
      <c r="V62" s="75" t="n"/>
      <c r="W62" s="75" t="n"/>
      <c r="X62" s="75" t="n"/>
      <c r="Y62" s="75" t="n"/>
      <c r="Z62" s="75" t="n"/>
      <c r="AA62" s="75" t="n"/>
      <c r="AB62" s="75" t="n"/>
      <c r="AC62" s="69" t="n"/>
      <c r="AD62" s="69" t="n"/>
      <c r="AE62" s="69" t="n"/>
    </row>
    <row r="63" ht="15.75" customHeight="1" s="673">
      <c r="A63" s="83" t="n"/>
      <c r="B63" s="410" t="n"/>
      <c r="C63" s="410" t="n"/>
      <c r="D63" s="410" t="n"/>
      <c r="E63" s="410" t="n"/>
      <c r="F63" s="389" t="n"/>
      <c r="G63" s="410" t="n"/>
      <c r="H63" s="410" t="n"/>
      <c r="I63" s="410" t="n"/>
      <c r="J63" s="410" t="n"/>
      <c r="K63" s="389" t="n"/>
      <c r="L63" s="410" t="n"/>
      <c r="M63" s="410" t="n"/>
      <c r="N63" s="410" t="n"/>
      <c r="O63" s="410" t="n"/>
      <c r="P63" s="389" t="n"/>
      <c r="Q63" s="410" t="n"/>
      <c r="R63" s="410" t="n"/>
      <c r="S63" s="410" t="n"/>
      <c r="T63" s="410" t="n"/>
      <c r="U63" s="88" t="n"/>
      <c r="V63" s="75" t="n"/>
      <c r="W63" s="75" t="n"/>
      <c r="X63" s="75" t="n"/>
      <c r="Y63" s="75" t="n"/>
      <c r="Z63" s="75" t="n"/>
      <c r="AA63" s="75" t="n"/>
      <c r="AB63" s="75" t="n"/>
      <c r="AC63" s="69" t="n"/>
      <c r="AD63" s="69" t="n"/>
      <c r="AE63" s="69" t="n"/>
    </row>
    <row r="64" ht="15.75" customHeight="1" s="673">
      <c r="A64" s="83" t="n"/>
      <c r="B64" s="718" t="inlineStr">
        <is>
          <t>ECONOMIA TRIBUTÁRIA</t>
        </is>
      </c>
      <c r="C64" s="678" t="n"/>
      <c r="D64" s="676" t="n"/>
      <c r="E64" s="411" t="n"/>
      <c r="F64" s="389" t="n"/>
      <c r="G64" s="718" t="inlineStr">
        <is>
          <t>ECONOMIA TRIBUTÁRIA</t>
        </is>
      </c>
      <c r="H64" s="678" t="n"/>
      <c r="I64" s="676" t="n"/>
      <c r="J64" s="411" t="n"/>
      <c r="K64" s="389" t="n"/>
      <c r="L64" s="718" t="inlineStr">
        <is>
          <t>ECONOMIA TRIBUTÁRIA</t>
        </is>
      </c>
      <c r="M64" s="678" t="n"/>
      <c r="N64" s="676" t="n"/>
      <c r="O64" s="411" t="n"/>
      <c r="P64" s="389" t="n"/>
      <c r="Q64" s="718" t="inlineStr">
        <is>
          <t>ECONOMIA TRIBUTÁRIA</t>
        </is>
      </c>
      <c r="R64" s="678" t="n"/>
      <c r="S64" s="676" t="n"/>
      <c r="T64" s="411" t="n"/>
      <c r="U64" s="88" t="n"/>
      <c r="V64" s="75" t="n"/>
      <c r="W64" s="75" t="n"/>
      <c r="X64" s="75" t="n"/>
      <c r="Y64" s="75" t="n"/>
      <c r="Z64" s="75" t="n"/>
      <c r="AA64" s="75" t="n"/>
      <c r="AB64" s="75" t="n"/>
      <c r="AC64" s="69" t="n"/>
      <c r="AD64" s="69" t="n"/>
      <c r="AE64" s="69" t="n"/>
    </row>
    <row r="65" ht="15.75" customHeight="1" s="673">
      <c r="A65" s="69" t="n"/>
      <c r="B65" s="128" t="n"/>
      <c r="C65" s="128" t="n"/>
      <c r="D65" s="128" t="n"/>
      <c r="E65" s="128" t="n"/>
      <c r="F65" s="75" t="n"/>
      <c r="G65" s="128" t="n"/>
      <c r="H65" s="128" t="n"/>
      <c r="I65" s="128" t="n"/>
      <c r="J65" s="128" t="n"/>
      <c r="K65" s="75" t="n"/>
      <c r="L65" s="128" t="n"/>
      <c r="M65" s="128" t="n"/>
      <c r="N65" s="128" t="n"/>
      <c r="O65" s="128" t="n"/>
      <c r="P65" s="75" t="n"/>
      <c r="Q65" s="128" t="n"/>
      <c r="R65" s="128" t="n"/>
      <c r="S65" s="128" t="n"/>
      <c r="T65" s="128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69" t="n"/>
      <c r="AD65" s="69" t="n"/>
      <c r="AE65" s="69" t="n"/>
    </row>
    <row r="66" ht="15.75" customHeight="1" s="673">
      <c r="A66" s="69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69" t="n"/>
      <c r="AD66" s="69" t="n"/>
      <c r="AE66" s="69" t="n"/>
    </row>
    <row r="67" ht="15.75" customHeight="1" s="673">
      <c r="A67" s="69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69" t="n"/>
      <c r="AD67" s="69" t="n"/>
      <c r="AE67" s="69" t="n"/>
    </row>
    <row r="68" ht="15.75" customHeight="1" s="673">
      <c r="A68" s="69" t="n"/>
      <c r="B68" s="710" t="inlineStr">
        <is>
          <t>9° REUNIÃO</t>
        </is>
      </c>
      <c r="F68" s="75" t="n"/>
      <c r="G68" s="710" t="inlineStr">
        <is>
          <t>10° REUNIÃO</t>
        </is>
      </c>
      <c r="K68" s="75" t="n"/>
      <c r="L68" s="710" t="inlineStr">
        <is>
          <t>11° REUNIÃO</t>
        </is>
      </c>
      <c r="P68" s="75" t="n"/>
      <c r="Q68" s="710" t="inlineStr">
        <is>
          <t>12° REUNIÃO</t>
        </is>
      </c>
      <c r="U68" s="75" t="n"/>
      <c r="V68" s="69" t="n"/>
      <c r="W68" s="69" t="n"/>
      <c r="X68" s="69" t="n"/>
      <c r="Y68" s="69" t="n"/>
      <c r="Z68" s="69" t="n"/>
      <c r="AA68" s="69" t="n"/>
      <c r="AB68" s="69" t="n"/>
      <c r="AC68" s="69" t="n"/>
      <c r="AD68" s="69" t="n"/>
      <c r="AE68" s="69" t="n"/>
    </row>
    <row r="69" ht="15.75" customHeight="1" s="673">
      <c r="A69" s="69" t="n"/>
      <c r="B69" s="131" t="n"/>
      <c r="C69" s="131" t="n"/>
      <c r="D69" s="131" t="n"/>
      <c r="E69" s="131" t="n"/>
      <c r="F69" s="131" t="n"/>
      <c r="G69" s="131" t="n"/>
      <c r="H69" s="131" t="n"/>
      <c r="I69" s="131" t="n"/>
      <c r="J69" s="131" t="n"/>
      <c r="K69" s="131" t="n"/>
      <c r="L69" s="131" t="n"/>
      <c r="M69" s="131" t="n"/>
      <c r="N69" s="131" t="n"/>
      <c r="O69" s="131" t="n"/>
      <c r="P69" s="131" t="n"/>
      <c r="Q69" s="131" t="n"/>
      <c r="R69" s="131" t="n"/>
      <c r="S69" s="131" t="n"/>
      <c r="T69" s="131" t="n"/>
      <c r="U69" s="69" t="n"/>
      <c r="V69" s="69" t="n"/>
      <c r="W69" s="69" t="n"/>
      <c r="X69" s="69" t="n"/>
      <c r="Y69" s="69" t="n"/>
      <c r="Z69" s="69" t="n"/>
      <c r="AA69" s="69" t="n"/>
      <c r="AB69" s="69" t="n"/>
      <c r="AC69" s="69" t="n"/>
      <c r="AD69" s="69" t="n"/>
      <c r="AE69" s="69" t="n"/>
    </row>
    <row r="70" ht="15.75" customHeight="1" s="673">
      <c r="A70" s="69" t="n"/>
      <c r="B70" s="75" t="n"/>
      <c r="C70" s="75" t="n"/>
      <c r="D70" s="75" t="n"/>
      <c r="E70" s="69" t="n"/>
      <c r="F70" s="75" t="n"/>
      <c r="G70" s="75" t="n"/>
      <c r="H70" s="75" t="n"/>
      <c r="I70" s="75" t="n"/>
      <c r="J70" s="69" t="n"/>
      <c r="K70" s="75" t="n"/>
      <c r="L70" s="75" t="n"/>
      <c r="M70" s="75" t="n"/>
      <c r="N70" s="75" t="n"/>
      <c r="O70" s="69" t="n"/>
      <c r="P70" s="75" t="n"/>
      <c r="Q70" s="75" t="n"/>
      <c r="R70" s="75" t="n"/>
      <c r="S70" s="75" t="n"/>
      <c r="T70" s="69" t="n"/>
      <c r="U70" s="75" t="n"/>
      <c r="V70" s="69" t="n"/>
      <c r="W70" s="69" t="n"/>
      <c r="X70" s="69" t="n"/>
      <c r="Y70" s="69" t="n"/>
      <c r="Z70" s="69" t="n"/>
      <c r="AA70" s="69" t="n"/>
      <c r="AB70" s="69" t="n"/>
      <c r="AC70" s="69" t="n"/>
      <c r="AD70" s="69" t="n"/>
      <c r="AE70" s="69" t="n"/>
    </row>
    <row r="71" ht="15.75" customHeight="1" s="673">
      <c r="A71" s="69" t="n"/>
      <c r="B71" s="82" t="inlineStr">
        <is>
          <t>Período Inicial</t>
        </is>
      </c>
      <c r="C71" s="387" t="n"/>
      <c r="D71" s="387" t="n"/>
      <c r="E71" s="82" t="inlineStr">
        <is>
          <t>Período Final</t>
        </is>
      </c>
      <c r="F71" s="75" t="n"/>
      <c r="G71" s="82" t="inlineStr">
        <is>
          <t>Período Inicial</t>
        </is>
      </c>
      <c r="H71" s="387" t="n"/>
      <c r="I71" s="387" t="n"/>
      <c r="J71" s="82" t="inlineStr">
        <is>
          <t>Período Final</t>
        </is>
      </c>
      <c r="K71" s="75" t="n"/>
      <c r="L71" s="82" t="inlineStr">
        <is>
          <t>Período Inicial</t>
        </is>
      </c>
      <c r="M71" s="387" t="n"/>
      <c r="N71" s="387" t="n"/>
      <c r="O71" s="82" t="inlineStr">
        <is>
          <t>Período Final</t>
        </is>
      </c>
      <c r="P71" s="75" t="n"/>
      <c r="Q71" s="82" t="inlineStr">
        <is>
          <t>Período Inicial</t>
        </is>
      </c>
      <c r="R71" s="387" t="n"/>
      <c r="S71" s="387" t="n"/>
      <c r="T71" s="82" t="inlineStr">
        <is>
          <t>Período Final</t>
        </is>
      </c>
      <c r="U71" s="75" t="n"/>
      <c r="V71" s="69" t="n"/>
      <c r="W71" s="69" t="n"/>
      <c r="X71" s="69" t="n"/>
      <c r="Y71" s="69" t="n"/>
      <c r="Z71" s="69" t="n"/>
      <c r="AA71" s="69" t="n"/>
      <c r="AB71" s="69" t="n"/>
      <c r="AC71" s="69" t="n"/>
      <c r="AD71" s="69" t="n"/>
      <c r="AE71" s="69" t="n"/>
    </row>
    <row r="72" ht="15.75" customHeight="1" s="673">
      <c r="A72" s="83" t="n"/>
      <c r="B72" s="86" t="n"/>
      <c r="C72" s="388" t="n"/>
      <c r="D72" s="388" t="n"/>
      <c r="E72" s="412" t="n"/>
      <c r="F72" s="389" t="n"/>
      <c r="G72" s="86" t="n"/>
      <c r="H72" s="388" t="n"/>
      <c r="I72" s="388" t="n"/>
      <c r="J72" s="412" t="n"/>
      <c r="K72" s="389" t="n"/>
      <c r="L72" s="86" t="n"/>
      <c r="M72" s="388" t="n"/>
      <c r="N72" s="388" t="n"/>
      <c r="O72" s="412" t="n"/>
      <c r="P72" s="389" t="n"/>
      <c r="Q72" s="86" t="n"/>
      <c r="R72" s="388" t="n"/>
      <c r="S72" s="388" t="n"/>
      <c r="T72" s="412" t="n"/>
      <c r="U72" s="88" t="n"/>
      <c r="V72" s="69" t="n"/>
      <c r="W72" s="69" t="n"/>
      <c r="X72" s="69" t="n"/>
      <c r="Y72" s="69" t="n"/>
      <c r="Z72" s="69" t="n"/>
      <c r="AA72" s="69" t="n"/>
      <c r="AB72" s="69" t="n"/>
      <c r="AC72" s="69" t="n"/>
      <c r="AD72" s="69" t="n"/>
      <c r="AE72" s="69" t="n"/>
    </row>
    <row r="73" ht="15.75" customHeight="1" s="673">
      <c r="A73" s="83" t="n"/>
      <c r="B73" s="89" t="n"/>
      <c r="C73" s="89" t="n"/>
      <c r="D73" s="89" t="n"/>
      <c r="E73" s="101" t="n"/>
      <c r="F73" s="389" t="n"/>
      <c r="G73" s="89" t="n"/>
      <c r="H73" s="89" t="n"/>
      <c r="I73" s="89" t="n"/>
      <c r="J73" s="101" t="n"/>
      <c r="K73" s="389" t="n"/>
      <c r="L73" s="89" t="n"/>
      <c r="M73" s="89" t="n"/>
      <c r="N73" s="89" t="n"/>
      <c r="O73" s="101" t="n"/>
      <c r="P73" s="389" t="n"/>
      <c r="Q73" s="89" t="n"/>
      <c r="R73" s="89" t="n"/>
      <c r="S73" s="89" t="n"/>
      <c r="T73" s="101" t="n"/>
      <c r="U73" s="88" t="n"/>
      <c r="V73" s="69" t="n"/>
      <c r="W73" s="69" t="n"/>
      <c r="X73" s="69" t="n"/>
      <c r="Y73" s="69" t="n"/>
      <c r="Z73" s="69" t="n"/>
      <c r="AA73" s="69" t="n"/>
      <c r="AB73" s="69" t="n"/>
      <c r="AC73" s="69" t="n"/>
      <c r="AD73" s="69" t="n"/>
      <c r="AE73" s="69" t="n"/>
    </row>
    <row r="74" ht="15.75" customHeight="1" s="673">
      <c r="A74" s="83" t="n"/>
      <c r="B74" s="92" t="inlineStr">
        <is>
          <t>Descrição</t>
        </is>
      </c>
      <c r="C74" s="92" t="inlineStr">
        <is>
          <t>Realizado</t>
        </is>
      </c>
      <c r="D74" s="92" t="inlineStr">
        <is>
          <t>Projetado</t>
        </is>
      </c>
      <c r="E74" s="92">
        <f>CONCAT("Total ",RECEITAS!I69)</f>
        <v/>
      </c>
      <c r="F74" s="389" t="n"/>
      <c r="G74" s="92" t="inlineStr">
        <is>
          <t>Descrição</t>
        </is>
      </c>
      <c r="H74" s="92" t="inlineStr">
        <is>
          <t>Realizado</t>
        </is>
      </c>
      <c r="I74" s="92" t="inlineStr">
        <is>
          <t>Projetado</t>
        </is>
      </c>
      <c r="J74" s="92">
        <f>CONCAT("Total ",RECEITAS!N69)</f>
        <v/>
      </c>
      <c r="K74" s="389" t="n"/>
      <c r="L74" s="92" t="inlineStr">
        <is>
          <t>Descrição</t>
        </is>
      </c>
      <c r="M74" s="92" t="inlineStr">
        <is>
          <t>Realizado</t>
        </is>
      </c>
      <c r="N74" s="92" t="inlineStr">
        <is>
          <t>Projetado</t>
        </is>
      </c>
      <c r="O74" s="92">
        <f>CONCAT("Total ",RECEITAS!S69)</f>
        <v/>
      </c>
      <c r="P74" s="389" t="n"/>
      <c r="Q74" s="92" t="inlineStr">
        <is>
          <t>Descrição</t>
        </is>
      </c>
      <c r="R74" s="92" t="inlineStr">
        <is>
          <t>Realizado</t>
        </is>
      </c>
      <c r="S74" s="92" t="inlineStr">
        <is>
          <t>Projetado</t>
        </is>
      </c>
      <c r="T74" s="92">
        <f>CONCAT("Total ",RECEITAS!X69)</f>
        <v/>
      </c>
      <c r="U74" s="88" t="n"/>
      <c r="V74" s="69" t="n"/>
      <c r="W74" s="69" t="n"/>
      <c r="X74" s="69" t="n"/>
      <c r="Y74" s="69" t="n"/>
      <c r="Z74" s="69" t="n"/>
      <c r="AA74" s="69" t="n"/>
      <c r="AB74" s="69" t="n"/>
      <c r="AC74" s="69" t="n"/>
      <c r="AD74" s="69" t="n"/>
      <c r="AE74" s="69" t="n"/>
    </row>
    <row r="75" ht="15.75" customHeight="1" s="673">
      <c r="A75" s="83" t="n"/>
      <c r="B75" s="364" t="inlineStr">
        <is>
          <t>Receitas PF</t>
        </is>
      </c>
      <c r="C75" s="393" t="n"/>
      <c r="D75" s="393" t="n"/>
      <c r="E75" s="393">
        <f>C75+D75</f>
        <v/>
      </c>
      <c r="F75" s="389" t="n"/>
      <c r="G75" s="364" t="inlineStr">
        <is>
          <t>Receitas PF</t>
        </is>
      </c>
      <c r="H75" s="393" t="n"/>
      <c r="I75" s="393" t="n"/>
      <c r="J75" s="393">
        <f>H75+I75</f>
        <v/>
      </c>
      <c r="K75" s="389" t="n"/>
      <c r="L75" s="364" t="inlineStr">
        <is>
          <t>Receitas PF</t>
        </is>
      </c>
      <c r="M75" s="393" t="n"/>
      <c r="N75" s="393" t="n"/>
      <c r="O75" s="393">
        <f>M75+N75</f>
        <v/>
      </c>
      <c r="P75" s="389" t="n"/>
      <c r="Q75" s="364" t="inlineStr">
        <is>
          <t>Receitas PF</t>
        </is>
      </c>
      <c r="R75" s="393" t="n"/>
      <c r="S75" s="393" t="n"/>
      <c r="T75" s="393">
        <f>R75+S75</f>
        <v/>
      </c>
      <c r="U75" s="88" t="n"/>
      <c r="V75" s="69" t="n"/>
      <c r="W75" s="69" t="n"/>
      <c r="X75" s="69" t="n"/>
      <c r="Y75" s="69" t="n"/>
      <c r="Z75" s="69" t="n"/>
      <c r="AA75" s="69" t="n"/>
      <c r="AB75" s="69" t="n"/>
      <c r="AC75" s="69" t="n"/>
      <c r="AD75" s="69" t="n"/>
      <c r="AE75" s="69" t="n"/>
    </row>
    <row r="76" ht="15.75" customHeight="1" s="673">
      <c r="A76" s="83" t="n"/>
      <c r="B76" s="84" t="n"/>
      <c r="C76" s="84" t="n"/>
      <c r="D76" s="84" t="n"/>
      <c r="E76" s="84" t="n"/>
      <c r="F76" s="389" t="n"/>
      <c r="G76" s="84" t="n"/>
      <c r="H76" s="84" t="n"/>
      <c r="I76" s="84" t="n"/>
      <c r="J76" s="84" t="n"/>
      <c r="K76" s="389" t="n"/>
      <c r="L76" s="84" t="n"/>
      <c r="M76" s="84" t="n"/>
      <c r="N76" s="84" t="n"/>
      <c r="O76" s="84" t="n"/>
      <c r="P76" s="389" t="n"/>
      <c r="Q76" s="84" t="n"/>
      <c r="R76" s="84" t="n"/>
      <c r="S76" s="84" t="n"/>
      <c r="T76" s="84" t="n"/>
      <c r="U76" s="88" t="n"/>
      <c r="V76" s="69" t="n"/>
      <c r="W76" s="69" t="n"/>
      <c r="X76" s="69" t="n"/>
      <c r="Y76" s="69" t="n"/>
      <c r="Z76" s="69" t="n"/>
      <c r="AA76" s="69" t="n"/>
      <c r="AB76" s="69" t="n"/>
      <c r="AC76" s="69" t="n"/>
      <c r="AD76" s="69" t="n"/>
      <c r="AE76" s="69" t="n"/>
    </row>
    <row r="77" ht="15.75" customHeight="1" s="673">
      <c r="A77" s="83" t="n"/>
      <c r="B77" s="160" t="inlineStr">
        <is>
          <t>Despesas Totais PF</t>
        </is>
      </c>
      <c r="C77" s="394">
        <f>C78+C79</f>
        <v/>
      </c>
      <c r="D77" s="394">
        <f>D78+D79</f>
        <v/>
      </c>
      <c r="E77" s="394">
        <f>C77+D77</f>
        <v/>
      </c>
      <c r="F77" s="389" t="n"/>
      <c r="G77" s="160" t="inlineStr">
        <is>
          <t>Despesas Totais PF</t>
        </is>
      </c>
      <c r="H77" s="394">
        <f>H78+H79</f>
        <v/>
      </c>
      <c r="I77" s="394">
        <f>I78+I79</f>
        <v/>
      </c>
      <c r="J77" s="394">
        <f>H77+I77</f>
        <v/>
      </c>
      <c r="K77" s="389" t="n"/>
      <c r="L77" s="160" t="inlineStr">
        <is>
          <t>Despesas Totais PF</t>
        </is>
      </c>
      <c r="M77" s="394">
        <f>M78+M79</f>
        <v/>
      </c>
      <c r="N77" s="394">
        <f>N78+N79</f>
        <v/>
      </c>
      <c r="O77" s="394">
        <f>M77+N77</f>
        <v/>
      </c>
      <c r="P77" s="389" t="n"/>
      <c r="Q77" s="160" t="inlineStr">
        <is>
          <t>Despesas Totais PF</t>
        </is>
      </c>
      <c r="R77" s="394">
        <f>R78+R79</f>
        <v/>
      </c>
      <c r="S77" s="394">
        <f>S78+S79</f>
        <v/>
      </c>
      <c r="T77" s="394">
        <f>R77+S77</f>
        <v/>
      </c>
      <c r="U77" s="88" t="n"/>
      <c r="V77" s="75" t="n"/>
      <c r="W77" s="75" t="n"/>
      <c r="X77" s="75" t="n"/>
      <c r="Y77" s="75" t="n"/>
      <c r="Z77" s="75" t="n"/>
      <c r="AA77" s="75" t="n"/>
      <c r="AB77" s="75" t="n"/>
      <c r="AC77" s="69" t="n"/>
      <c r="AD77" s="69" t="n"/>
      <c r="AE77" s="69" t="n"/>
    </row>
    <row r="78" ht="15.75" customHeight="1" s="673">
      <c r="A78" s="83" t="n"/>
      <c r="B78" s="123" t="inlineStr">
        <is>
          <t>Operacionais</t>
        </is>
      </c>
      <c r="C78" s="394" t="n"/>
      <c r="D78" s="394" t="n"/>
      <c r="E78" s="394">
        <f>C78+D78</f>
        <v/>
      </c>
      <c r="F78" s="389" t="n"/>
      <c r="G78" s="123" t="inlineStr">
        <is>
          <t>Operacionais</t>
        </is>
      </c>
      <c r="H78" s="394" t="n"/>
      <c r="I78" s="394" t="n"/>
      <c r="J78" s="394">
        <f>H78+I78</f>
        <v/>
      </c>
      <c r="K78" s="389" t="n"/>
      <c r="L78" s="123" t="inlineStr">
        <is>
          <t>Operacionais</t>
        </is>
      </c>
      <c r="M78" s="394" t="n"/>
      <c r="N78" s="394" t="n"/>
      <c r="O78" s="394">
        <f>M78+N78</f>
        <v/>
      </c>
      <c r="P78" s="389" t="n"/>
      <c r="Q78" s="123" t="inlineStr">
        <is>
          <t>Operacionais</t>
        </is>
      </c>
      <c r="R78" s="394" t="n"/>
      <c r="S78" s="394" t="n"/>
      <c r="T78" s="394">
        <f>R78+S78</f>
        <v/>
      </c>
      <c r="U78" s="88" t="n"/>
      <c r="V78" s="75" t="n"/>
      <c r="W78" s="75" t="n"/>
      <c r="X78" s="75" t="n"/>
      <c r="Y78" s="75" t="n"/>
      <c r="Z78" s="75" t="n"/>
      <c r="AA78" s="75" t="n"/>
      <c r="AB78" s="75" t="n"/>
      <c r="AC78" s="69" t="n"/>
      <c r="AD78" s="69" t="n"/>
      <c r="AE78" s="69" t="n"/>
    </row>
    <row r="79" ht="15.75" customHeight="1" s="673">
      <c r="A79" s="83" t="n"/>
      <c r="B79" s="123" t="inlineStr">
        <is>
          <t>Imobilizado</t>
        </is>
      </c>
      <c r="C79" s="394" t="n"/>
      <c r="D79" s="394" t="n"/>
      <c r="E79" s="394">
        <f>C79+D79</f>
        <v/>
      </c>
      <c r="F79" s="389" t="n"/>
      <c r="G79" s="123" t="inlineStr">
        <is>
          <t>Imobilizado</t>
        </is>
      </c>
      <c r="H79" s="394" t="n"/>
      <c r="I79" s="394" t="n"/>
      <c r="J79" s="394">
        <f>H79+I79</f>
        <v/>
      </c>
      <c r="K79" s="389" t="n"/>
      <c r="L79" s="123" t="inlineStr">
        <is>
          <t>Imobilizado</t>
        </is>
      </c>
      <c r="M79" s="394" t="n"/>
      <c r="N79" s="394" t="n"/>
      <c r="O79" s="394">
        <f>M79+N79</f>
        <v/>
      </c>
      <c r="P79" s="389" t="n"/>
      <c r="Q79" s="123" t="inlineStr">
        <is>
          <t>Imobilizado</t>
        </is>
      </c>
      <c r="R79" s="394" t="n"/>
      <c r="S79" s="394" t="n"/>
      <c r="T79" s="394">
        <f>R79+S79</f>
        <v/>
      </c>
      <c r="U79" s="88" t="n"/>
      <c r="V79" s="75" t="n"/>
      <c r="W79" s="75" t="n"/>
      <c r="X79" s="75" t="n"/>
      <c r="Y79" s="75" t="n"/>
      <c r="Z79" s="75" t="n"/>
      <c r="AA79" s="75" t="n"/>
      <c r="AB79" s="75" t="n"/>
      <c r="AC79" s="69" t="n"/>
      <c r="AD79" s="69" t="n"/>
      <c r="AE79" s="69" t="n"/>
    </row>
    <row r="80" ht="15.75" customHeight="1" s="673">
      <c r="A80" s="83" t="n"/>
      <c r="B80" s="396" t="n"/>
      <c r="C80" s="396" t="n"/>
      <c r="D80" s="89" t="n"/>
      <c r="E80" s="101" t="n"/>
      <c r="F80" s="389" t="n"/>
      <c r="G80" s="396" t="n"/>
      <c r="H80" s="396" t="n"/>
      <c r="I80" s="89" t="n"/>
      <c r="J80" s="101" t="n"/>
      <c r="K80" s="389" t="n"/>
      <c r="L80" s="396" t="n"/>
      <c r="M80" s="396" t="n"/>
      <c r="N80" s="89" t="n"/>
      <c r="O80" s="101" t="n"/>
      <c r="P80" s="389" t="n"/>
      <c r="Q80" s="396" t="n"/>
      <c r="R80" s="396" t="n"/>
      <c r="S80" s="89" t="n"/>
      <c r="T80" s="101" t="n"/>
      <c r="U80" s="88" t="n"/>
      <c r="V80" s="75" t="n"/>
      <c r="W80" s="75" t="n"/>
      <c r="X80" s="75" t="n"/>
      <c r="Y80" s="75" t="n"/>
      <c r="Z80" s="75" t="n"/>
      <c r="AA80" s="75" t="n"/>
      <c r="AB80" s="75" t="n"/>
      <c r="AC80" s="69" t="n"/>
      <c r="AD80" s="69" t="n"/>
      <c r="AE80" s="69" t="n"/>
    </row>
    <row r="81" ht="15.75" customHeight="1" s="673">
      <c r="A81" s="83" t="n"/>
      <c r="B81" s="397" t="inlineStr">
        <is>
          <t>Resultado PF</t>
        </is>
      </c>
      <c r="C81" s="398">
        <f>C75-C77</f>
        <v/>
      </c>
      <c r="D81" s="398">
        <f>D75-D77</f>
        <v/>
      </c>
      <c r="E81" s="398">
        <f>E75-E77</f>
        <v/>
      </c>
      <c r="F81" s="389" t="n"/>
      <c r="G81" s="397" t="inlineStr">
        <is>
          <t>Resultado PF</t>
        </is>
      </c>
      <c r="H81" s="398">
        <f>H75-H77</f>
        <v/>
      </c>
      <c r="I81" s="398">
        <f>I75-I77</f>
        <v/>
      </c>
      <c r="J81" s="398">
        <f>J75-J77</f>
        <v/>
      </c>
      <c r="K81" s="389" t="n"/>
      <c r="L81" s="397" t="inlineStr">
        <is>
          <t>Resultado PF</t>
        </is>
      </c>
      <c r="M81" s="398">
        <f>M75-M77</f>
        <v/>
      </c>
      <c r="N81" s="398">
        <f>N75-N77</f>
        <v/>
      </c>
      <c r="O81" s="398">
        <f>O75-O77</f>
        <v/>
      </c>
      <c r="P81" s="389" t="n"/>
      <c r="Q81" s="397" t="inlineStr">
        <is>
          <t>Resultado PF</t>
        </is>
      </c>
      <c r="R81" s="398">
        <f>R75-R77</f>
        <v/>
      </c>
      <c r="S81" s="398">
        <f>S75-S77</f>
        <v/>
      </c>
      <c r="T81" s="398">
        <f>T75-T77</f>
        <v/>
      </c>
      <c r="U81" s="88" t="n"/>
      <c r="V81" s="75" t="n"/>
      <c r="W81" s="75" t="n"/>
      <c r="X81" s="75" t="n"/>
      <c r="Y81" s="75" t="n"/>
      <c r="Z81" s="75" t="n"/>
      <c r="AA81" s="75" t="n"/>
      <c r="AB81" s="75" t="n"/>
      <c r="AC81" s="69" t="n"/>
      <c r="AD81" s="69" t="n"/>
      <c r="AE81" s="69" t="n"/>
    </row>
    <row r="82" ht="15.75" customHeight="1" s="673">
      <c r="A82" s="83" t="n"/>
      <c r="B82" s="390" t="n"/>
      <c r="C82" s="390" t="n"/>
      <c r="D82" s="390" t="n"/>
      <c r="E82" s="390" t="n"/>
      <c r="F82" s="389" t="n"/>
      <c r="G82" s="390" t="n"/>
      <c r="H82" s="390" t="n"/>
      <c r="I82" s="390" t="n"/>
      <c r="J82" s="390" t="n"/>
      <c r="K82" s="389" t="n"/>
      <c r="L82" s="390" t="n"/>
      <c r="M82" s="390" t="n"/>
      <c r="N82" s="390" t="n"/>
      <c r="O82" s="390" t="n"/>
      <c r="P82" s="389" t="n"/>
      <c r="Q82" s="390" t="n"/>
      <c r="R82" s="390" t="n"/>
      <c r="S82" s="390" t="n"/>
      <c r="T82" s="390" t="n"/>
      <c r="U82" s="88" t="n"/>
      <c r="V82" s="75" t="n"/>
      <c r="W82" s="75" t="n"/>
      <c r="X82" s="75" t="n"/>
      <c r="Y82" s="75" t="n"/>
      <c r="Z82" s="75" t="n"/>
      <c r="AA82" s="75" t="n"/>
      <c r="AB82" s="75" t="n"/>
      <c r="AC82" s="69" t="n"/>
      <c r="AD82" s="69" t="n"/>
      <c r="AE82" s="69" t="n"/>
    </row>
    <row r="83" ht="15.75" customHeight="1" s="673">
      <c r="A83" s="83" t="n"/>
      <c r="B83" s="364" t="inlineStr">
        <is>
          <t>Receitas PJ</t>
        </is>
      </c>
      <c r="C83" s="393" t="n"/>
      <c r="D83" s="393" t="n"/>
      <c r="E83" s="393">
        <f>C83+D83</f>
        <v/>
      </c>
      <c r="F83" s="389" t="n"/>
      <c r="G83" s="364" t="inlineStr">
        <is>
          <t>Receitas PJ</t>
        </is>
      </c>
      <c r="H83" s="393" t="n"/>
      <c r="I83" s="393" t="n"/>
      <c r="J83" s="393">
        <f>H83+I83</f>
        <v/>
      </c>
      <c r="K83" s="389" t="n"/>
      <c r="L83" s="364" t="inlineStr">
        <is>
          <t>Receitas PJ</t>
        </is>
      </c>
      <c r="M83" s="393" t="n"/>
      <c r="N83" s="393" t="n"/>
      <c r="O83" s="393">
        <f>M83+N83</f>
        <v/>
      </c>
      <c r="P83" s="389" t="n"/>
      <c r="Q83" s="364" t="inlineStr">
        <is>
          <t>Receitas PJ</t>
        </is>
      </c>
      <c r="R83" s="393" t="n"/>
      <c r="S83" s="393" t="n"/>
      <c r="T83" s="393">
        <f>R83+S83</f>
        <v/>
      </c>
      <c r="U83" s="88" t="n"/>
      <c r="V83" s="75" t="n"/>
      <c r="W83" s="75" t="n"/>
      <c r="X83" s="75" t="n"/>
      <c r="Y83" s="75" t="n"/>
      <c r="Z83" s="75" t="n"/>
      <c r="AA83" s="75" t="n"/>
      <c r="AB83" s="75" t="n"/>
      <c r="AC83" s="69" t="n"/>
      <c r="AD83" s="69" t="n"/>
      <c r="AE83" s="69" t="n"/>
    </row>
    <row r="84" ht="15.75" customHeight="1" s="673">
      <c r="A84" s="83" t="n"/>
      <c r="B84" s="101" t="n"/>
      <c r="C84" s="101" t="n"/>
      <c r="D84" s="101" t="n"/>
      <c r="E84" s="101" t="n"/>
      <c r="F84" s="389" t="n"/>
      <c r="G84" s="101" t="n"/>
      <c r="H84" s="101" t="n"/>
      <c r="I84" s="101" t="n"/>
      <c r="J84" s="101" t="n"/>
      <c r="K84" s="389" t="n"/>
      <c r="L84" s="101" t="n"/>
      <c r="M84" s="101" t="n"/>
      <c r="N84" s="101" t="n"/>
      <c r="O84" s="101" t="n"/>
      <c r="P84" s="389" t="n"/>
      <c r="Q84" s="101" t="n"/>
      <c r="R84" s="101" t="n"/>
      <c r="S84" s="101" t="n"/>
      <c r="T84" s="101" t="n"/>
      <c r="U84" s="88" t="n"/>
      <c r="V84" s="75" t="n"/>
      <c r="W84" s="75" t="n"/>
      <c r="X84" s="75" t="n"/>
      <c r="Y84" s="75" t="n"/>
      <c r="Z84" s="75" t="n"/>
      <c r="AA84" s="75" t="n"/>
      <c r="AB84" s="75" t="n"/>
      <c r="AC84" s="69" t="n"/>
      <c r="AD84" s="69" t="n"/>
      <c r="AE84" s="69" t="n"/>
    </row>
    <row r="85" ht="15.75" customHeight="1" s="673">
      <c r="A85" s="83" t="n"/>
      <c r="B85" s="711" t="inlineStr">
        <is>
          <t>RESUMO NEGOCIO</t>
        </is>
      </c>
      <c r="C85" s="712" t="n"/>
      <c r="D85" s="712" t="n"/>
      <c r="E85" s="713" t="n"/>
      <c r="F85" s="389" t="n"/>
      <c r="G85" s="711" t="inlineStr">
        <is>
          <t>RESUMO NEGOCIO</t>
        </is>
      </c>
      <c r="H85" s="712" t="n"/>
      <c r="I85" s="712" t="n"/>
      <c r="J85" s="713" t="n"/>
      <c r="K85" s="389" t="n"/>
      <c r="L85" s="711" t="inlineStr">
        <is>
          <t>RESUMO NEGOCIO</t>
        </is>
      </c>
      <c r="M85" s="712" t="n"/>
      <c r="N85" s="712" t="n"/>
      <c r="O85" s="713" t="n"/>
      <c r="P85" s="389" t="n"/>
      <c r="Q85" s="711" t="inlineStr">
        <is>
          <t>RESUMO NEGOCIO</t>
        </is>
      </c>
      <c r="R85" s="712" t="n"/>
      <c r="S85" s="712" t="n"/>
      <c r="T85" s="713" t="n"/>
      <c r="U85" s="88" t="n"/>
      <c r="V85" s="75" t="n"/>
      <c r="W85" s="75" t="n"/>
      <c r="X85" s="75" t="n"/>
      <c r="Y85" s="75" t="n"/>
      <c r="Z85" s="75" t="n"/>
      <c r="AA85" s="75" t="n"/>
      <c r="AB85" s="75" t="n"/>
      <c r="AC85" s="69" t="n"/>
      <c r="AD85" s="69" t="n"/>
      <c r="AE85" s="69" t="n"/>
    </row>
    <row r="86" ht="15.75" customHeight="1" s="673">
      <c r="A86" s="83" t="n"/>
      <c r="B86" s="714" t="n"/>
      <c r="C86" s="715" t="n"/>
      <c r="D86" s="715" t="n"/>
      <c r="E86" s="716" t="n"/>
      <c r="F86" s="389" t="n"/>
      <c r="G86" s="714" t="n"/>
      <c r="H86" s="715" t="n"/>
      <c r="I86" s="715" t="n"/>
      <c r="J86" s="716" t="n"/>
      <c r="K86" s="389" t="n"/>
      <c r="L86" s="714" t="n"/>
      <c r="M86" s="715" t="n"/>
      <c r="N86" s="715" t="n"/>
      <c r="O86" s="716" t="n"/>
      <c r="P86" s="389" t="n"/>
      <c r="Q86" s="714" t="n"/>
      <c r="R86" s="715" t="n"/>
      <c r="S86" s="715" t="n"/>
      <c r="T86" s="716" t="n"/>
      <c r="U86" s="88" t="n"/>
      <c r="V86" s="75" t="n"/>
      <c r="W86" s="75" t="n"/>
      <c r="X86" s="75" t="n"/>
      <c r="Y86" s="75" t="n"/>
      <c r="Z86" s="75" t="n"/>
      <c r="AA86" s="75" t="n"/>
      <c r="AB86" s="75" t="n"/>
      <c r="AC86" s="69" t="n"/>
      <c r="AD86" s="69" t="n"/>
      <c r="AE86" s="69" t="n"/>
    </row>
    <row r="87" ht="15.75" customHeight="1" s="673">
      <c r="A87" s="83" t="n"/>
      <c r="B87" s="704" t="inlineStr">
        <is>
          <t>RECEITA</t>
        </is>
      </c>
      <c r="C87" s="678" t="n"/>
      <c r="D87" s="676" t="n"/>
      <c r="E87" s="393" t="n"/>
      <c r="F87" s="389" t="n"/>
      <c r="G87" s="704" t="inlineStr">
        <is>
          <t>RECEITA</t>
        </is>
      </c>
      <c r="H87" s="678" t="n"/>
      <c r="I87" s="676" t="n"/>
      <c r="J87" s="393" t="n"/>
      <c r="K87" s="389" t="n"/>
      <c r="L87" s="704" t="inlineStr">
        <is>
          <t>RECEITA</t>
        </is>
      </c>
      <c r="M87" s="678" t="n"/>
      <c r="N87" s="676" t="n"/>
      <c r="O87" s="393" t="n"/>
      <c r="P87" s="389" t="n"/>
      <c r="Q87" s="704" t="inlineStr">
        <is>
          <t>RECEITA</t>
        </is>
      </c>
      <c r="R87" s="678" t="n"/>
      <c r="S87" s="676" t="n"/>
      <c r="T87" s="393" t="n"/>
      <c r="U87" s="88" t="n"/>
      <c r="V87" s="75" t="n"/>
      <c r="W87" s="75" t="n"/>
      <c r="X87" s="75" t="n"/>
      <c r="Y87" s="75" t="n"/>
      <c r="Z87" s="75" t="n"/>
      <c r="AA87" s="75" t="n"/>
      <c r="AB87" s="75" t="n"/>
      <c r="AC87" s="69" t="n"/>
      <c r="AD87" s="69" t="n"/>
      <c r="AE87" s="69" t="n"/>
    </row>
    <row r="88" ht="15.75" customHeight="1" s="673">
      <c r="A88" s="83" t="n"/>
      <c r="B88" s="160" t="inlineStr">
        <is>
          <t>CUSTOS/DESPESAS</t>
        </is>
      </c>
      <c r="C88" s="678" t="n"/>
      <c r="D88" s="676" t="n"/>
      <c r="E88" s="394" t="n"/>
      <c r="F88" s="389" t="n"/>
      <c r="G88" s="160" t="inlineStr">
        <is>
          <t>CUSTOS/DESPESAS</t>
        </is>
      </c>
      <c r="H88" s="678" t="n"/>
      <c r="I88" s="676" t="n"/>
      <c r="J88" s="394" t="n"/>
      <c r="K88" s="389" t="n"/>
      <c r="L88" s="160" t="inlineStr">
        <is>
          <t>CUSTOS/DESPESAS</t>
        </is>
      </c>
      <c r="M88" s="678" t="n"/>
      <c r="N88" s="676" t="n"/>
      <c r="O88" s="394" t="n"/>
      <c r="P88" s="389" t="n"/>
      <c r="Q88" s="160" t="inlineStr">
        <is>
          <t>CUSTOS/DESPESAS</t>
        </is>
      </c>
      <c r="R88" s="678" t="n"/>
      <c r="S88" s="676" t="n"/>
      <c r="T88" s="394" t="n"/>
      <c r="U88" s="88" t="n"/>
      <c r="V88" s="75" t="n"/>
      <c r="W88" s="75" t="n"/>
      <c r="X88" s="75" t="n"/>
      <c r="Y88" s="75" t="n"/>
      <c r="Z88" s="75" t="n"/>
      <c r="AA88" s="75" t="n"/>
      <c r="AB88" s="75" t="n"/>
      <c r="AC88" s="69" t="n"/>
      <c r="AD88" s="69" t="n"/>
      <c r="AE88" s="69" t="n"/>
    </row>
    <row r="89" ht="15.75" customHeight="1" s="673">
      <c r="A89" s="83" t="n"/>
      <c r="B89" s="717" t="inlineStr">
        <is>
          <t>RESULTADO</t>
        </is>
      </c>
      <c r="C89" s="678" t="n"/>
      <c r="D89" s="676" t="n"/>
      <c r="E89" s="407" t="n"/>
      <c r="F89" s="389" t="n"/>
      <c r="G89" s="717" t="inlineStr">
        <is>
          <t>RESULTADO</t>
        </is>
      </c>
      <c r="H89" s="678" t="n"/>
      <c r="I89" s="676" t="n"/>
      <c r="J89" s="407" t="n"/>
      <c r="K89" s="389" t="n"/>
      <c r="L89" s="717" t="inlineStr">
        <is>
          <t>RESULTADO</t>
        </is>
      </c>
      <c r="M89" s="678" t="n"/>
      <c r="N89" s="676" t="n"/>
      <c r="O89" s="407" t="n"/>
      <c r="P89" s="389" t="n"/>
      <c r="Q89" s="717" t="inlineStr">
        <is>
          <t>RESULTADO</t>
        </is>
      </c>
      <c r="R89" s="678" t="n"/>
      <c r="S89" s="676" t="n"/>
      <c r="T89" s="407" t="n"/>
      <c r="U89" s="88" t="n"/>
      <c r="V89" s="75" t="n"/>
      <c r="W89" s="75" t="n"/>
      <c r="X89" s="75" t="n"/>
      <c r="Y89" s="75" t="n"/>
      <c r="Z89" s="75" t="n"/>
      <c r="AA89" s="75" t="n"/>
      <c r="AB89" s="75" t="n"/>
      <c r="AC89" s="69" t="n"/>
      <c r="AD89" s="69" t="n"/>
      <c r="AE89" s="69" t="n"/>
    </row>
    <row r="90" ht="15.75" customHeight="1" s="673">
      <c r="A90" s="83" t="n"/>
      <c r="B90" s="718" t="inlineStr">
        <is>
          <t>IMPOSTO PAGO</t>
        </is>
      </c>
      <c r="C90" s="678" t="n"/>
      <c r="D90" s="676" t="n"/>
      <c r="E90" s="409" t="n"/>
      <c r="F90" s="389" t="n"/>
      <c r="G90" s="718" t="inlineStr">
        <is>
          <t>IMPOSTO PAGO</t>
        </is>
      </c>
      <c r="H90" s="678" t="n"/>
      <c r="I90" s="676" t="n"/>
      <c r="J90" s="409" t="n"/>
      <c r="K90" s="389" t="n"/>
      <c r="L90" s="718" t="inlineStr">
        <is>
          <t>IMPOSTO PAGO</t>
        </is>
      </c>
      <c r="M90" s="678" t="n"/>
      <c r="N90" s="676" t="n"/>
      <c r="O90" s="409" t="n"/>
      <c r="P90" s="389" t="n"/>
      <c r="Q90" s="718" t="inlineStr">
        <is>
          <t>IMPOSTO PAGO</t>
        </is>
      </c>
      <c r="R90" s="678" t="n"/>
      <c r="S90" s="676" t="n"/>
      <c r="T90" s="409" t="n"/>
      <c r="U90" s="88" t="n"/>
      <c r="V90" s="75" t="n"/>
      <c r="W90" s="75" t="n"/>
      <c r="X90" s="75" t="n"/>
      <c r="Y90" s="75" t="n"/>
      <c r="Z90" s="75" t="n"/>
      <c r="AA90" s="75" t="n"/>
      <c r="AB90" s="75" t="n"/>
      <c r="AC90" s="69" t="n"/>
      <c r="AD90" s="69" t="n"/>
      <c r="AE90" s="69" t="n"/>
    </row>
    <row r="91" ht="15.75" customHeight="1" s="673">
      <c r="A91" s="83" t="n"/>
      <c r="B91" s="410" t="n"/>
      <c r="C91" s="410" t="n"/>
      <c r="D91" s="410" t="n"/>
      <c r="E91" s="410" t="n"/>
      <c r="F91" s="389" t="n"/>
      <c r="G91" s="410" t="n"/>
      <c r="H91" s="410" t="n"/>
      <c r="I91" s="410" t="n"/>
      <c r="J91" s="410" t="n"/>
      <c r="K91" s="389" t="n"/>
      <c r="L91" s="410" t="n"/>
      <c r="M91" s="410" t="n"/>
      <c r="N91" s="410" t="n"/>
      <c r="O91" s="410" t="n"/>
      <c r="P91" s="389" t="n"/>
      <c r="Q91" s="410" t="n"/>
      <c r="R91" s="410" t="n"/>
      <c r="S91" s="410" t="n"/>
      <c r="T91" s="410" t="n"/>
      <c r="U91" s="88" t="n"/>
      <c r="V91" s="75" t="n"/>
      <c r="W91" s="75" t="n"/>
      <c r="X91" s="75" t="n"/>
      <c r="Y91" s="75" t="n"/>
      <c r="Z91" s="75" t="n"/>
      <c r="AA91" s="75" t="n"/>
      <c r="AB91" s="75" t="n"/>
      <c r="AC91" s="69" t="n"/>
      <c r="AD91" s="69" t="n"/>
      <c r="AE91" s="69" t="n"/>
    </row>
    <row r="92" ht="15.75" customHeight="1" s="673">
      <c r="A92" s="83" t="n"/>
      <c r="B92" s="718" t="inlineStr">
        <is>
          <t>ECONOMIA TRIBUTÁRIA</t>
        </is>
      </c>
      <c r="C92" s="678" t="n"/>
      <c r="D92" s="676" t="n"/>
      <c r="E92" s="411" t="n"/>
      <c r="F92" s="389" t="n"/>
      <c r="G92" s="718" t="inlineStr">
        <is>
          <t>ECONOMIA TRIBUTÁRIA</t>
        </is>
      </c>
      <c r="H92" s="678" t="n"/>
      <c r="I92" s="676" t="n"/>
      <c r="J92" s="411" t="n"/>
      <c r="K92" s="389" t="n"/>
      <c r="L92" s="718" t="inlineStr">
        <is>
          <t>ECONOMIA TRIBUTÁRIA</t>
        </is>
      </c>
      <c r="M92" s="678" t="n"/>
      <c r="N92" s="676" t="n"/>
      <c r="O92" s="411" t="n"/>
      <c r="P92" s="389" t="n"/>
      <c r="Q92" s="718" t="inlineStr">
        <is>
          <t>ECONOMIA TRIBUTÁRIA</t>
        </is>
      </c>
      <c r="R92" s="678" t="n"/>
      <c r="S92" s="676" t="n"/>
      <c r="T92" s="411" t="n"/>
      <c r="U92" s="88" t="n"/>
      <c r="V92" s="75" t="n"/>
      <c r="W92" s="75" t="n"/>
      <c r="X92" s="75" t="n"/>
      <c r="Y92" s="75" t="n"/>
      <c r="Z92" s="75" t="n"/>
      <c r="AA92" s="75" t="n"/>
      <c r="AB92" s="75" t="n"/>
      <c r="AC92" s="69" t="n"/>
      <c r="AD92" s="69" t="n"/>
      <c r="AE92" s="69" t="n"/>
    </row>
    <row r="93" ht="15.75" customHeight="1" s="673">
      <c r="A93" s="69" t="n"/>
      <c r="B93" s="128" t="n"/>
      <c r="C93" s="128" t="n"/>
      <c r="D93" s="128" t="n"/>
      <c r="E93" s="128" t="n"/>
      <c r="F93" s="75" t="n"/>
      <c r="G93" s="128" t="n"/>
      <c r="H93" s="128" t="n"/>
      <c r="I93" s="128" t="n"/>
      <c r="J93" s="128" t="n"/>
      <c r="K93" s="75" t="n"/>
      <c r="L93" s="128" t="n"/>
      <c r="M93" s="128" t="n"/>
      <c r="N93" s="128" t="n"/>
      <c r="O93" s="128" t="n"/>
      <c r="P93" s="75" t="n"/>
      <c r="Q93" s="128" t="n"/>
      <c r="R93" s="128" t="n"/>
      <c r="S93" s="128" t="n"/>
      <c r="T93" s="128" t="n"/>
      <c r="U93" s="75" t="n"/>
      <c r="V93" s="75" t="n"/>
      <c r="W93" s="75" t="n"/>
      <c r="X93" s="75" t="n"/>
      <c r="Y93" s="75" t="n"/>
      <c r="Z93" s="75" t="n"/>
      <c r="AA93" s="75" t="n"/>
      <c r="AB93" s="75" t="n"/>
      <c r="AC93" s="69" t="n"/>
      <c r="AD93" s="69" t="n"/>
      <c r="AE93" s="69" t="n"/>
    </row>
    <row r="94" ht="15.75" customHeight="1" s="673">
      <c r="A94" s="69" t="n"/>
      <c r="B94" s="75" t="n"/>
      <c r="C94" s="75" t="n"/>
      <c r="D94" s="75" t="n"/>
      <c r="E94" s="75" t="n"/>
      <c r="F94" s="75" t="n"/>
      <c r="G94" s="75" t="n"/>
      <c r="H94" s="75" t="n"/>
      <c r="I94" s="75" t="n"/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75" t="n"/>
      <c r="Z94" s="75" t="n"/>
      <c r="AA94" s="75" t="n"/>
      <c r="AB94" s="75" t="n"/>
      <c r="AC94" s="69" t="n"/>
      <c r="AD94" s="69" t="n"/>
      <c r="AE94" s="69" t="n"/>
    </row>
    <row r="95" ht="15.75" customHeight="1" s="673">
      <c r="A95" s="69" t="n"/>
      <c r="B95" s="131" t="n"/>
      <c r="C95" s="131" t="n"/>
      <c r="D95" s="131" t="n"/>
      <c r="E95" s="131" t="n"/>
      <c r="F95" s="131" t="n"/>
      <c r="G95" s="131" t="n"/>
      <c r="H95" s="131" t="n"/>
      <c r="I95" s="131" t="n"/>
      <c r="J95" s="131" t="n"/>
      <c r="K95" s="131" t="n"/>
      <c r="L95" s="131" t="n"/>
      <c r="M95" s="131" t="n"/>
      <c r="N95" s="131" t="n"/>
      <c r="O95" s="131" t="n"/>
      <c r="P95" s="131" t="n"/>
      <c r="Q95" s="131" t="n"/>
      <c r="R95" s="131" t="n"/>
      <c r="S95" s="131" t="n"/>
      <c r="T95" s="131" t="n"/>
      <c r="U95" s="69" t="n"/>
      <c r="V95" s="69" t="n"/>
      <c r="W95" s="69" t="n"/>
      <c r="X95" s="69" t="n"/>
      <c r="Y95" s="69" t="n"/>
      <c r="Z95" s="69" t="n"/>
      <c r="AA95" s="69" t="n"/>
      <c r="AB95" s="69" t="n"/>
      <c r="AC95" s="69" t="n"/>
      <c r="AD95" s="69" t="n"/>
      <c r="AE95" s="69" t="n"/>
    </row>
    <row r="96" ht="15.75" customHeight="1" s="673">
      <c r="A96" s="69" t="n"/>
      <c r="B96" s="131" t="n"/>
      <c r="C96" s="131" t="n"/>
      <c r="D96" s="131" t="n"/>
      <c r="E96" s="131" t="n"/>
      <c r="F96" s="131" t="n"/>
      <c r="G96" s="131" t="n"/>
      <c r="H96" s="131" t="n"/>
      <c r="I96" s="131" t="n"/>
      <c r="J96" s="131" t="n"/>
      <c r="K96" s="131" t="n"/>
      <c r="L96" s="131" t="n"/>
      <c r="M96" s="131" t="n"/>
      <c r="N96" s="131" t="n"/>
      <c r="O96" s="131" t="n"/>
      <c r="P96" s="131" t="n"/>
      <c r="Q96" s="131" t="n"/>
      <c r="R96" s="131" t="n"/>
      <c r="S96" s="131" t="n"/>
      <c r="T96" s="131" t="n"/>
      <c r="U96" s="69" t="n"/>
      <c r="V96" s="69" t="n"/>
      <c r="W96" s="69" t="n"/>
      <c r="X96" s="69" t="n"/>
      <c r="Y96" s="69" t="n"/>
      <c r="Z96" s="69" t="n"/>
      <c r="AA96" s="69" t="n"/>
      <c r="AB96" s="69" t="n"/>
      <c r="AC96" s="69" t="n"/>
      <c r="AD96" s="69" t="n"/>
      <c r="AE96" s="69" t="n"/>
    </row>
    <row r="97" ht="15.75" customHeight="1" s="673">
      <c r="A97" s="69" t="n"/>
      <c r="B97" s="131" t="n"/>
      <c r="C97" s="131" t="n"/>
      <c r="D97" s="131" t="n"/>
      <c r="E97" s="131" t="n"/>
      <c r="F97" s="131" t="n"/>
      <c r="G97" s="131" t="n"/>
      <c r="H97" s="131" t="n"/>
      <c r="I97" s="131" t="n"/>
      <c r="J97" s="131" t="n"/>
      <c r="K97" s="131" t="n"/>
      <c r="L97" s="131" t="n"/>
      <c r="M97" s="131" t="n"/>
      <c r="N97" s="131" t="n"/>
      <c r="O97" s="131" t="n"/>
      <c r="P97" s="131" t="n"/>
      <c r="Q97" s="131" t="n"/>
      <c r="R97" s="131" t="n"/>
      <c r="S97" s="131" t="n"/>
      <c r="T97" s="131" t="n"/>
      <c r="U97" s="69" t="n"/>
      <c r="V97" s="69" t="n"/>
      <c r="W97" s="69" t="n"/>
      <c r="X97" s="69" t="n"/>
      <c r="Y97" s="69" t="n"/>
      <c r="Z97" s="69" t="n"/>
      <c r="AA97" s="69" t="n"/>
      <c r="AB97" s="69" t="n"/>
      <c r="AC97" s="69" t="n"/>
      <c r="AD97" s="69" t="n"/>
      <c r="AE97" s="69" t="n"/>
    </row>
    <row r="98" ht="15.75" customHeight="1" s="673">
      <c r="A98" s="69" t="n"/>
      <c r="B98" s="131" t="n"/>
      <c r="C98" s="131" t="n"/>
      <c r="D98" s="131" t="n"/>
      <c r="E98" s="131" t="n"/>
      <c r="F98" s="131" t="n"/>
      <c r="G98" s="131" t="n"/>
      <c r="H98" s="131" t="n"/>
      <c r="I98" s="131" t="n"/>
      <c r="J98" s="131" t="n"/>
      <c r="K98" s="131" t="n"/>
      <c r="L98" s="131" t="n"/>
      <c r="M98" s="131" t="n"/>
      <c r="N98" s="131" t="n"/>
      <c r="O98" s="131" t="n"/>
      <c r="P98" s="131" t="n"/>
      <c r="Q98" s="131" t="n"/>
      <c r="R98" s="131" t="n"/>
      <c r="S98" s="131" t="n"/>
      <c r="T98" s="131" t="n"/>
      <c r="U98" s="69" t="n"/>
      <c r="V98" s="69" t="n"/>
      <c r="W98" s="69" t="n"/>
      <c r="X98" s="69" t="n"/>
      <c r="Y98" s="69" t="n"/>
      <c r="Z98" s="69" t="n"/>
      <c r="AA98" s="69" t="n"/>
      <c r="AB98" s="69" t="n"/>
      <c r="AC98" s="69" t="n"/>
      <c r="AD98" s="69" t="n"/>
      <c r="AE98" s="69" t="n"/>
    </row>
    <row r="99" ht="15.75" customHeight="1" s="673">
      <c r="A99" s="69" t="n"/>
      <c r="B99" s="131" t="n"/>
      <c r="C99" s="131" t="n"/>
      <c r="D99" s="131" t="n"/>
      <c r="E99" s="131" t="n"/>
      <c r="F99" s="131" t="n"/>
      <c r="G99" s="131" t="n"/>
      <c r="H99" s="131" t="n"/>
      <c r="I99" s="131" t="n"/>
      <c r="J99" s="131" t="n"/>
      <c r="K99" s="131" t="n"/>
      <c r="L99" s="131" t="n"/>
      <c r="M99" s="131" t="n"/>
      <c r="N99" s="131" t="n"/>
      <c r="O99" s="131" t="n"/>
      <c r="P99" s="131" t="n"/>
      <c r="Q99" s="131" t="n"/>
      <c r="R99" s="131" t="n"/>
      <c r="S99" s="131" t="n"/>
      <c r="T99" s="131" t="n"/>
      <c r="U99" s="69" t="n"/>
      <c r="V99" s="69" t="n"/>
      <c r="W99" s="69" t="n"/>
      <c r="X99" s="69" t="n"/>
      <c r="Y99" s="69" t="n"/>
      <c r="Z99" s="69" t="n"/>
      <c r="AA99" s="69" t="n"/>
      <c r="AB99" s="69" t="n"/>
      <c r="AC99" s="69" t="n"/>
      <c r="AD99" s="69" t="n"/>
      <c r="AE99" s="69" t="n"/>
    </row>
    <row r="100" ht="15.75" customHeight="1" s="673">
      <c r="A100" s="69" t="n"/>
      <c r="B100" s="131" t="n"/>
      <c r="C100" s="131" t="n"/>
      <c r="D100" s="131" t="n"/>
      <c r="E100" s="131" t="n"/>
      <c r="F100" s="131" t="n"/>
      <c r="G100" s="131" t="n"/>
      <c r="H100" s="131" t="n"/>
      <c r="I100" s="131" t="n"/>
      <c r="J100" s="131" t="n"/>
      <c r="K100" s="131" t="n"/>
      <c r="L100" s="131" t="n"/>
      <c r="M100" s="131" t="n"/>
      <c r="N100" s="131" t="n"/>
      <c r="O100" s="131" t="n"/>
      <c r="P100" s="131" t="n"/>
      <c r="Q100" s="131" t="n"/>
      <c r="R100" s="131" t="n"/>
      <c r="S100" s="131" t="n"/>
      <c r="T100" s="131" t="n"/>
      <c r="U100" s="69" t="n"/>
      <c r="V100" s="69" t="n"/>
      <c r="W100" s="69" t="n"/>
      <c r="X100" s="69" t="n"/>
      <c r="Y100" s="69" t="n"/>
      <c r="Z100" s="69" t="n"/>
      <c r="AA100" s="69" t="n"/>
      <c r="AB100" s="69" t="n"/>
      <c r="AC100" s="69" t="n"/>
      <c r="AD100" s="69" t="n"/>
      <c r="AE100" s="69" t="n"/>
    </row>
    <row r="101" ht="15.75" customHeight="1" s="673">
      <c r="A101" s="69" t="n"/>
      <c r="B101" s="131" t="n"/>
      <c r="C101" s="131" t="n"/>
      <c r="D101" s="131" t="n"/>
      <c r="E101" s="131" t="n"/>
      <c r="F101" s="131" t="n"/>
      <c r="G101" s="131" t="n"/>
      <c r="H101" s="131" t="n"/>
      <c r="I101" s="131" t="n"/>
      <c r="J101" s="131" t="n"/>
      <c r="K101" s="131" t="n"/>
      <c r="L101" s="131" t="n"/>
      <c r="M101" s="131" t="n"/>
      <c r="N101" s="131" t="n"/>
      <c r="O101" s="131" t="n"/>
      <c r="P101" s="131" t="n"/>
      <c r="Q101" s="131" t="n"/>
      <c r="R101" s="131" t="n"/>
      <c r="S101" s="131" t="n"/>
      <c r="T101" s="131" t="n"/>
      <c r="U101" s="69" t="n"/>
      <c r="V101" s="69" t="n"/>
      <c r="W101" s="69" t="n"/>
      <c r="X101" s="69" t="n"/>
      <c r="Y101" s="69" t="n"/>
      <c r="Z101" s="69" t="n"/>
      <c r="AA101" s="69" t="n"/>
      <c r="AB101" s="69" t="n"/>
      <c r="AC101" s="69" t="n"/>
      <c r="AD101" s="69" t="n"/>
      <c r="AE101" s="69" t="n"/>
    </row>
    <row r="102" ht="15.75" customHeight="1" s="673">
      <c r="A102" s="69" t="n"/>
      <c r="B102" s="131" t="n"/>
      <c r="C102" s="131" t="n"/>
      <c r="D102" s="131" t="n"/>
      <c r="E102" s="131" t="n"/>
      <c r="F102" s="131" t="n"/>
      <c r="G102" s="131" t="n"/>
      <c r="H102" s="131" t="n"/>
      <c r="I102" s="131" t="n"/>
      <c r="J102" s="131" t="n"/>
      <c r="K102" s="131" t="n"/>
      <c r="L102" s="131" t="n"/>
      <c r="M102" s="131" t="n"/>
      <c r="N102" s="131" t="n"/>
      <c r="O102" s="131" t="n"/>
      <c r="P102" s="131" t="n"/>
      <c r="Q102" s="131" t="n"/>
      <c r="R102" s="131" t="n"/>
      <c r="S102" s="131" t="n"/>
      <c r="T102" s="131" t="n"/>
      <c r="U102" s="69" t="n"/>
      <c r="V102" s="69" t="n"/>
      <c r="W102" s="69" t="n"/>
      <c r="X102" s="69" t="n"/>
      <c r="Y102" s="69" t="n"/>
      <c r="Z102" s="69" t="n"/>
      <c r="AA102" s="69" t="n"/>
      <c r="AB102" s="69" t="n"/>
      <c r="AC102" s="69" t="n"/>
      <c r="AD102" s="69" t="n"/>
      <c r="AE102" s="69" t="n"/>
    </row>
    <row r="103" ht="15.75" customHeight="1" s="673">
      <c r="A103" s="69" t="n"/>
      <c r="B103" s="131" t="n"/>
      <c r="C103" s="131" t="n"/>
      <c r="D103" s="131" t="n"/>
      <c r="E103" s="131" t="n"/>
      <c r="F103" s="131" t="n"/>
      <c r="G103" s="131" t="n"/>
      <c r="H103" s="131" t="n"/>
      <c r="I103" s="131" t="n"/>
      <c r="J103" s="131" t="n"/>
      <c r="K103" s="131" t="n"/>
      <c r="L103" s="131" t="n"/>
      <c r="M103" s="131" t="n"/>
      <c r="N103" s="131" t="n"/>
      <c r="O103" s="131" t="n"/>
      <c r="P103" s="131" t="n"/>
      <c r="Q103" s="131" t="n"/>
      <c r="R103" s="131" t="n"/>
      <c r="S103" s="131" t="n"/>
      <c r="T103" s="131" t="n"/>
      <c r="U103" s="69" t="n"/>
      <c r="V103" s="69" t="n"/>
      <c r="W103" s="69" t="n"/>
      <c r="X103" s="69" t="n"/>
      <c r="Y103" s="69" t="n"/>
      <c r="Z103" s="69" t="n"/>
      <c r="AA103" s="69" t="n"/>
      <c r="AB103" s="69" t="n"/>
      <c r="AC103" s="69" t="n"/>
      <c r="AD103" s="69" t="n"/>
      <c r="AE103" s="69" t="n"/>
    </row>
    <row r="104" ht="15.75" customHeight="1" s="673">
      <c r="A104" s="69" t="n"/>
      <c r="B104" s="131" t="n"/>
      <c r="C104" s="131" t="n"/>
      <c r="D104" s="131" t="n"/>
      <c r="E104" s="131" t="n"/>
      <c r="F104" s="131" t="n"/>
      <c r="G104" s="131" t="n"/>
      <c r="H104" s="131" t="n"/>
      <c r="I104" s="131" t="n"/>
      <c r="J104" s="131" t="n"/>
      <c r="K104" s="131" t="n"/>
      <c r="L104" s="131" t="n"/>
      <c r="M104" s="131" t="n"/>
      <c r="N104" s="131" t="n"/>
      <c r="O104" s="131" t="n"/>
      <c r="P104" s="131" t="n"/>
      <c r="Q104" s="131" t="n"/>
      <c r="R104" s="131" t="n"/>
      <c r="S104" s="131" t="n"/>
      <c r="T104" s="131" t="n"/>
      <c r="U104" s="69" t="n"/>
      <c r="V104" s="69" t="n"/>
      <c r="W104" s="69" t="n"/>
      <c r="X104" s="69" t="n"/>
      <c r="Y104" s="69" t="n"/>
      <c r="Z104" s="69" t="n"/>
      <c r="AA104" s="69" t="n"/>
      <c r="AB104" s="69" t="n"/>
      <c r="AC104" s="69" t="n"/>
      <c r="AD104" s="69" t="n"/>
      <c r="AE104" s="69" t="n"/>
    </row>
    <row r="105" ht="15.75" customHeight="1" s="673">
      <c r="A105" s="69" t="n"/>
      <c r="B105" s="131" t="n"/>
      <c r="C105" s="131" t="n"/>
      <c r="D105" s="131" t="n"/>
      <c r="E105" s="131" t="n"/>
      <c r="F105" s="131" t="n"/>
      <c r="G105" s="131" t="n"/>
      <c r="H105" s="131" t="n"/>
      <c r="I105" s="131" t="n"/>
      <c r="J105" s="131" t="n"/>
      <c r="K105" s="131" t="n"/>
      <c r="L105" s="131" t="n"/>
      <c r="M105" s="131" t="n"/>
      <c r="N105" s="131" t="n"/>
      <c r="O105" s="131" t="n"/>
      <c r="P105" s="131" t="n"/>
      <c r="Q105" s="131" t="n"/>
      <c r="R105" s="131" t="n"/>
      <c r="S105" s="131" t="n"/>
      <c r="T105" s="131" t="n"/>
      <c r="U105" s="69" t="n"/>
      <c r="V105" s="69" t="n"/>
      <c r="W105" s="69" t="n"/>
      <c r="X105" s="69" t="n"/>
      <c r="Y105" s="69" t="n"/>
      <c r="Z105" s="69" t="n"/>
      <c r="AA105" s="69" t="n"/>
      <c r="AB105" s="69" t="n"/>
      <c r="AC105" s="69" t="n"/>
      <c r="AD105" s="69" t="n"/>
      <c r="AE105" s="69" t="n"/>
    </row>
    <row r="106" ht="15.75" customHeight="1" s="673">
      <c r="A106" s="69" t="n"/>
      <c r="B106" s="131" t="n"/>
      <c r="C106" s="131" t="n"/>
      <c r="D106" s="131" t="n"/>
      <c r="E106" s="131" t="n"/>
      <c r="F106" s="131" t="n"/>
      <c r="G106" s="131" t="n"/>
      <c r="H106" s="131" t="n"/>
      <c r="I106" s="131" t="n"/>
      <c r="J106" s="131" t="n"/>
      <c r="K106" s="131" t="n"/>
      <c r="L106" s="131" t="n"/>
      <c r="M106" s="131" t="n"/>
      <c r="N106" s="131" t="n"/>
      <c r="O106" s="131" t="n"/>
      <c r="P106" s="131" t="n"/>
      <c r="Q106" s="131" t="n"/>
      <c r="R106" s="131" t="n"/>
      <c r="S106" s="131" t="n"/>
      <c r="T106" s="131" t="n"/>
      <c r="U106" s="69" t="n"/>
      <c r="V106" s="69" t="n"/>
      <c r="W106" s="69" t="n"/>
      <c r="X106" s="69" t="n"/>
      <c r="Y106" s="69" t="n"/>
      <c r="Z106" s="69" t="n"/>
      <c r="AA106" s="69" t="n"/>
      <c r="AB106" s="69" t="n"/>
      <c r="AC106" s="69" t="n"/>
      <c r="AD106" s="69" t="n"/>
      <c r="AE106" s="69" t="n"/>
    </row>
    <row r="107" ht="15.75" customHeight="1" s="673">
      <c r="A107" s="69" t="n"/>
      <c r="B107" s="131" t="n"/>
      <c r="C107" s="131" t="n"/>
      <c r="D107" s="131" t="n"/>
      <c r="E107" s="131" t="n"/>
      <c r="F107" s="131" t="n"/>
      <c r="G107" s="131" t="n"/>
      <c r="H107" s="131" t="n"/>
      <c r="I107" s="131" t="n"/>
      <c r="J107" s="131" t="n"/>
      <c r="K107" s="131" t="n"/>
      <c r="L107" s="131" t="n"/>
      <c r="M107" s="131" t="n"/>
      <c r="N107" s="131" t="n"/>
      <c r="O107" s="131" t="n"/>
      <c r="P107" s="131" t="n"/>
      <c r="Q107" s="131" t="n"/>
      <c r="R107" s="131" t="n"/>
      <c r="S107" s="131" t="n"/>
      <c r="T107" s="131" t="n"/>
      <c r="U107" s="69" t="n"/>
      <c r="V107" s="69" t="n"/>
      <c r="W107" s="69" t="n"/>
      <c r="X107" s="69" t="n"/>
      <c r="Y107" s="69" t="n"/>
      <c r="Z107" s="69" t="n"/>
      <c r="AA107" s="69" t="n"/>
      <c r="AB107" s="69" t="n"/>
      <c r="AC107" s="69" t="n"/>
      <c r="AD107" s="69" t="n"/>
      <c r="AE107" s="69" t="n"/>
    </row>
    <row r="108" ht="15.75" customHeight="1" s="673">
      <c r="A108" s="69" t="n"/>
      <c r="B108" s="131" t="n"/>
      <c r="C108" s="131" t="n"/>
      <c r="D108" s="131" t="n"/>
      <c r="E108" s="131" t="n"/>
      <c r="F108" s="131" t="n"/>
      <c r="G108" s="131" t="n"/>
      <c r="H108" s="131" t="n"/>
      <c r="I108" s="131" t="n"/>
      <c r="J108" s="131" t="n"/>
      <c r="K108" s="131" t="n"/>
      <c r="L108" s="131" t="n"/>
      <c r="M108" s="131" t="n"/>
      <c r="N108" s="131" t="n"/>
      <c r="O108" s="131" t="n"/>
      <c r="P108" s="131" t="n"/>
      <c r="Q108" s="131" t="n"/>
      <c r="R108" s="131" t="n"/>
      <c r="S108" s="131" t="n"/>
      <c r="T108" s="131" t="n"/>
      <c r="U108" s="69" t="n"/>
      <c r="V108" s="69" t="n"/>
      <c r="W108" s="69" t="n"/>
      <c r="X108" s="69" t="n"/>
      <c r="Y108" s="69" t="n"/>
      <c r="Z108" s="69" t="n"/>
      <c r="AA108" s="69" t="n"/>
      <c r="AB108" s="69" t="n"/>
      <c r="AC108" s="69" t="n"/>
      <c r="AD108" s="69" t="n"/>
      <c r="AE108" s="69" t="n"/>
    </row>
    <row r="109" ht="15.75" customHeight="1" s="673">
      <c r="A109" s="69" t="n"/>
      <c r="B109" s="131" t="n"/>
      <c r="C109" s="131" t="n"/>
      <c r="D109" s="131" t="n"/>
      <c r="E109" s="131" t="n"/>
      <c r="F109" s="131" t="n"/>
      <c r="G109" s="131" t="n"/>
      <c r="H109" s="131" t="n"/>
      <c r="I109" s="131" t="n"/>
      <c r="J109" s="131" t="n"/>
      <c r="K109" s="131" t="n"/>
      <c r="L109" s="131" t="n"/>
      <c r="M109" s="131" t="n"/>
      <c r="N109" s="131" t="n"/>
      <c r="O109" s="131" t="n"/>
      <c r="P109" s="131" t="n"/>
      <c r="Q109" s="131" t="n"/>
      <c r="R109" s="131" t="n"/>
      <c r="S109" s="131" t="n"/>
      <c r="T109" s="131" t="n"/>
      <c r="U109" s="69" t="n"/>
      <c r="V109" s="69" t="n"/>
      <c r="W109" s="69" t="n"/>
      <c r="X109" s="69" t="n"/>
      <c r="Y109" s="69" t="n"/>
      <c r="Z109" s="69" t="n"/>
      <c r="AA109" s="69" t="n"/>
      <c r="AB109" s="69" t="n"/>
      <c r="AC109" s="69" t="n"/>
      <c r="AD109" s="69" t="n"/>
      <c r="AE109" s="69" t="n"/>
    </row>
    <row r="110" ht="15.75" customHeight="1" s="673">
      <c r="A110" s="69" t="n"/>
      <c r="B110" s="131" t="n"/>
      <c r="C110" s="131" t="n"/>
      <c r="D110" s="131" t="n"/>
      <c r="E110" s="131" t="n"/>
      <c r="F110" s="131" t="n"/>
      <c r="G110" s="131" t="n"/>
      <c r="H110" s="131" t="n"/>
      <c r="I110" s="131" t="n"/>
      <c r="J110" s="131" t="n"/>
      <c r="K110" s="131" t="n"/>
      <c r="L110" s="131" t="n"/>
      <c r="M110" s="131" t="n"/>
      <c r="N110" s="131" t="n"/>
      <c r="O110" s="131" t="n"/>
      <c r="P110" s="131" t="n"/>
      <c r="Q110" s="131" t="n"/>
      <c r="R110" s="131" t="n"/>
      <c r="S110" s="131" t="n"/>
      <c r="T110" s="131" t="n"/>
      <c r="U110" s="69" t="n"/>
      <c r="V110" s="69" t="n"/>
      <c r="W110" s="69" t="n"/>
      <c r="X110" s="69" t="n"/>
      <c r="Y110" s="69" t="n"/>
      <c r="Z110" s="69" t="n"/>
      <c r="AA110" s="69" t="n"/>
      <c r="AB110" s="69" t="n"/>
      <c r="AC110" s="69" t="n"/>
      <c r="AD110" s="69" t="n"/>
      <c r="AE110" s="69" t="n"/>
    </row>
    <row r="111" ht="15.75" customHeight="1" s="673">
      <c r="A111" s="69" t="n"/>
      <c r="B111" s="131" t="n"/>
      <c r="C111" s="131" t="n"/>
      <c r="D111" s="131" t="n"/>
      <c r="E111" s="131" t="n"/>
      <c r="F111" s="131" t="n"/>
      <c r="G111" s="131" t="n"/>
      <c r="H111" s="131" t="n"/>
      <c r="I111" s="131" t="n"/>
      <c r="J111" s="131" t="n"/>
      <c r="K111" s="131" t="n"/>
      <c r="L111" s="131" t="n"/>
      <c r="M111" s="131" t="n"/>
      <c r="N111" s="131" t="n"/>
      <c r="O111" s="131" t="n"/>
      <c r="P111" s="131" t="n"/>
      <c r="Q111" s="131" t="n"/>
      <c r="R111" s="131" t="n"/>
      <c r="S111" s="131" t="n"/>
      <c r="T111" s="131" t="n"/>
      <c r="U111" s="69" t="n"/>
      <c r="V111" s="69" t="n"/>
      <c r="W111" s="69" t="n"/>
      <c r="X111" s="69" t="n"/>
      <c r="Y111" s="69" t="n"/>
      <c r="Z111" s="69" t="n"/>
      <c r="AA111" s="69" t="n"/>
      <c r="AB111" s="69" t="n"/>
      <c r="AC111" s="69" t="n"/>
      <c r="AD111" s="69" t="n"/>
      <c r="AE111" s="69" t="n"/>
    </row>
    <row r="112" ht="15.75" customHeight="1" s="673">
      <c r="A112" s="69" t="n"/>
      <c r="B112" s="131" t="n"/>
      <c r="C112" s="131" t="n"/>
      <c r="D112" s="131" t="n"/>
      <c r="E112" s="131" t="n"/>
      <c r="F112" s="131" t="n"/>
      <c r="G112" s="131" t="n"/>
      <c r="H112" s="131" t="n"/>
      <c r="I112" s="131" t="n"/>
      <c r="J112" s="131" t="n"/>
      <c r="K112" s="131" t="n"/>
      <c r="L112" s="131" t="n"/>
      <c r="M112" s="131" t="n"/>
      <c r="N112" s="131" t="n"/>
      <c r="O112" s="131" t="n"/>
      <c r="P112" s="131" t="n"/>
      <c r="Q112" s="131" t="n"/>
      <c r="R112" s="131" t="n"/>
      <c r="S112" s="131" t="n"/>
      <c r="T112" s="131" t="n"/>
      <c r="U112" s="69" t="n"/>
      <c r="V112" s="69" t="n"/>
      <c r="W112" s="69" t="n"/>
      <c r="X112" s="69" t="n"/>
      <c r="Y112" s="69" t="n"/>
      <c r="Z112" s="69" t="n"/>
      <c r="AA112" s="69" t="n"/>
      <c r="AB112" s="69" t="n"/>
      <c r="AC112" s="69" t="n"/>
      <c r="AD112" s="69" t="n"/>
      <c r="AE112" s="69" t="n"/>
    </row>
    <row r="113" ht="15.75" customHeight="1" s="673">
      <c r="A113" s="69" t="n"/>
      <c r="B113" s="131" t="n"/>
      <c r="C113" s="131" t="n"/>
      <c r="D113" s="131" t="n"/>
      <c r="E113" s="131" t="n"/>
      <c r="F113" s="131" t="n"/>
      <c r="G113" s="131" t="n"/>
      <c r="H113" s="131" t="n"/>
      <c r="I113" s="131" t="n"/>
      <c r="J113" s="131" t="n"/>
      <c r="K113" s="131" t="n"/>
      <c r="L113" s="131" t="n"/>
      <c r="M113" s="131" t="n"/>
      <c r="N113" s="131" t="n"/>
      <c r="O113" s="131" t="n"/>
      <c r="P113" s="131" t="n"/>
      <c r="Q113" s="131" t="n"/>
      <c r="R113" s="131" t="n"/>
      <c r="S113" s="131" t="n"/>
      <c r="T113" s="131" t="n"/>
      <c r="U113" s="69" t="n"/>
      <c r="V113" s="69" t="n"/>
      <c r="W113" s="69" t="n"/>
      <c r="X113" s="69" t="n"/>
      <c r="Y113" s="69" t="n"/>
      <c r="Z113" s="69" t="n"/>
      <c r="AA113" s="69" t="n"/>
      <c r="AB113" s="69" t="n"/>
      <c r="AC113" s="69" t="n"/>
      <c r="AD113" s="69" t="n"/>
      <c r="AE113" s="69" t="n"/>
    </row>
    <row r="114" ht="15.75" customHeight="1" s="673">
      <c r="A114" s="69" t="n"/>
      <c r="B114" s="131" t="n"/>
      <c r="C114" s="131" t="n"/>
      <c r="D114" s="131" t="n"/>
      <c r="E114" s="131" t="n"/>
      <c r="F114" s="131" t="n"/>
      <c r="G114" s="131" t="n"/>
      <c r="H114" s="131" t="n"/>
      <c r="I114" s="131" t="n"/>
      <c r="J114" s="131" t="n"/>
      <c r="K114" s="131" t="n"/>
      <c r="L114" s="131" t="n"/>
      <c r="M114" s="131" t="n"/>
      <c r="N114" s="131" t="n"/>
      <c r="O114" s="131" t="n"/>
      <c r="P114" s="131" t="n"/>
      <c r="Q114" s="131" t="n"/>
      <c r="R114" s="131" t="n"/>
      <c r="S114" s="131" t="n"/>
      <c r="T114" s="131" t="n"/>
      <c r="U114" s="69" t="n"/>
      <c r="V114" s="69" t="n"/>
      <c r="W114" s="69" t="n"/>
      <c r="X114" s="69" t="n"/>
      <c r="Y114" s="69" t="n"/>
      <c r="Z114" s="69" t="n"/>
      <c r="AA114" s="69" t="n"/>
      <c r="AB114" s="69" t="n"/>
      <c r="AC114" s="69" t="n"/>
      <c r="AD114" s="69" t="n"/>
      <c r="AE114" s="69" t="n"/>
    </row>
    <row r="115" ht="15.75" customHeight="1" s="673">
      <c r="A115" s="69" t="n"/>
      <c r="B115" s="131" t="n"/>
      <c r="C115" s="131" t="n"/>
      <c r="D115" s="131" t="n"/>
      <c r="E115" s="131" t="n"/>
      <c r="F115" s="131" t="n"/>
      <c r="G115" s="131" t="n"/>
      <c r="H115" s="131" t="n"/>
      <c r="I115" s="131" t="n"/>
      <c r="J115" s="131" t="n"/>
      <c r="K115" s="131" t="n"/>
      <c r="L115" s="131" t="n"/>
      <c r="M115" s="131" t="n"/>
      <c r="N115" s="131" t="n"/>
      <c r="O115" s="131" t="n"/>
      <c r="P115" s="131" t="n"/>
      <c r="Q115" s="131" t="n"/>
      <c r="R115" s="131" t="n"/>
      <c r="S115" s="131" t="n"/>
      <c r="T115" s="131" t="n"/>
      <c r="U115" s="69" t="n"/>
      <c r="V115" s="69" t="n"/>
      <c r="W115" s="69" t="n"/>
      <c r="X115" s="69" t="n"/>
      <c r="Y115" s="69" t="n"/>
      <c r="Z115" s="69" t="n"/>
      <c r="AA115" s="69" t="n"/>
      <c r="AB115" s="69" t="n"/>
      <c r="AC115" s="69" t="n"/>
      <c r="AD115" s="69" t="n"/>
      <c r="AE115" s="69" t="n"/>
    </row>
    <row r="116" ht="15.75" customHeight="1" s="673">
      <c r="A116" s="69" t="n"/>
      <c r="B116" s="131" t="n"/>
      <c r="C116" s="131" t="n"/>
      <c r="D116" s="131" t="n"/>
      <c r="E116" s="131" t="n"/>
      <c r="F116" s="131" t="n"/>
      <c r="G116" s="131" t="n"/>
      <c r="H116" s="131" t="n"/>
      <c r="I116" s="131" t="n"/>
      <c r="J116" s="131" t="n"/>
      <c r="K116" s="131" t="n"/>
      <c r="L116" s="131" t="n"/>
      <c r="M116" s="131" t="n"/>
      <c r="N116" s="131" t="n"/>
      <c r="O116" s="131" t="n"/>
      <c r="P116" s="131" t="n"/>
      <c r="Q116" s="131" t="n"/>
      <c r="R116" s="131" t="n"/>
      <c r="S116" s="131" t="n"/>
      <c r="T116" s="131" t="n"/>
      <c r="U116" s="69" t="n"/>
      <c r="V116" s="69" t="n"/>
      <c r="W116" s="69" t="n"/>
      <c r="X116" s="69" t="n"/>
      <c r="Y116" s="69" t="n"/>
      <c r="Z116" s="69" t="n"/>
      <c r="AA116" s="69" t="n"/>
      <c r="AB116" s="69" t="n"/>
      <c r="AC116" s="69" t="n"/>
      <c r="AD116" s="69" t="n"/>
      <c r="AE116" s="69" t="n"/>
    </row>
    <row r="117" ht="15.75" customHeight="1" s="673">
      <c r="A117" s="69" t="n"/>
      <c r="B117" s="131" t="n"/>
      <c r="C117" s="131" t="n"/>
      <c r="D117" s="131" t="n"/>
      <c r="E117" s="131" t="n"/>
      <c r="F117" s="131" t="n"/>
      <c r="G117" s="131" t="n"/>
      <c r="H117" s="131" t="n"/>
      <c r="I117" s="131" t="n"/>
      <c r="J117" s="131" t="n"/>
      <c r="K117" s="131" t="n"/>
      <c r="L117" s="131" t="n"/>
      <c r="M117" s="131" t="n"/>
      <c r="N117" s="131" t="n"/>
      <c r="O117" s="131" t="n"/>
      <c r="P117" s="131" t="n"/>
      <c r="Q117" s="131" t="n"/>
      <c r="R117" s="131" t="n"/>
      <c r="S117" s="131" t="n"/>
      <c r="T117" s="131" t="n"/>
      <c r="U117" s="69" t="n"/>
      <c r="V117" s="69" t="n"/>
      <c r="W117" s="69" t="n"/>
      <c r="X117" s="69" t="n"/>
      <c r="Y117" s="69" t="n"/>
      <c r="Z117" s="69" t="n"/>
      <c r="AA117" s="69" t="n"/>
      <c r="AB117" s="69" t="n"/>
      <c r="AC117" s="69" t="n"/>
      <c r="AD117" s="69" t="n"/>
      <c r="AE117" s="69" t="n"/>
    </row>
    <row r="118" ht="15.75" customHeight="1" s="673">
      <c r="A118" s="69" t="n"/>
      <c r="B118" s="131" t="n"/>
      <c r="C118" s="131" t="n"/>
      <c r="D118" s="131" t="n"/>
      <c r="E118" s="131" t="n"/>
      <c r="F118" s="131" t="n"/>
      <c r="G118" s="131" t="n"/>
      <c r="H118" s="131" t="n"/>
      <c r="I118" s="131" t="n"/>
      <c r="J118" s="131" t="n"/>
      <c r="K118" s="131" t="n"/>
      <c r="L118" s="131" t="n"/>
      <c r="M118" s="131" t="n"/>
      <c r="N118" s="131" t="n"/>
      <c r="O118" s="131" t="n"/>
      <c r="P118" s="131" t="n"/>
      <c r="Q118" s="131" t="n"/>
      <c r="R118" s="131" t="n"/>
      <c r="S118" s="131" t="n"/>
      <c r="T118" s="131" t="n"/>
      <c r="U118" s="69" t="n"/>
      <c r="V118" s="69" t="n"/>
      <c r="W118" s="69" t="n"/>
      <c r="X118" s="69" t="n"/>
      <c r="Y118" s="69" t="n"/>
      <c r="Z118" s="69" t="n"/>
      <c r="AA118" s="69" t="n"/>
      <c r="AB118" s="69" t="n"/>
      <c r="AC118" s="69" t="n"/>
      <c r="AD118" s="69" t="n"/>
      <c r="AE118" s="69" t="n"/>
    </row>
    <row r="119" ht="15.75" customHeight="1" s="673">
      <c r="A119" s="69" t="n"/>
      <c r="B119" s="131" t="n"/>
      <c r="C119" s="131" t="n"/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  <c r="M119" s="131" t="n"/>
      <c r="N119" s="131" t="n"/>
      <c r="O119" s="131" t="n"/>
      <c r="P119" s="131" t="n"/>
      <c r="Q119" s="131" t="n"/>
      <c r="R119" s="131" t="n"/>
      <c r="S119" s="131" t="n"/>
      <c r="T119" s="131" t="n"/>
      <c r="U119" s="69" t="n"/>
      <c r="V119" s="69" t="n"/>
      <c r="W119" s="69" t="n"/>
      <c r="X119" s="69" t="n"/>
      <c r="Y119" s="69" t="n"/>
      <c r="Z119" s="69" t="n"/>
      <c r="AA119" s="69" t="n"/>
      <c r="AB119" s="69" t="n"/>
      <c r="AC119" s="69" t="n"/>
      <c r="AD119" s="69" t="n"/>
      <c r="AE119" s="69" t="n"/>
    </row>
    <row r="120" ht="15.75" customHeight="1" s="673">
      <c r="A120" s="69" t="n"/>
      <c r="B120" s="131" t="n"/>
      <c r="C120" s="131" t="n"/>
      <c r="D120" s="131" t="n"/>
      <c r="E120" s="131" t="n"/>
      <c r="F120" s="131" t="n"/>
      <c r="G120" s="131" t="n"/>
      <c r="H120" s="131" t="n"/>
      <c r="I120" s="131" t="n"/>
      <c r="J120" s="131" t="n"/>
      <c r="K120" s="131" t="n"/>
      <c r="L120" s="131" t="n"/>
      <c r="M120" s="131" t="n"/>
      <c r="N120" s="131" t="n"/>
      <c r="O120" s="131" t="n"/>
      <c r="P120" s="131" t="n"/>
      <c r="Q120" s="131" t="n"/>
      <c r="R120" s="131" t="n"/>
      <c r="S120" s="131" t="n"/>
      <c r="T120" s="131" t="n"/>
      <c r="U120" s="69" t="n"/>
      <c r="V120" s="69" t="n"/>
      <c r="W120" s="69" t="n"/>
      <c r="X120" s="69" t="n"/>
      <c r="Y120" s="69" t="n"/>
      <c r="Z120" s="69" t="n"/>
      <c r="AA120" s="69" t="n"/>
      <c r="AB120" s="69" t="n"/>
      <c r="AC120" s="69" t="n"/>
      <c r="AD120" s="69" t="n"/>
      <c r="AE120" s="69" t="n"/>
    </row>
    <row r="121" ht="15.75" customHeight="1" s="673">
      <c r="A121" s="69" t="n"/>
      <c r="B121" s="131" t="n"/>
      <c r="C121" s="131" t="n"/>
      <c r="D121" s="131" t="n"/>
      <c r="E121" s="131" t="n"/>
      <c r="F121" s="131" t="n"/>
      <c r="G121" s="131" t="n"/>
      <c r="H121" s="131" t="n"/>
      <c r="I121" s="131" t="n"/>
      <c r="J121" s="131" t="n"/>
      <c r="K121" s="131" t="n"/>
      <c r="L121" s="131" t="n"/>
      <c r="M121" s="131" t="n"/>
      <c r="N121" s="131" t="n"/>
      <c r="O121" s="131" t="n"/>
      <c r="P121" s="131" t="n"/>
      <c r="Q121" s="131" t="n"/>
      <c r="R121" s="131" t="n"/>
      <c r="S121" s="131" t="n"/>
      <c r="T121" s="131" t="n"/>
      <c r="U121" s="69" t="n"/>
      <c r="V121" s="69" t="n"/>
      <c r="W121" s="69" t="n"/>
      <c r="X121" s="69" t="n"/>
      <c r="Y121" s="69" t="n"/>
      <c r="Z121" s="69" t="n"/>
      <c r="AA121" s="69" t="n"/>
      <c r="AB121" s="69" t="n"/>
      <c r="AC121" s="69" t="n"/>
      <c r="AD121" s="69" t="n"/>
      <c r="AE121" s="69" t="n"/>
    </row>
    <row r="122" ht="15.75" customHeight="1" s="673">
      <c r="A122" s="69" t="n"/>
      <c r="B122" s="131" t="n"/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1" t="n"/>
      <c r="M122" s="131" t="n"/>
      <c r="N122" s="131" t="n"/>
      <c r="O122" s="131" t="n"/>
      <c r="P122" s="131" t="n"/>
      <c r="Q122" s="131" t="n"/>
      <c r="R122" s="131" t="n"/>
      <c r="S122" s="131" t="n"/>
      <c r="T122" s="131" t="n"/>
      <c r="U122" s="69" t="n"/>
      <c r="V122" s="69" t="n"/>
      <c r="W122" s="69" t="n"/>
      <c r="X122" s="69" t="n"/>
      <c r="Y122" s="69" t="n"/>
      <c r="Z122" s="69" t="n"/>
      <c r="AA122" s="69" t="n"/>
      <c r="AB122" s="69" t="n"/>
      <c r="AC122" s="69" t="n"/>
      <c r="AD122" s="69" t="n"/>
      <c r="AE122" s="69" t="n"/>
    </row>
    <row r="123" ht="15.75" customHeight="1" s="673">
      <c r="A123" s="69" t="n"/>
      <c r="B123" s="131" t="n"/>
      <c r="C123" s="131" t="n"/>
      <c r="D123" s="131" t="n"/>
      <c r="E123" s="131" t="n"/>
      <c r="F123" s="131" t="n"/>
      <c r="G123" s="131" t="n"/>
      <c r="H123" s="131" t="n"/>
      <c r="I123" s="131" t="n"/>
      <c r="J123" s="131" t="n"/>
      <c r="K123" s="131" t="n"/>
      <c r="L123" s="131" t="n"/>
      <c r="M123" s="131" t="n"/>
      <c r="N123" s="131" t="n"/>
      <c r="O123" s="131" t="n"/>
      <c r="P123" s="131" t="n"/>
      <c r="Q123" s="131" t="n"/>
      <c r="R123" s="131" t="n"/>
      <c r="S123" s="131" t="n"/>
      <c r="T123" s="131" t="n"/>
      <c r="U123" s="69" t="n"/>
      <c r="V123" s="69" t="n"/>
      <c r="W123" s="69" t="n"/>
      <c r="X123" s="69" t="n"/>
      <c r="Y123" s="69" t="n"/>
      <c r="Z123" s="69" t="n"/>
      <c r="AA123" s="69" t="n"/>
      <c r="AB123" s="69" t="n"/>
      <c r="AC123" s="69" t="n"/>
      <c r="AD123" s="69" t="n"/>
      <c r="AE123" s="69" t="n"/>
    </row>
    <row r="124" ht="15.75" customHeight="1" s="673">
      <c r="A124" s="69" t="n"/>
      <c r="B124" s="131" t="n"/>
      <c r="C124" s="131" t="n"/>
      <c r="D124" s="131" t="n"/>
      <c r="E124" s="131" t="n"/>
      <c r="F124" s="131" t="n"/>
      <c r="G124" s="131" t="n"/>
      <c r="H124" s="131" t="n"/>
      <c r="I124" s="131" t="n"/>
      <c r="J124" s="131" t="n"/>
      <c r="K124" s="131" t="n"/>
      <c r="L124" s="131" t="n"/>
      <c r="M124" s="131" t="n"/>
      <c r="N124" s="131" t="n"/>
      <c r="O124" s="131" t="n"/>
      <c r="P124" s="131" t="n"/>
      <c r="Q124" s="131" t="n"/>
      <c r="R124" s="131" t="n"/>
      <c r="S124" s="131" t="n"/>
      <c r="T124" s="131" t="n"/>
      <c r="U124" s="69" t="n"/>
      <c r="V124" s="69" t="n"/>
      <c r="W124" s="69" t="n"/>
      <c r="X124" s="69" t="n"/>
      <c r="Y124" s="69" t="n"/>
      <c r="Z124" s="69" t="n"/>
      <c r="AA124" s="69" t="n"/>
      <c r="AB124" s="69" t="n"/>
      <c r="AC124" s="69" t="n"/>
      <c r="AD124" s="69" t="n"/>
      <c r="AE124" s="69" t="n"/>
    </row>
    <row r="125" ht="15.75" customHeight="1" s="673">
      <c r="A125" s="69" t="n"/>
      <c r="B125" s="131" t="n"/>
      <c r="C125" s="131" t="n"/>
      <c r="D125" s="131" t="n"/>
      <c r="E125" s="131" t="n"/>
      <c r="F125" s="131" t="n"/>
      <c r="G125" s="131" t="n"/>
      <c r="H125" s="131" t="n"/>
      <c r="I125" s="131" t="n"/>
      <c r="J125" s="131" t="n"/>
      <c r="K125" s="131" t="n"/>
      <c r="L125" s="131" t="n"/>
      <c r="M125" s="131" t="n"/>
      <c r="N125" s="131" t="n"/>
      <c r="O125" s="131" t="n"/>
      <c r="P125" s="131" t="n"/>
      <c r="Q125" s="131" t="n"/>
      <c r="R125" s="131" t="n"/>
      <c r="S125" s="131" t="n"/>
      <c r="T125" s="131" t="n"/>
      <c r="U125" s="69" t="n"/>
      <c r="V125" s="69" t="n"/>
      <c r="W125" s="69" t="n"/>
      <c r="X125" s="69" t="n"/>
      <c r="Y125" s="69" t="n"/>
      <c r="Z125" s="69" t="n"/>
      <c r="AA125" s="69" t="n"/>
      <c r="AB125" s="69" t="n"/>
      <c r="AC125" s="69" t="n"/>
      <c r="AD125" s="69" t="n"/>
      <c r="AE125" s="69" t="n"/>
    </row>
    <row r="126" ht="15.75" customHeight="1" s="673">
      <c r="A126" s="69" t="n"/>
      <c r="B126" s="131" t="n"/>
      <c r="C126" s="131" t="n"/>
      <c r="D126" s="131" t="n"/>
      <c r="E126" s="131" t="n"/>
      <c r="F126" s="131" t="n"/>
      <c r="G126" s="131" t="n"/>
      <c r="H126" s="131" t="n"/>
      <c r="I126" s="131" t="n"/>
      <c r="J126" s="131" t="n"/>
      <c r="K126" s="131" t="n"/>
      <c r="L126" s="131" t="n"/>
      <c r="M126" s="131" t="n"/>
      <c r="N126" s="131" t="n"/>
      <c r="O126" s="131" t="n"/>
      <c r="P126" s="131" t="n"/>
      <c r="Q126" s="131" t="n"/>
      <c r="R126" s="131" t="n"/>
      <c r="S126" s="131" t="n"/>
      <c r="T126" s="131" t="n"/>
      <c r="U126" s="69" t="n"/>
      <c r="V126" s="69" t="n"/>
      <c r="W126" s="69" t="n"/>
      <c r="X126" s="69" t="n"/>
      <c r="Y126" s="69" t="n"/>
      <c r="Z126" s="69" t="n"/>
      <c r="AA126" s="69" t="n"/>
      <c r="AB126" s="69" t="n"/>
      <c r="AC126" s="69" t="n"/>
      <c r="AD126" s="69" t="n"/>
      <c r="AE126" s="69" t="n"/>
    </row>
    <row r="127" ht="15.75" customHeight="1" s="673">
      <c r="A127" s="69" t="n"/>
      <c r="B127" s="131" t="n"/>
      <c r="C127" s="131" t="n"/>
      <c r="D127" s="131" t="n"/>
      <c r="E127" s="131" t="n"/>
      <c r="F127" s="131" t="n"/>
      <c r="G127" s="131" t="n"/>
      <c r="H127" s="131" t="n"/>
      <c r="I127" s="131" t="n"/>
      <c r="J127" s="131" t="n"/>
      <c r="K127" s="131" t="n"/>
      <c r="L127" s="131" t="n"/>
      <c r="M127" s="131" t="n"/>
      <c r="N127" s="131" t="n"/>
      <c r="O127" s="131" t="n"/>
      <c r="P127" s="131" t="n"/>
      <c r="Q127" s="131" t="n"/>
      <c r="R127" s="131" t="n"/>
      <c r="S127" s="131" t="n"/>
      <c r="T127" s="131" t="n"/>
      <c r="U127" s="69" t="n"/>
      <c r="V127" s="69" t="n"/>
      <c r="W127" s="69" t="n"/>
      <c r="X127" s="69" t="n"/>
      <c r="Y127" s="69" t="n"/>
      <c r="Z127" s="69" t="n"/>
      <c r="AA127" s="69" t="n"/>
      <c r="AB127" s="69" t="n"/>
      <c r="AC127" s="69" t="n"/>
      <c r="AD127" s="69" t="n"/>
      <c r="AE127" s="69" t="n"/>
    </row>
    <row r="128" ht="15.75" customHeight="1" s="673">
      <c r="A128" s="69" t="n"/>
      <c r="B128" s="131" t="n"/>
      <c r="C128" s="131" t="n"/>
      <c r="D128" s="131" t="n"/>
      <c r="E128" s="131" t="n"/>
      <c r="F128" s="131" t="n"/>
      <c r="G128" s="131" t="n"/>
      <c r="H128" s="131" t="n"/>
      <c r="I128" s="131" t="n"/>
      <c r="J128" s="131" t="n"/>
      <c r="K128" s="131" t="n"/>
      <c r="L128" s="131" t="n"/>
      <c r="M128" s="131" t="n"/>
      <c r="N128" s="131" t="n"/>
      <c r="O128" s="131" t="n"/>
      <c r="P128" s="131" t="n"/>
      <c r="Q128" s="131" t="n"/>
      <c r="R128" s="131" t="n"/>
      <c r="S128" s="131" t="n"/>
      <c r="T128" s="131" t="n"/>
      <c r="U128" s="69" t="n"/>
      <c r="V128" s="69" t="n"/>
      <c r="W128" s="69" t="n"/>
      <c r="X128" s="69" t="n"/>
      <c r="Y128" s="69" t="n"/>
      <c r="Z128" s="69" t="n"/>
      <c r="AA128" s="69" t="n"/>
      <c r="AB128" s="69" t="n"/>
      <c r="AC128" s="69" t="n"/>
      <c r="AD128" s="69" t="n"/>
      <c r="AE128" s="69" t="n"/>
    </row>
    <row r="129" ht="15.75" customHeight="1" s="673">
      <c r="A129" s="69" t="n"/>
      <c r="B129" s="131" t="n"/>
      <c r="C129" s="131" t="n"/>
      <c r="D129" s="131" t="n"/>
      <c r="E129" s="131" t="n"/>
      <c r="F129" s="131" t="n"/>
      <c r="G129" s="131" t="n"/>
      <c r="H129" s="131" t="n"/>
      <c r="I129" s="131" t="n"/>
      <c r="J129" s="131" t="n"/>
      <c r="K129" s="131" t="n"/>
      <c r="L129" s="131" t="n"/>
      <c r="M129" s="131" t="n"/>
      <c r="N129" s="131" t="n"/>
      <c r="O129" s="131" t="n"/>
      <c r="P129" s="131" t="n"/>
      <c r="Q129" s="131" t="n"/>
      <c r="R129" s="131" t="n"/>
      <c r="S129" s="131" t="n"/>
      <c r="T129" s="131" t="n"/>
      <c r="U129" s="69" t="n"/>
      <c r="V129" s="69" t="n"/>
      <c r="W129" s="69" t="n"/>
      <c r="X129" s="69" t="n"/>
      <c r="Y129" s="69" t="n"/>
      <c r="Z129" s="69" t="n"/>
      <c r="AA129" s="69" t="n"/>
      <c r="AB129" s="69" t="n"/>
      <c r="AC129" s="69" t="n"/>
      <c r="AD129" s="69" t="n"/>
      <c r="AE129" s="69" t="n"/>
    </row>
    <row r="130" ht="15.75" customHeight="1" s="673">
      <c r="A130" s="69" t="n"/>
      <c r="B130" s="131" t="n"/>
      <c r="C130" s="131" t="n"/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  <c r="M130" s="131" t="n"/>
      <c r="N130" s="131" t="n"/>
      <c r="O130" s="131" t="n"/>
      <c r="P130" s="131" t="n"/>
      <c r="Q130" s="131" t="n"/>
      <c r="R130" s="131" t="n"/>
      <c r="S130" s="131" t="n"/>
      <c r="T130" s="131" t="n"/>
      <c r="U130" s="69" t="n"/>
      <c r="V130" s="69" t="n"/>
      <c r="W130" s="69" t="n"/>
      <c r="X130" s="69" t="n"/>
      <c r="Y130" s="69" t="n"/>
      <c r="Z130" s="69" t="n"/>
      <c r="AA130" s="69" t="n"/>
      <c r="AB130" s="69" t="n"/>
      <c r="AC130" s="69" t="n"/>
      <c r="AD130" s="69" t="n"/>
      <c r="AE130" s="69" t="n"/>
    </row>
    <row r="131" ht="15.75" customHeight="1" s="673">
      <c r="A131" s="69" t="n"/>
      <c r="B131" s="131" t="n"/>
      <c r="C131" s="131" t="n"/>
      <c r="D131" s="131" t="n"/>
      <c r="E131" s="131" t="n"/>
      <c r="F131" s="131" t="n"/>
      <c r="G131" s="131" t="n"/>
      <c r="H131" s="131" t="n"/>
      <c r="I131" s="131" t="n"/>
      <c r="J131" s="131" t="n"/>
      <c r="K131" s="131" t="n"/>
      <c r="L131" s="131" t="n"/>
      <c r="M131" s="131" t="n"/>
      <c r="N131" s="131" t="n"/>
      <c r="O131" s="131" t="n"/>
      <c r="P131" s="131" t="n"/>
      <c r="Q131" s="131" t="n"/>
      <c r="R131" s="131" t="n"/>
      <c r="S131" s="131" t="n"/>
      <c r="T131" s="131" t="n"/>
      <c r="U131" s="69" t="n"/>
      <c r="V131" s="69" t="n"/>
      <c r="W131" s="69" t="n"/>
      <c r="X131" s="69" t="n"/>
      <c r="Y131" s="69" t="n"/>
      <c r="Z131" s="69" t="n"/>
      <c r="AA131" s="69" t="n"/>
      <c r="AB131" s="69" t="n"/>
      <c r="AC131" s="69" t="n"/>
      <c r="AD131" s="69" t="n"/>
      <c r="AE131" s="69" t="n"/>
    </row>
    <row r="132" ht="15.75" customHeight="1" s="673">
      <c r="A132" s="69" t="n"/>
      <c r="B132" s="131" t="n"/>
      <c r="C132" s="131" t="n"/>
      <c r="D132" s="131" t="n"/>
      <c r="E132" s="131" t="n"/>
      <c r="F132" s="131" t="n"/>
      <c r="G132" s="131" t="n"/>
      <c r="H132" s="131" t="n"/>
      <c r="I132" s="131" t="n"/>
      <c r="J132" s="131" t="n"/>
      <c r="K132" s="131" t="n"/>
      <c r="L132" s="131" t="n"/>
      <c r="M132" s="131" t="n"/>
      <c r="N132" s="131" t="n"/>
      <c r="O132" s="131" t="n"/>
      <c r="P132" s="131" t="n"/>
      <c r="Q132" s="131" t="n"/>
      <c r="R132" s="131" t="n"/>
      <c r="S132" s="131" t="n"/>
      <c r="T132" s="131" t="n"/>
      <c r="U132" s="69" t="n"/>
      <c r="V132" s="69" t="n"/>
      <c r="W132" s="69" t="n"/>
      <c r="X132" s="69" t="n"/>
      <c r="Y132" s="69" t="n"/>
      <c r="Z132" s="69" t="n"/>
      <c r="AA132" s="69" t="n"/>
      <c r="AB132" s="69" t="n"/>
      <c r="AC132" s="69" t="n"/>
      <c r="AD132" s="69" t="n"/>
      <c r="AE132" s="69" t="n"/>
    </row>
    <row r="133" ht="15.75" customHeight="1" s="673">
      <c r="A133" s="69" t="n"/>
      <c r="B133" s="131" t="n"/>
      <c r="C133" s="131" t="n"/>
      <c r="D133" s="131" t="n"/>
      <c r="E133" s="131" t="n"/>
      <c r="F133" s="131" t="n"/>
      <c r="G133" s="131" t="n"/>
      <c r="H133" s="131" t="n"/>
      <c r="I133" s="131" t="n"/>
      <c r="J133" s="131" t="n"/>
      <c r="K133" s="131" t="n"/>
      <c r="L133" s="131" t="n"/>
      <c r="M133" s="131" t="n"/>
      <c r="N133" s="131" t="n"/>
      <c r="O133" s="131" t="n"/>
      <c r="P133" s="131" t="n"/>
      <c r="Q133" s="131" t="n"/>
      <c r="R133" s="131" t="n"/>
      <c r="S133" s="131" t="n"/>
      <c r="T133" s="131" t="n"/>
      <c r="U133" s="69" t="n"/>
      <c r="V133" s="69" t="n"/>
      <c r="W133" s="69" t="n"/>
      <c r="X133" s="69" t="n"/>
      <c r="Y133" s="69" t="n"/>
      <c r="Z133" s="69" t="n"/>
      <c r="AA133" s="69" t="n"/>
      <c r="AB133" s="69" t="n"/>
      <c r="AC133" s="69" t="n"/>
      <c r="AD133" s="69" t="n"/>
      <c r="AE133" s="69" t="n"/>
    </row>
    <row r="134" ht="15.75" customHeight="1" s="673">
      <c r="A134" s="69" t="n"/>
      <c r="B134" s="131" t="n"/>
      <c r="C134" s="131" t="n"/>
      <c r="D134" s="131" t="n"/>
      <c r="E134" s="131" t="n"/>
      <c r="F134" s="131" t="n"/>
      <c r="G134" s="131" t="n"/>
      <c r="H134" s="131" t="n"/>
      <c r="I134" s="131" t="n"/>
      <c r="J134" s="131" t="n"/>
      <c r="K134" s="131" t="n"/>
      <c r="L134" s="131" t="n"/>
      <c r="M134" s="131" t="n"/>
      <c r="N134" s="131" t="n"/>
      <c r="O134" s="131" t="n"/>
      <c r="P134" s="131" t="n"/>
      <c r="Q134" s="131" t="n"/>
      <c r="R134" s="131" t="n"/>
      <c r="S134" s="131" t="n"/>
      <c r="T134" s="131" t="n"/>
      <c r="U134" s="69" t="n"/>
      <c r="V134" s="69" t="n"/>
      <c r="W134" s="69" t="n"/>
      <c r="X134" s="69" t="n"/>
      <c r="Y134" s="69" t="n"/>
      <c r="Z134" s="69" t="n"/>
      <c r="AA134" s="69" t="n"/>
      <c r="AB134" s="69" t="n"/>
      <c r="AC134" s="69" t="n"/>
      <c r="AD134" s="69" t="n"/>
      <c r="AE134" s="69" t="n"/>
    </row>
    <row r="135" ht="15.75" customHeight="1" s="673">
      <c r="A135" s="69" t="n"/>
      <c r="B135" s="131" t="n"/>
      <c r="C135" s="131" t="n"/>
      <c r="D135" s="131" t="n"/>
      <c r="E135" s="131" t="n"/>
      <c r="F135" s="131" t="n"/>
      <c r="G135" s="131" t="n"/>
      <c r="H135" s="131" t="n"/>
      <c r="I135" s="131" t="n"/>
      <c r="J135" s="131" t="n"/>
      <c r="K135" s="131" t="n"/>
      <c r="L135" s="131" t="n"/>
      <c r="M135" s="131" t="n"/>
      <c r="N135" s="131" t="n"/>
      <c r="O135" s="131" t="n"/>
      <c r="P135" s="131" t="n"/>
      <c r="Q135" s="131" t="n"/>
      <c r="R135" s="131" t="n"/>
      <c r="S135" s="131" t="n"/>
      <c r="T135" s="131" t="n"/>
      <c r="U135" s="69" t="n"/>
      <c r="V135" s="69" t="n"/>
      <c r="W135" s="69" t="n"/>
      <c r="X135" s="69" t="n"/>
      <c r="Y135" s="69" t="n"/>
      <c r="Z135" s="69" t="n"/>
      <c r="AA135" s="69" t="n"/>
      <c r="AB135" s="69" t="n"/>
      <c r="AC135" s="69" t="n"/>
      <c r="AD135" s="69" t="n"/>
      <c r="AE135" s="69" t="n"/>
    </row>
    <row r="136" ht="15.75" customHeight="1" s="673">
      <c r="A136" s="69" t="n"/>
      <c r="B136" s="131" t="n"/>
      <c r="C136" s="131" t="n"/>
      <c r="D136" s="131" t="n"/>
      <c r="E136" s="131" t="n"/>
      <c r="F136" s="131" t="n"/>
      <c r="G136" s="131" t="n"/>
      <c r="H136" s="131" t="n"/>
      <c r="I136" s="131" t="n"/>
      <c r="J136" s="131" t="n"/>
      <c r="K136" s="131" t="n"/>
      <c r="L136" s="131" t="n"/>
      <c r="M136" s="131" t="n"/>
      <c r="N136" s="131" t="n"/>
      <c r="O136" s="131" t="n"/>
      <c r="P136" s="131" t="n"/>
      <c r="Q136" s="131" t="n"/>
      <c r="R136" s="131" t="n"/>
      <c r="S136" s="131" t="n"/>
      <c r="T136" s="131" t="n"/>
      <c r="U136" s="69" t="n"/>
      <c r="V136" s="69" t="n"/>
      <c r="W136" s="69" t="n"/>
      <c r="X136" s="69" t="n"/>
      <c r="Y136" s="69" t="n"/>
      <c r="Z136" s="69" t="n"/>
      <c r="AA136" s="69" t="n"/>
      <c r="AB136" s="69" t="n"/>
      <c r="AC136" s="69" t="n"/>
      <c r="AD136" s="69" t="n"/>
      <c r="AE136" s="69" t="n"/>
    </row>
    <row r="137" ht="15.75" customHeight="1" s="673">
      <c r="A137" s="69" t="n"/>
      <c r="B137" s="131" t="n"/>
      <c r="C137" s="131" t="n"/>
      <c r="D137" s="131" t="n"/>
      <c r="E137" s="131" t="n"/>
      <c r="F137" s="131" t="n"/>
      <c r="G137" s="131" t="n"/>
      <c r="H137" s="131" t="n"/>
      <c r="I137" s="131" t="n"/>
      <c r="J137" s="131" t="n"/>
      <c r="K137" s="131" t="n"/>
      <c r="L137" s="131" t="n"/>
      <c r="M137" s="131" t="n"/>
      <c r="N137" s="131" t="n"/>
      <c r="O137" s="131" t="n"/>
      <c r="P137" s="131" t="n"/>
      <c r="Q137" s="131" t="n"/>
      <c r="R137" s="131" t="n"/>
      <c r="S137" s="131" t="n"/>
      <c r="T137" s="131" t="n"/>
      <c r="U137" s="69" t="n"/>
      <c r="V137" s="69" t="n"/>
      <c r="W137" s="69" t="n"/>
      <c r="X137" s="69" t="n"/>
      <c r="Y137" s="69" t="n"/>
      <c r="Z137" s="69" t="n"/>
      <c r="AA137" s="69" t="n"/>
      <c r="AB137" s="69" t="n"/>
      <c r="AC137" s="69" t="n"/>
      <c r="AD137" s="69" t="n"/>
      <c r="AE137" s="69" t="n"/>
    </row>
    <row r="138" ht="15.75" customHeight="1" s="673">
      <c r="A138" s="69" t="n"/>
      <c r="B138" s="131" t="n"/>
      <c r="C138" s="131" t="n"/>
      <c r="D138" s="131" t="n"/>
      <c r="E138" s="131" t="n"/>
      <c r="F138" s="131" t="n"/>
      <c r="G138" s="131" t="n"/>
      <c r="H138" s="131" t="n"/>
      <c r="I138" s="131" t="n"/>
      <c r="J138" s="131" t="n"/>
      <c r="K138" s="131" t="n"/>
      <c r="L138" s="131" t="n"/>
      <c r="M138" s="131" t="n"/>
      <c r="N138" s="131" t="n"/>
      <c r="O138" s="131" t="n"/>
      <c r="P138" s="131" t="n"/>
      <c r="Q138" s="131" t="n"/>
      <c r="R138" s="131" t="n"/>
      <c r="S138" s="131" t="n"/>
      <c r="T138" s="131" t="n"/>
      <c r="U138" s="69" t="n"/>
      <c r="V138" s="69" t="n"/>
      <c r="W138" s="69" t="n"/>
      <c r="X138" s="69" t="n"/>
      <c r="Y138" s="69" t="n"/>
      <c r="Z138" s="69" t="n"/>
      <c r="AA138" s="69" t="n"/>
      <c r="AB138" s="69" t="n"/>
      <c r="AC138" s="69" t="n"/>
      <c r="AD138" s="69" t="n"/>
      <c r="AE138" s="69" t="n"/>
    </row>
    <row r="139" ht="15.75" customHeight="1" s="673">
      <c r="A139" s="69" t="n"/>
      <c r="B139" s="131" t="n"/>
      <c r="C139" s="131" t="n"/>
      <c r="D139" s="131" t="n"/>
      <c r="E139" s="131" t="n"/>
      <c r="F139" s="131" t="n"/>
      <c r="G139" s="131" t="n"/>
      <c r="H139" s="131" t="n"/>
      <c r="I139" s="131" t="n"/>
      <c r="J139" s="131" t="n"/>
      <c r="K139" s="131" t="n"/>
      <c r="L139" s="131" t="n"/>
      <c r="M139" s="131" t="n"/>
      <c r="N139" s="131" t="n"/>
      <c r="O139" s="131" t="n"/>
      <c r="P139" s="131" t="n"/>
      <c r="Q139" s="131" t="n"/>
      <c r="R139" s="131" t="n"/>
      <c r="S139" s="131" t="n"/>
      <c r="T139" s="131" t="n"/>
      <c r="U139" s="69" t="n"/>
      <c r="V139" s="69" t="n"/>
      <c r="W139" s="69" t="n"/>
      <c r="X139" s="69" t="n"/>
      <c r="Y139" s="69" t="n"/>
      <c r="Z139" s="69" t="n"/>
      <c r="AA139" s="69" t="n"/>
      <c r="AB139" s="69" t="n"/>
      <c r="AC139" s="69" t="n"/>
      <c r="AD139" s="69" t="n"/>
      <c r="AE139" s="69" t="n"/>
    </row>
    <row r="140" ht="15.75" customHeight="1" s="673">
      <c r="A140" s="69" t="n"/>
      <c r="B140" s="131" t="n"/>
      <c r="C140" s="131" t="n"/>
      <c r="D140" s="131" t="n"/>
      <c r="E140" s="131" t="n"/>
      <c r="F140" s="131" t="n"/>
      <c r="G140" s="131" t="n"/>
      <c r="H140" s="131" t="n"/>
      <c r="I140" s="131" t="n"/>
      <c r="J140" s="131" t="n"/>
      <c r="K140" s="131" t="n"/>
      <c r="L140" s="131" t="n"/>
      <c r="M140" s="131" t="n"/>
      <c r="N140" s="131" t="n"/>
      <c r="O140" s="131" t="n"/>
      <c r="P140" s="131" t="n"/>
      <c r="Q140" s="131" t="n"/>
      <c r="R140" s="131" t="n"/>
      <c r="S140" s="131" t="n"/>
      <c r="T140" s="131" t="n"/>
      <c r="U140" s="69" t="n"/>
      <c r="V140" s="69" t="n"/>
      <c r="W140" s="69" t="n"/>
      <c r="X140" s="69" t="n"/>
      <c r="Y140" s="69" t="n"/>
      <c r="Z140" s="69" t="n"/>
      <c r="AA140" s="69" t="n"/>
      <c r="AB140" s="69" t="n"/>
      <c r="AC140" s="69" t="n"/>
      <c r="AD140" s="69" t="n"/>
      <c r="AE140" s="69" t="n"/>
    </row>
    <row r="141" ht="15.75" customHeight="1" s="673">
      <c r="A141" s="69" t="n"/>
      <c r="B141" s="131" t="n"/>
      <c r="C141" s="131" t="n"/>
      <c r="D141" s="131" t="n"/>
      <c r="E141" s="131" t="n"/>
      <c r="F141" s="131" t="n"/>
      <c r="G141" s="131" t="n"/>
      <c r="H141" s="131" t="n"/>
      <c r="I141" s="131" t="n"/>
      <c r="J141" s="131" t="n"/>
      <c r="K141" s="131" t="n"/>
      <c r="L141" s="131" t="n"/>
      <c r="M141" s="131" t="n"/>
      <c r="N141" s="131" t="n"/>
      <c r="O141" s="131" t="n"/>
      <c r="P141" s="131" t="n"/>
      <c r="Q141" s="131" t="n"/>
      <c r="R141" s="131" t="n"/>
      <c r="S141" s="131" t="n"/>
      <c r="T141" s="131" t="n"/>
      <c r="U141" s="69" t="n"/>
      <c r="V141" s="69" t="n"/>
      <c r="W141" s="69" t="n"/>
      <c r="X141" s="69" t="n"/>
      <c r="Y141" s="69" t="n"/>
      <c r="Z141" s="69" t="n"/>
      <c r="AA141" s="69" t="n"/>
      <c r="AB141" s="69" t="n"/>
      <c r="AC141" s="69" t="n"/>
      <c r="AD141" s="69" t="n"/>
      <c r="AE141" s="69" t="n"/>
    </row>
    <row r="142" ht="15.75" customHeight="1" s="673">
      <c r="A142" s="69" t="n"/>
      <c r="B142" s="131" t="n"/>
      <c r="C142" s="131" t="n"/>
      <c r="D142" s="131" t="n"/>
      <c r="E142" s="131" t="n"/>
      <c r="F142" s="131" t="n"/>
      <c r="G142" s="131" t="n"/>
      <c r="H142" s="131" t="n"/>
      <c r="I142" s="131" t="n"/>
      <c r="J142" s="131" t="n"/>
      <c r="K142" s="131" t="n"/>
      <c r="L142" s="131" t="n"/>
      <c r="M142" s="131" t="n"/>
      <c r="N142" s="131" t="n"/>
      <c r="O142" s="131" t="n"/>
      <c r="P142" s="131" t="n"/>
      <c r="Q142" s="131" t="n"/>
      <c r="R142" s="131" t="n"/>
      <c r="S142" s="131" t="n"/>
      <c r="T142" s="131" t="n"/>
      <c r="U142" s="69" t="n"/>
      <c r="V142" s="69" t="n"/>
      <c r="W142" s="69" t="n"/>
      <c r="X142" s="69" t="n"/>
      <c r="Y142" s="69" t="n"/>
      <c r="Z142" s="69" t="n"/>
      <c r="AA142" s="69" t="n"/>
      <c r="AB142" s="69" t="n"/>
      <c r="AC142" s="69" t="n"/>
      <c r="AD142" s="69" t="n"/>
      <c r="AE142" s="69" t="n"/>
    </row>
    <row r="143" ht="15.75" customHeight="1" s="673">
      <c r="A143" s="69" t="n"/>
      <c r="B143" s="131" t="n"/>
      <c r="C143" s="131" t="n"/>
      <c r="D143" s="131" t="n"/>
      <c r="E143" s="131" t="n"/>
      <c r="F143" s="131" t="n"/>
      <c r="G143" s="131" t="n"/>
      <c r="H143" s="131" t="n"/>
      <c r="I143" s="131" t="n"/>
      <c r="J143" s="131" t="n"/>
      <c r="K143" s="131" t="n"/>
      <c r="L143" s="131" t="n"/>
      <c r="M143" s="131" t="n"/>
      <c r="N143" s="131" t="n"/>
      <c r="O143" s="131" t="n"/>
      <c r="P143" s="131" t="n"/>
      <c r="Q143" s="131" t="n"/>
      <c r="R143" s="131" t="n"/>
      <c r="S143" s="131" t="n"/>
      <c r="T143" s="131" t="n"/>
      <c r="U143" s="69" t="n"/>
      <c r="V143" s="69" t="n"/>
      <c r="W143" s="69" t="n"/>
      <c r="X143" s="69" t="n"/>
      <c r="Y143" s="69" t="n"/>
      <c r="Z143" s="69" t="n"/>
      <c r="AA143" s="69" t="n"/>
      <c r="AB143" s="69" t="n"/>
      <c r="AC143" s="69" t="n"/>
      <c r="AD143" s="69" t="n"/>
      <c r="AE143" s="69" t="n"/>
    </row>
    <row r="144" ht="15.75" customHeight="1" s="673">
      <c r="A144" s="69" t="n"/>
      <c r="B144" s="131" t="n"/>
      <c r="C144" s="131" t="n"/>
      <c r="D144" s="131" t="n"/>
      <c r="E144" s="131" t="n"/>
      <c r="F144" s="131" t="n"/>
      <c r="G144" s="131" t="n"/>
      <c r="H144" s="131" t="n"/>
      <c r="I144" s="131" t="n"/>
      <c r="J144" s="131" t="n"/>
      <c r="K144" s="131" t="n"/>
      <c r="L144" s="131" t="n"/>
      <c r="M144" s="131" t="n"/>
      <c r="N144" s="131" t="n"/>
      <c r="O144" s="131" t="n"/>
      <c r="P144" s="131" t="n"/>
      <c r="Q144" s="131" t="n"/>
      <c r="R144" s="131" t="n"/>
      <c r="S144" s="131" t="n"/>
      <c r="T144" s="131" t="n"/>
      <c r="U144" s="69" t="n"/>
      <c r="V144" s="69" t="n"/>
      <c r="W144" s="69" t="n"/>
      <c r="X144" s="69" t="n"/>
      <c r="Y144" s="69" t="n"/>
      <c r="Z144" s="69" t="n"/>
      <c r="AA144" s="69" t="n"/>
      <c r="AB144" s="69" t="n"/>
      <c r="AC144" s="69" t="n"/>
      <c r="AD144" s="69" t="n"/>
      <c r="AE144" s="69" t="n"/>
    </row>
    <row r="145" ht="15.75" customHeight="1" s="673">
      <c r="A145" s="69" t="n"/>
      <c r="B145" s="131" t="n"/>
      <c r="C145" s="131" t="n"/>
      <c r="D145" s="131" t="n"/>
      <c r="E145" s="131" t="n"/>
      <c r="F145" s="131" t="n"/>
      <c r="G145" s="131" t="n"/>
      <c r="H145" s="131" t="n"/>
      <c r="I145" s="131" t="n"/>
      <c r="J145" s="131" t="n"/>
      <c r="K145" s="131" t="n"/>
      <c r="L145" s="131" t="n"/>
      <c r="M145" s="131" t="n"/>
      <c r="N145" s="131" t="n"/>
      <c r="O145" s="131" t="n"/>
      <c r="P145" s="131" t="n"/>
      <c r="Q145" s="131" t="n"/>
      <c r="R145" s="131" t="n"/>
      <c r="S145" s="131" t="n"/>
      <c r="T145" s="131" t="n"/>
      <c r="U145" s="69" t="n"/>
      <c r="V145" s="69" t="n"/>
      <c r="W145" s="69" t="n"/>
      <c r="X145" s="69" t="n"/>
      <c r="Y145" s="69" t="n"/>
      <c r="Z145" s="69" t="n"/>
      <c r="AA145" s="69" t="n"/>
      <c r="AB145" s="69" t="n"/>
      <c r="AC145" s="69" t="n"/>
      <c r="AD145" s="69" t="n"/>
      <c r="AE145" s="69" t="n"/>
    </row>
    <row r="146" ht="15.75" customHeight="1" s="673">
      <c r="A146" s="69" t="n"/>
      <c r="B146" s="131" t="n"/>
      <c r="C146" s="131" t="n"/>
      <c r="D146" s="131" t="n"/>
      <c r="E146" s="131" t="n"/>
      <c r="F146" s="131" t="n"/>
      <c r="G146" s="131" t="n"/>
      <c r="H146" s="131" t="n"/>
      <c r="I146" s="131" t="n"/>
      <c r="J146" s="131" t="n"/>
      <c r="K146" s="131" t="n"/>
      <c r="L146" s="131" t="n"/>
      <c r="M146" s="131" t="n"/>
      <c r="N146" s="131" t="n"/>
      <c r="O146" s="131" t="n"/>
      <c r="P146" s="131" t="n"/>
      <c r="Q146" s="131" t="n"/>
      <c r="R146" s="131" t="n"/>
      <c r="S146" s="131" t="n"/>
      <c r="T146" s="131" t="n"/>
      <c r="U146" s="69" t="n"/>
      <c r="V146" s="69" t="n"/>
      <c r="W146" s="69" t="n"/>
      <c r="X146" s="69" t="n"/>
      <c r="Y146" s="69" t="n"/>
      <c r="Z146" s="69" t="n"/>
      <c r="AA146" s="69" t="n"/>
      <c r="AB146" s="69" t="n"/>
      <c r="AC146" s="69" t="n"/>
      <c r="AD146" s="69" t="n"/>
      <c r="AE146" s="69" t="n"/>
    </row>
    <row r="147" ht="15.75" customHeight="1" s="673">
      <c r="A147" s="69" t="n"/>
      <c r="B147" s="131" t="n"/>
      <c r="C147" s="131" t="n"/>
      <c r="D147" s="131" t="n"/>
      <c r="E147" s="131" t="n"/>
      <c r="F147" s="131" t="n"/>
      <c r="G147" s="131" t="n"/>
      <c r="H147" s="131" t="n"/>
      <c r="I147" s="131" t="n"/>
      <c r="J147" s="131" t="n"/>
      <c r="K147" s="131" t="n"/>
      <c r="L147" s="131" t="n"/>
      <c r="M147" s="131" t="n"/>
      <c r="N147" s="131" t="n"/>
      <c r="O147" s="131" t="n"/>
      <c r="P147" s="131" t="n"/>
      <c r="Q147" s="131" t="n"/>
      <c r="R147" s="131" t="n"/>
      <c r="S147" s="131" t="n"/>
      <c r="T147" s="131" t="n"/>
      <c r="U147" s="69" t="n"/>
      <c r="V147" s="69" t="n"/>
      <c r="W147" s="69" t="n"/>
      <c r="X147" s="69" t="n"/>
      <c r="Y147" s="69" t="n"/>
      <c r="Z147" s="69" t="n"/>
      <c r="AA147" s="69" t="n"/>
      <c r="AB147" s="69" t="n"/>
      <c r="AC147" s="69" t="n"/>
      <c r="AD147" s="69" t="n"/>
      <c r="AE147" s="69" t="n"/>
    </row>
    <row r="148" ht="15.75" customHeight="1" s="673">
      <c r="A148" s="69" t="n"/>
      <c r="B148" s="131" t="n"/>
      <c r="C148" s="131" t="n"/>
      <c r="D148" s="131" t="n"/>
      <c r="E148" s="131" t="n"/>
      <c r="F148" s="131" t="n"/>
      <c r="G148" s="131" t="n"/>
      <c r="H148" s="131" t="n"/>
      <c r="I148" s="131" t="n"/>
      <c r="J148" s="131" t="n"/>
      <c r="K148" s="131" t="n"/>
      <c r="L148" s="131" t="n"/>
      <c r="M148" s="131" t="n"/>
      <c r="N148" s="131" t="n"/>
      <c r="O148" s="131" t="n"/>
      <c r="P148" s="131" t="n"/>
      <c r="Q148" s="131" t="n"/>
      <c r="R148" s="131" t="n"/>
      <c r="S148" s="131" t="n"/>
      <c r="T148" s="131" t="n"/>
      <c r="U148" s="69" t="n"/>
      <c r="V148" s="69" t="n"/>
      <c r="W148" s="69" t="n"/>
      <c r="X148" s="69" t="n"/>
      <c r="Y148" s="69" t="n"/>
      <c r="Z148" s="69" t="n"/>
      <c r="AA148" s="69" t="n"/>
      <c r="AB148" s="69" t="n"/>
      <c r="AC148" s="69" t="n"/>
      <c r="AD148" s="69" t="n"/>
      <c r="AE148" s="69" t="n"/>
    </row>
    <row r="149" ht="15.75" customHeight="1" s="673">
      <c r="A149" s="69" t="n"/>
      <c r="B149" s="131" t="n"/>
      <c r="C149" s="131" t="n"/>
      <c r="D149" s="131" t="n"/>
      <c r="E149" s="131" t="n"/>
      <c r="F149" s="131" t="n"/>
      <c r="G149" s="131" t="n"/>
      <c r="H149" s="131" t="n"/>
      <c r="I149" s="131" t="n"/>
      <c r="J149" s="131" t="n"/>
      <c r="K149" s="131" t="n"/>
      <c r="L149" s="131" t="n"/>
      <c r="M149" s="131" t="n"/>
      <c r="N149" s="131" t="n"/>
      <c r="O149" s="131" t="n"/>
      <c r="P149" s="131" t="n"/>
      <c r="Q149" s="131" t="n"/>
      <c r="R149" s="131" t="n"/>
      <c r="S149" s="131" t="n"/>
      <c r="T149" s="131" t="n"/>
      <c r="U149" s="69" t="n"/>
      <c r="V149" s="69" t="n"/>
      <c r="W149" s="69" t="n"/>
      <c r="X149" s="69" t="n"/>
      <c r="Y149" s="69" t="n"/>
      <c r="Z149" s="69" t="n"/>
      <c r="AA149" s="69" t="n"/>
      <c r="AB149" s="69" t="n"/>
      <c r="AC149" s="69" t="n"/>
      <c r="AD149" s="69" t="n"/>
      <c r="AE149" s="69" t="n"/>
    </row>
    <row r="150" ht="15.75" customHeight="1" s="673">
      <c r="A150" s="69" t="n"/>
      <c r="B150" s="131" t="n"/>
      <c r="C150" s="131" t="n"/>
      <c r="D150" s="131" t="n"/>
      <c r="E150" s="131" t="n"/>
      <c r="F150" s="131" t="n"/>
      <c r="G150" s="131" t="n"/>
      <c r="H150" s="131" t="n"/>
      <c r="I150" s="131" t="n"/>
      <c r="J150" s="131" t="n"/>
      <c r="K150" s="131" t="n"/>
      <c r="L150" s="131" t="n"/>
      <c r="M150" s="131" t="n"/>
      <c r="N150" s="131" t="n"/>
      <c r="O150" s="131" t="n"/>
      <c r="P150" s="131" t="n"/>
      <c r="Q150" s="131" t="n"/>
      <c r="R150" s="131" t="n"/>
      <c r="S150" s="131" t="n"/>
      <c r="T150" s="131" t="n"/>
      <c r="U150" s="69" t="n"/>
      <c r="V150" s="69" t="n"/>
      <c r="W150" s="69" t="n"/>
      <c r="X150" s="69" t="n"/>
      <c r="Y150" s="69" t="n"/>
      <c r="Z150" s="69" t="n"/>
      <c r="AA150" s="69" t="n"/>
      <c r="AB150" s="69" t="n"/>
      <c r="AC150" s="69" t="n"/>
      <c r="AD150" s="69" t="n"/>
      <c r="AE150" s="69" t="n"/>
    </row>
    <row r="151" ht="15.75" customHeight="1" s="673">
      <c r="A151" s="69" t="n"/>
      <c r="B151" s="131" t="n"/>
      <c r="C151" s="131" t="n"/>
      <c r="D151" s="131" t="n"/>
      <c r="E151" s="131" t="n"/>
      <c r="F151" s="131" t="n"/>
      <c r="G151" s="131" t="n"/>
      <c r="H151" s="131" t="n"/>
      <c r="I151" s="131" t="n"/>
      <c r="J151" s="131" t="n"/>
      <c r="K151" s="131" t="n"/>
      <c r="L151" s="131" t="n"/>
      <c r="M151" s="131" t="n"/>
      <c r="N151" s="131" t="n"/>
      <c r="O151" s="131" t="n"/>
      <c r="P151" s="131" t="n"/>
      <c r="Q151" s="131" t="n"/>
      <c r="R151" s="131" t="n"/>
      <c r="S151" s="131" t="n"/>
      <c r="T151" s="131" t="n"/>
      <c r="U151" s="69" t="n"/>
      <c r="V151" s="69" t="n"/>
      <c r="W151" s="69" t="n"/>
      <c r="X151" s="69" t="n"/>
      <c r="Y151" s="69" t="n"/>
      <c r="Z151" s="69" t="n"/>
      <c r="AA151" s="69" t="n"/>
      <c r="AB151" s="69" t="n"/>
      <c r="AC151" s="69" t="n"/>
      <c r="AD151" s="69" t="n"/>
      <c r="AE151" s="69" t="n"/>
    </row>
    <row r="152" ht="15.75" customHeight="1" s="673">
      <c r="A152" s="69" t="n"/>
      <c r="B152" s="131" t="n"/>
      <c r="C152" s="131" t="n"/>
      <c r="D152" s="131" t="n"/>
      <c r="E152" s="131" t="n"/>
      <c r="F152" s="131" t="n"/>
      <c r="G152" s="131" t="n"/>
      <c r="H152" s="131" t="n"/>
      <c r="I152" s="131" t="n"/>
      <c r="J152" s="131" t="n"/>
      <c r="K152" s="131" t="n"/>
      <c r="L152" s="131" t="n"/>
      <c r="M152" s="131" t="n"/>
      <c r="N152" s="131" t="n"/>
      <c r="O152" s="131" t="n"/>
      <c r="P152" s="131" t="n"/>
      <c r="Q152" s="131" t="n"/>
      <c r="R152" s="131" t="n"/>
      <c r="S152" s="131" t="n"/>
      <c r="T152" s="131" t="n"/>
      <c r="U152" s="69" t="n"/>
      <c r="V152" s="69" t="n"/>
      <c r="W152" s="69" t="n"/>
      <c r="X152" s="69" t="n"/>
      <c r="Y152" s="69" t="n"/>
      <c r="Z152" s="69" t="n"/>
      <c r="AA152" s="69" t="n"/>
      <c r="AB152" s="69" t="n"/>
      <c r="AC152" s="69" t="n"/>
      <c r="AD152" s="69" t="n"/>
      <c r="AE152" s="69" t="n"/>
    </row>
    <row r="153" ht="15.75" customHeight="1" s="673">
      <c r="A153" s="69" t="n"/>
      <c r="B153" s="131" t="n"/>
      <c r="C153" s="131" t="n"/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  <c r="M153" s="131" t="n"/>
      <c r="N153" s="131" t="n"/>
      <c r="O153" s="131" t="n"/>
      <c r="P153" s="131" t="n"/>
      <c r="Q153" s="131" t="n"/>
      <c r="R153" s="131" t="n"/>
      <c r="S153" s="131" t="n"/>
      <c r="T153" s="131" t="n"/>
      <c r="U153" s="69" t="n"/>
      <c r="V153" s="69" t="n"/>
      <c r="W153" s="69" t="n"/>
      <c r="X153" s="69" t="n"/>
      <c r="Y153" s="69" t="n"/>
      <c r="Z153" s="69" t="n"/>
      <c r="AA153" s="69" t="n"/>
      <c r="AB153" s="69" t="n"/>
      <c r="AC153" s="69" t="n"/>
      <c r="AD153" s="69" t="n"/>
      <c r="AE153" s="69" t="n"/>
    </row>
    <row r="154" ht="15.75" customHeight="1" s="673">
      <c r="A154" s="69" t="n"/>
      <c r="B154" s="131" t="n"/>
      <c r="C154" s="131" t="n"/>
      <c r="D154" s="131" t="n"/>
      <c r="E154" s="131" t="n"/>
      <c r="F154" s="131" t="n"/>
      <c r="G154" s="131" t="n"/>
      <c r="H154" s="131" t="n"/>
      <c r="I154" s="131" t="n"/>
      <c r="J154" s="131" t="n"/>
      <c r="K154" s="131" t="n"/>
      <c r="L154" s="131" t="n"/>
      <c r="M154" s="131" t="n"/>
      <c r="N154" s="131" t="n"/>
      <c r="O154" s="131" t="n"/>
      <c r="P154" s="131" t="n"/>
      <c r="Q154" s="131" t="n"/>
      <c r="R154" s="131" t="n"/>
      <c r="S154" s="131" t="n"/>
      <c r="T154" s="131" t="n"/>
      <c r="U154" s="69" t="n"/>
      <c r="V154" s="69" t="n"/>
      <c r="W154" s="69" t="n"/>
      <c r="X154" s="69" t="n"/>
      <c r="Y154" s="69" t="n"/>
      <c r="Z154" s="69" t="n"/>
      <c r="AA154" s="69" t="n"/>
      <c r="AB154" s="69" t="n"/>
      <c r="AC154" s="69" t="n"/>
      <c r="AD154" s="69" t="n"/>
      <c r="AE154" s="69" t="n"/>
    </row>
    <row r="155" ht="15.75" customHeight="1" s="673">
      <c r="A155" s="69" t="n"/>
      <c r="B155" s="131" t="n"/>
      <c r="C155" s="131" t="n"/>
      <c r="D155" s="131" t="n"/>
      <c r="E155" s="131" t="n"/>
      <c r="F155" s="131" t="n"/>
      <c r="G155" s="131" t="n"/>
      <c r="H155" s="131" t="n"/>
      <c r="I155" s="131" t="n"/>
      <c r="J155" s="131" t="n"/>
      <c r="K155" s="131" t="n"/>
      <c r="L155" s="131" t="n"/>
      <c r="M155" s="131" t="n"/>
      <c r="N155" s="131" t="n"/>
      <c r="O155" s="131" t="n"/>
      <c r="P155" s="131" t="n"/>
      <c r="Q155" s="131" t="n"/>
      <c r="R155" s="131" t="n"/>
      <c r="S155" s="131" t="n"/>
      <c r="T155" s="131" t="n"/>
      <c r="U155" s="69" t="n"/>
      <c r="V155" s="69" t="n"/>
      <c r="W155" s="69" t="n"/>
      <c r="X155" s="69" t="n"/>
      <c r="Y155" s="69" t="n"/>
      <c r="Z155" s="69" t="n"/>
      <c r="AA155" s="69" t="n"/>
      <c r="AB155" s="69" t="n"/>
      <c r="AC155" s="69" t="n"/>
      <c r="AD155" s="69" t="n"/>
      <c r="AE155" s="69" t="n"/>
    </row>
    <row r="156" ht="15.75" customHeight="1" s="673">
      <c r="A156" s="69" t="n"/>
      <c r="B156" s="131" t="n"/>
      <c r="C156" s="131" t="n"/>
      <c r="D156" s="131" t="n"/>
      <c r="E156" s="131" t="n"/>
      <c r="F156" s="131" t="n"/>
      <c r="G156" s="131" t="n"/>
      <c r="H156" s="131" t="n"/>
      <c r="I156" s="131" t="n"/>
      <c r="J156" s="131" t="n"/>
      <c r="K156" s="131" t="n"/>
      <c r="L156" s="131" t="n"/>
      <c r="M156" s="131" t="n"/>
      <c r="N156" s="131" t="n"/>
      <c r="O156" s="131" t="n"/>
      <c r="P156" s="131" t="n"/>
      <c r="Q156" s="131" t="n"/>
      <c r="R156" s="131" t="n"/>
      <c r="S156" s="131" t="n"/>
      <c r="T156" s="131" t="n"/>
      <c r="U156" s="69" t="n"/>
      <c r="V156" s="69" t="n"/>
      <c r="W156" s="69" t="n"/>
      <c r="X156" s="69" t="n"/>
      <c r="Y156" s="69" t="n"/>
      <c r="Z156" s="69" t="n"/>
      <c r="AA156" s="69" t="n"/>
      <c r="AB156" s="69" t="n"/>
      <c r="AC156" s="69" t="n"/>
      <c r="AD156" s="69" t="n"/>
      <c r="AE156" s="69" t="n"/>
    </row>
    <row r="157" ht="15.75" customHeight="1" s="673">
      <c r="A157" s="69" t="n"/>
      <c r="B157" s="131" t="n"/>
      <c r="C157" s="131" t="n"/>
      <c r="D157" s="131" t="n"/>
      <c r="E157" s="131" t="n"/>
      <c r="F157" s="131" t="n"/>
      <c r="G157" s="131" t="n"/>
      <c r="H157" s="131" t="n"/>
      <c r="I157" s="131" t="n"/>
      <c r="J157" s="131" t="n"/>
      <c r="K157" s="131" t="n"/>
      <c r="L157" s="131" t="n"/>
      <c r="M157" s="131" t="n"/>
      <c r="N157" s="131" t="n"/>
      <c r="O157" s="131" t="n"/>
      <c r="P157" s="131" t="n"/>
      <c r="Q157" s="131" t="n"/>
      <c r="R157" s="131" t="n"/>
      <c r="S157" s="131" t="n"/>
      <c r="T157" s="131" t="n"/>
      <c r="U157" s="69" t="n"/>
      <c r="V157" s="69" t="n"/>
      <c r="W157" s="69" t="n"/>
      <c r="X157" s="69" t="n"/>
      <c r="Y157" s="69" t="n"/>
      <c r="Z157" s="69" t="n"/>
      <c r="AA157" s="69" t="n"/>
      <c r="AB157" s="69" t="n"/>
      <c r="AC157" s="69" t="n"/>
      <c r="AD157" s="69" t="n"/>
      <c r="AE157" s="69" t="n"/>
    </row>
    <row r="158" ht="15.75" customHeight="1" s="673">
      <c r="A158" s="69" t="n"/>
      <c r="B158" s="131" t="n"/>
      <c r="C158" s="131" t="n"/>
      <c r="D158" s="131" t="n"/>
      <c r="E158" s="131" t="n"/>
      <c r="F158" s="131" t="n"/>
      <c r="G158" s="131" t="n"/>
      <c r="H158" s="131" t="n"/>
      <c r="I158" s="131" t="n"/>
      <c r="J158" s="131" t="n"/>
      <c r="K158" s="131" t="n"/>
      <c r="L158" s="131" t="n"/>
      <c r="M158" s="131" t="n"/>
      <c r="N158" s="131" t="n"/>
      <c r="O158" s="131" t="n"/>
      <c r="P158" s="131" t="n"/>
      <c r="Q158" s="131" t="n"/>
      <c r="R158" s="131" t="n"/>
      <c r="S158" s="131" t="n"/>
      <c r="T158" s="131" t="n"/>
      <c r="U158" s="69" t="n"/>
      <c r="V158" s="69" t="n"/>
      <c r="W158" s="69" t="n"/>
      <c r="X158" s="69" t="n"/>
      <c r="Y158" s="69" t="n"/>
      <c r="Z158" s="69" t="n"/>
      <c r="AA158" s="69" t="n"/>
      <c r="AB158" s="69" t="n"/>
      <c r="AC158" s="69" t="n"/>
      <c r="AD158" s="69" t="n"/>
      <c r="AE158" s="69" t="n"/>
    </row>
    <row r="159" ht="15.75" customHeight="1" s="673">
      <c r="A159" s="69" t="n"/>
      <c r="B159" s="131" t="n"/>
      <c r="C159" s="131" t="n"/>
      <c r="D159" s="131" t="n"/>
      <c r="E159" s="131" t="n"/>
      <c r="F159" s="131" t="n"/>
      <c r="G159" s="131" t="n"/>
      <c r="H159" s="131" t="n"/>
      <c r="I159" s="131" t="n"/>
      <c r="J159" s="131" t="n"/>
      <c r="K159" s="131" t="n"/>
      <c r="L159" s="131" t="n"/>
      <c r="M159" s="131" t="n"/>
      <c r="N159" s="131" t="n"/>
      <c r="O159" s="131" t="n"/>
      <c r="P159" s="131" t="n"/>
      <c r="Q159" s="131" t="n"/>
      <c r="R159" s="131" t="n"/>
      <c r="S159" s="131" t="n"/>
      <c r="T159" s="131" t="n"/>
      <c r="U159" s="69" t="n"/>
      <c r="V159" s="69" t="n"/>
      <c r="W159" s="69" t="n"/>
      <c r="X159" s="69" t="n"/>
      <c r="Y159" s="69" t="n"/>
      <c r="Z159" s="69" t="n"/>
      <c r="AA159" s="69" t="n"/>
      <c r="AB159" s="69" t="n"/>
      <c r="AC159" s="69" t="n"/>
      <c r="AD159" s="69" t="n"/>
      <c r="AE159" s="69" t="n"/>
    </row>
    <row r="160" ht="15.75" customHeight="1" s="673">
      <c r="A160" s="69" t="n"/>
      <c r="B160" s="131" t="n"/>
      <c r="C160" s="131" t="n"/>
      <c r="D160" s="131" t="n"/>
      <c r="E160" s="131" t="n"/>
      <c r="F160" s="131" t="n"/>
      <c r="G160" s="131" t="n"/>
      <c r="H160" s="131" t="n"/>
      <c r="I160" s="131" t="n"/>
      <c r="J160" s="131" t="n"/>
      <c r="K160" s="131" t="n"/>
      <c r="L160" s="131" t="n"/>
      <c r="M160" s="131" t="n"/>
      <c r="N160" s="131" t="n"/>
      <c r="O160" s="131" t="n"/>
      <c r="P160" s="131" t="n"/>
      <c r="Q160" s="131" t="n"/>
      <c r="R160" s="131" t="n"/>
      <c r="S160" s="131" t="n"/>
      <c r="T160" s="131" t="n"/>
      <c r="U160" s="69" t="n"/>
      <c r="V160" s="69" t="n"/>
      <c r="W160" s="69" t="n"/>
      <c r="X160" s="69" t="n"/>
      <c r="Y160" s="69" t="n"/>
      <c r="Z160" s="69" t="n"/>
      <c r="AA160" s="69" t="n"/>
      <c r="AB160" s="69" t="n"/>
      <c r="AC160" s="69" t="n"/>
      <c r="AD160" s="69" t="n"/>
      <c r="AE160" s="69" t="n"/>
    </row>
    <row r="161" ht="15.75" customHeight="1" s="673">
      <c r="A161" s="69" t="n"/>
      <c r="B161" s="131" t="n"/>
      <c r="C161" s="131" t="n"/>
      <c r="D161" s="131" t="n"/>
      <c r="E161" s="131" t="n"/>
      <c r="F161" s="131" t="n"/>
      <c r="G161" s="131" t="n"/>
      <c r="H161" s="131" t="n"/>
      <c r="I161" s="131" t="n"/>
      <c r="J161" s="131" t="n"/>
      <c r="K161" s="131" t="n"/>
      <c r="L161" s="131" t="n"/>
      <c r="M161" s="131" t="n"/>
      <c r="N161" s="131" t="n"/>
      <c r="O161" s="131" t="n"/>
      <c r="P161" s="131" t="n"/>
      <c r="Q161" s="131" t="n"/>
      <c r="R161" s="131" t="n"/>
      <c r="S161" s="131" t="n"/>
      <c r="T161" s="131" t="n"/>
      <c r="U161" s="69" t="n"/>
      <c r="V161" s="69" t="n"/>
      <c r="W161" s="69" t="n"/>
      <c r="X161" s="69" t="n"/>
      <c r="Y161" s="69" t="n"/>
      <c r="Z161" s="69" t="n"/>
      <c r="AA161" s="69" t="n"/>
      <c r="AB161" s="69" t="n"/>
      <c r="AC161" s="69" t="n"/>
      <c r="AD161" s="69" t="n"/>
      <c r="AE161" s="69" t="n"/>
    </row>
    <row r="162" ht="15.75" customHeight="1" s="673">
      <c r="A162" s="69" t="n"/>
      <c r="B162" s="131" t="n"/>
      <c r="C162" s="131" t="n"/>
      <c r="D162" s="131" t="n"/>
      <c r="E162" s="131" t="n"/>
      <c r="F162" s="131" t="n"/>
      <c r="G162" s="131" t="n"/>
      <c r="H162" s="131" t="n"/>
      <c r="I162" s="131" t="n"/>
      <c r="J162" s="131" t="n"/>
      <c r="K162" s="131" t="n"/>
      <c r="L162" s="131" t="n"/>
      <c r="M162" s="131" t="n"/>
      <c r="N162" s="131" t="n"/>
      <c r="O162" s="131" t="n"/>
      <c r="P162" s="131" t="n"/>
      <c r="Q162" s="131" t="n"/>
      <c r="R162" s="131" t="n"/>
      <c r="S162" s="131" t="n"/>
      <c r="T162" s="131" t="n"/>
      <c r="U162" s="69" t="n"/>
      <c r="V162" s="69" t="n"/>
      <c r="W162" s="69" t="n"/>
      <c r="X162" s="69" t="n"/>
      <c r="Y162" s="69" t="n"/>
      <c r="Z162" s="69" t="n"/>
      <c r="AA162" s="69" t="n"/>
      <c r="AB162" s="69" t="n"/>
      <c r="AC162" s="69" t="n"/>
      <c r="AD162" s="69" t="n"/>
      <c r="AE162" s="69" t="n"/>
    </row>
    <row r="163" ht="15.75" customHeight="1" s="673">
      <c r="A163" s="69" t="n"/>
      <c r="B163" s="131" t="n"/>
      <c r="C163" s="131" t="n"/>
      <c r="D163" s="131" t="n"/>
      <c r="E163" s="131" t="n"/>
      <c r="F163" s="131" t="n"/>
      <c r="G163" s="131" t="n"/>
      <c r="H163" s="131" t="n"/>
      <c r="I163" s="131" t="n"/>
      <c r="J163" s="131" t="n"/>
      <c r="K163" s="131" t="n"/>
      <c r="L163" s="131" t="n"/>
      <c r="M163" s="131" t="n"/>
      <c r="N163" s="131" t="n"/>
      <c r="O163" s="131" t="n"/>
      <c r="P163" s="131" t="n"/>
      <c r="Q163" s="131" t="n"/>
      <c r="R163" s="131" t="n"/>
      <c r="S163" s="131" t="n"/>
      <c r="T163" s="131" t="n"/>
      <c r="U163" s="69" t="n"/>
      <c r="V163" s="69" t="n"/>
      <c r="W163" s="69" t="n"/>
      <c r="X163" s="69" t="n"/>
      <c r="Y163" s="69" t="n"/>
      <c r="Z163" s="69" t="n"/>
      <c r="AA163" s="69" t="n"/>
      <c r="AB163" s="69" t="n"/>
      <c r="AC163" s="69" t="n"/>
      <c r="AD163" s="69" t="n"/>
      <c r="AE163" s="69" t="n"/>
    </row>
    <row r="164" ht="15.75" customHeight="1" s="673">
      <c r="A164" s="69" t="n"/>
      <c r="B164" s="131" t="n"/>
      <c r="C164" s="131" t="n"/>
      <c r="D164" s="131" t="n"/>
      <c r="E164" s="131" t="n"/>
      <c r="F164" s="131" t="n"/>
      <c r="G164" s="131" t="n"/>
      <c r="H164" s="131" t="n"/>
      <c r="I164" s="131" t="n"/>
      <c r="J164" s="131" t="n"/>
      <c r="K164" s="131" t="n"/>
      <c r="L164" s="131" t="n"/>
      <c r="M164" s="131" t="n"/>
      <c r="N164" s="131" t="n"/>
      <c r="O164" s="131" t="n"/>
      <c r="P164" s="131" t="n"/>
      <c r="Q164" s="131" t="n"/>
      <c r="R164" s="131" t="n"/>
      <c r="S164" s="131" t="n"/>
      <c r="T164" s="131" t="n"/>
      <c r="U164" s="69" t="n"/>
      <c r="V164" s="69" t="n"/>
      <c r="W164" s="69" t="n"/>
      <c r="X164" s="69" t="n"/>
      <c r="Y164" s="69" t="n"/>
      <c r="Z164" s="69" t="n"/>
      <c r="AA164" s="69" t="n"/>
      <c r="AB164" s="69" t="n"/>
      <c r="AC164" s="69" t="n"/>
      <c r="AD164" s="69" t="n"/>
      <c r="AE164" s="69" t="n"/>
    </row>
    <row r="165" ht="15.75" customHeight="1" s="673">
      <c r="A165" s="69" t="n"/>
      <c r="B165" s="131" t="n"/>
      <c r="C165" s="131" t="n"/>
      <c r="D165" s="131" t="n"/>
      <c r="E165" s="131" t="n"/>
      <c r="F165" s="131" t="n"/>
      <c r="G165" s="131" t="n"/>
      <c r="H165" s="131" t="n"/>
      <c r="I165" s="131" t="n"/>
      <c r="J165" s="131" t="n"/>
      <c r="K165" s="131" t="n"/>
      <c r="L165" s="131" t="n"/>
      <c r="M165" s="131" t="n"/>
      <c r="N165" s="131" t="n"/>
      <c r="O165" s="131" t="n"/>
      <c r="P165" s="131" t="n"/>
      <c r="Q165" s="131" t="n"/>
      <c r="R165" s="131" t="n"/>
      <c r="S165" s="131" t="n"/>
      <c r="T165" s="131" t="n"/>
      <c r="U165" s="69" t="n"/>
      <c r="V165" s="69" t="n"/>
      <c r="W165" s="69" t="n"/>
      <c r="X165" s="69" t="n"/>
      <c r="Y165" s="69" t="n"/>
      <c r="Z165" s="69" t="n"/>
      <c r="AA165" s="69" t="n"/>
      <c r="AB165" s="69" t="n"/>
      <c r="AC165" s="69" t="n"/>
      <c r="AD165" s="69" t="n"/>
      <c r="AE165" s="69" t="n"/>
    </row>
    <row r="166" ht="15.75" customHeight="1" s="673">
      <c r="A166" s="69" t="n"/>
      <c r="B166" s="131" t="n"/>
      <c r="C166" s="131" t="n"/>
      <c r="D166" s="131" t="n"/>
      <c r="E166" s="131" t="n"/>
      <c r="F166" s="131" t="n"/>
      <c r="G166" s="131" t="n"/>
      <c r="H166" s="131" t="n"/>
      <c r="I166" s="131" t="n"/>
      <c r="J166" s="131" t="n"/>
      <c r="K166" s="131" t="n"/>
      <c r="L166" s="131" t="n"/>
      <c r="M166" s="131" t="n"/>
      <c r="N166" s="131" t="n"/>
      <c r="O166" s="131" t="n"/>
      <c r="P166" s="131" t="n"/>
      <c r="Q166" s="131" t="n"/>
      <c r="R166" s="131" t="n"/>
      <c r="S166" s="131" t="n"/>
      <c r="T166" s="131" t="n"/>
      <c r="U166" s="69" t="n"/>
      <c r="V166" s="69" t="n"/>
      <c r="W166" s="69" t="n"/>
      <c r="X166" s="69" t="n"/>
      <c r="Y166" s="69" t="n"/>
      <c r="Z166" s="69" t="n"/>
      <c r="AA166" s="69" t="n"/>
      <c r="AB166" s="69" t="n"/>
      <c r="AC166" s="69" t="n"/>
      <c r="AD166" s="69" t="n"/>
      <c r="AE166" s="69" t="n"/>
    </row>
    <row r="167" ht="15.75" customHeight="1" s="673">
      <c r="A167" s="69" t="n"/>
      <c r="B167" s="131" t="n"/>
      <c r="C167" s="131" t="n"/>
      <c r="D167" s="131" t="n"/>
      <c r="E167" s="131" t="n"/>
      <c r="F167" s="131" t="n"/>
      <c r="G167" s="131" t="n"/>
      <c r="H167" s="131" t="n"/>
      <c r="I167" s="131" t="n"/>
      <c r="J167" s="131" t="n"/>
      <c r="K167" s="131" t="n"/>
      <c r="L167" s="131" t="n"/>
      <c r="M167" s="131" t="n"/>
      <c r="N167" s="131" t="n"/>
      <c r="O167" s="131" t="n"/>
      <c r="P167" s="131" t="n"/>
      <c r="Q167" s="131" t="n"/>
      <c r="R167" s="131" t="n"/>
      <c r="S167" s="131" t="n"/>
      <c r="T167" s="131" t="n"/>
      <c r="U167" s="69" t="n"/>
      <c r="V167" s="69" t="n"/>
      <c r="W167" s="69" t="n"/>
      <c r="X167" s="69" t="n"/>
      <c r="Y167" s="69" t="n"/>
      <c r="Z167" s="69" t="n"/>
      <c r="AA167" s="69" t="n"/>
      <c r="AB167" s="69" t="n"/>
      <c r="AC167" s="69" t="n"/>
      <c r="AD167" s="69" t="n"/>
      <c r="AE167" s="69" t="n"/>
    </row>
    <row r="168" ht="15.75" customHeight="1" s="673">
      <c r="A168" s="69" t="n"/>
      <c r="B168" s="131" t="n"/>
      <c r="C168" s="131" t="n"/>
      <c r="D168" s="131" t="n"/>
      <c r="E168" s="131" t="n"/>
      <c r="F168" s="131" t="n"/>
      <c r="G168" s="131" t="n"/>
      <c r="H168" s="131" t="n"/>
      <c r="I168" s="131" t="n"/>
      <c r="J168" s="131" t="n"/>
      <c r="K168" s="131" t="n"/>
      <c r="L168" s="131" t="n"/>
      <c r="M168" s="131" t="n"/>
      <c r="N168" s="131" t="n"/>
      <c r="O168" s="131" t="n"/>
      <c r="P168" s="131" t="n"/>
      <c r="Q168" s="131" t="n"/>
      <c r="R168" s="131" t="n"/>
      <c r="S168" s="131" t="n"/>
      <c r="T168" s="131" t="n"/>
      <c r="U168" s="69" t="n"/>
      <c r="V168" s="69" t="n"/>
      <c r="W168" s="69" t="n"/>
      <c r="X168" s="69" t="n"/>
      <c r="Y168" s="69" t="n"/>
      <c r="Z168" s="69" t="n"/>
      <c r="AA168" s="69" t="n"/>
      <c r="AB168" s="69" t="n"/>
      <c r="AC168" s="69" t="n"/>
      <c r="AD168" s="69" t="n"/>
      <c r="AE168" s="69" t="n"/>
    </row>
    <row r="169" ht="15.75" customHeight="1" s="673">
      <c r="A169" s="69" t="n"/>
      <c r="B169" s="131" t="n"/>
      <c r="C169" s="131" t="n"/>
      <c r="D169" s="131" t="n"/>
      <c r="E169" s="131" t="n"/>
      <c r="F169" s="131" t="n"/>
      <c r="G169" s="131" t="n"/>
      <c r="H169" s="131" t="n"/>
      <c r="I169" s="131" t="n"/>
      <c r="J169" s="131" t="n"/>
      <c r="K169" s="131" t="n"/>
      <c r="L169" s="131" t="n"/>
      <c r="M169" s="131" t="n"/>
      <c r="N169" s="131" t="n"/>
      <c r="O169" s="131" t="n"/>
      <c r="P169" s="131" t="n"/>
      <c r="Q169" s="131" t="n"/>
      <c r="R169" s="131" t="n"/>
      <c r="S169" s="131" t="n"/>
      <c r="T169" s="131" t="n"/>
      <c r="U169" s="69" t="n"/>
      <c r="V169" s="69" t="n"/>
      <c r="W169" s="69" t="n"/>
      <c r="X169" s="69" t="n"/>
      <c r="Y169" s="69" t="n"/>
      <c r="Z169" s="69" t="n"/>
      <c r="AA169" s="69" t="n"/>
      <c r="AB169" s="69" t="n"/>
      <c r="AC169" s="69" t="n"/>
      <c r="AD169" s="69" t="n"/>
      <c r="AE169" s="69" t="n"/>
    </row>
    <row r="170" ht="15.75" customHeight="1" s="673">
      <c r="A170" s="69" t="n"/>
      <c r="B170" s="131" t="n"/>
      <c r="C170" s="131" t="n"/>
      <c r="D170" s="131" t="n"/>
      <c r="E170" s="131" t="n"/>
      <c r="F170" s="131" t="n"/>
      <c r="G170" s="131" t="n"/>
      <c r="H170" s="131" t="n"/>
      <c r="I170" s="131" t="n"/>
      <c r="J170" s="131" t="n"/>
      <c r="K170" s="131" t="n"/>
      <c r="L170" s="131" t="n"/>
      <c r="M170" s="131" t="n"/>
      <c r="N170" s="131" t="n"/>
      <c r="O170" s="131" t="n"/>
      <c r="P170" s="131" t="n"/>
      <c r="Q170" s="131" t="n"/>
      <c r="R170" s="131" t="n"/>
      <c r="S170" s="131" t="n"/>
      <c r="T170" s="131" t="n"/>
      <c r="U170" s="69" t="n"/>
      <c r="V170" s="69" t="n"/>
      <c r="W170" s="69" t="n"/>
      <c r="X170" s="69" t="n"/>
      <c r="Y170" s="69" t="n"/>
      <c r="Z170" s="69" t="n"/>
      <c r="AA170" s="69" t="n"/>
      <c r="AB170" s="69" t="n"/>
      <c r="AC170" s="69" t="n"/>
      <c r="AD170" s="69" t="n"/>
      <c r="AE170" s="69" t="n"/>
    </row>
    <row r="171" ht="15.75" customHeight="1" s="673">
      <c r="A171" s="69" t="n"/>
      <c r="B171" s="131" t="n"/>
      <c r="C171" s="131" t="n"/>
      <c r="D171" s="131" t="n"/>
      <c r="E171" s="131" t="n"/>
      <c r="F171" s="131" t="n"/>
      <c r="G171" s="131" t="n"/>
      <c r="H171" s="131" t="n"/>
      <c r="I171" s="131" t="n"/>
      <c r="J171" s="131" t="n"/>
      <c r="K171" s="131" t="n"/>
      <c r="L171" s="131" t="n"/>
      <c r="M171" s="131" t="n"/>
      <c r="N171" s="131" t="n"/>
      <c r="O171" s="131" t="n"/>
      <c r="P171" s="131" t="n"/>
      <c r="Q171" s="131" t="n"/>
      <c r="R171" s="131" t="n"/>
      <c r="S171" s="131" t="n"/>
      <c r="T171" s="131" t="n"/>
      <c r="U171" s="69" t="n"/>
      <c r="V171" s="69" t="n"/>
      <c r="W171" s="69" t="n"/>
      <c r="X171" s="69" t="n"/>
      <c r="Y171" s="69" t="n"/>
      <c r="Z171" s="69" t="n"/>
      <c r="AA171" s="69" t="n"/>
      <c r="AB171" s="69" t="n"/>
      <c r="AC171" s="69" t="n"/>
      <c r="AD171" s="69" t="n"/>
      <c r="AE171" s="69" t="n"/>
    </row>
    <row r="172" ht="15.75" customHeight="1" s="673">
      <c r="A172" s="69" t="n"/>
      <c r="B172" s="131" t="n"/>
      <c r="C172" s="131" t="n"/>
      <c r="D172" s="131" t="n"/>
      <c r="E172" s="131" t="n"/>
      <c r="F172" s="131" t="n"/>
      <c r="G172" s="131" t="n"/>
      <c r="H172" s="131" t="n"/>
      <c r="I172" s="131" t="n"/>
      <c r="J172" s="131" t="n"/>
      <c r="K172" s="131" t="n"/>
      <c r="L172" s="131" t="n"/>
      <c r="M172" s="131" t="n"/>
      <c r="N172" s="131" t="n"/>
      <c r="O172" s="131" t="n"/>
      <c r="P172" s="131" t="n"/>
      <c r="Q172" s="131" t="n"/>
      <c r="R172" s="131" t="n"/>
      <c r="S172" s="131" t="n"/>
      <c r="T172" s="131" t="n"/>
      <c r="U172" s="69" t="n"/>
      <c r="V172" s="69" t="n"/>
      <c r="W172" s="69" t="n"/>
      <c r="X172" s="69" t="n"/>
      <c r="Y172" s="69" t="n"/>
      <c r="Z172" s="69" t="n"/>
      <c r="AA172" s="69" t="n"/>
      <c r="AB172" s="69" t="n"/>
      <c r="AC172" s="69" t="n"/>
      <c r="AD172" s="69" t="n"/>
      <c r="AE172" s="69" t="n"/>
    </row>
    <row r="173" ht="15.75" customHeight="1" s="673">
      <c r="A173" s="69" t="n"/>
      <c r="B173" s="131" t="n"/>
      <c r="C173" s="131" t="n"/>
      <c r="D173" s="131" t="n"/>
      <c r="E173" s="131" t="n"/>
      <c r="F173" s="131" t="n"/>
      <c r="G173" s="131" t="n"/>
      <c r="H173" s="131" t="n"/>
      <c r="I173" s="131" t="n"/>
      <c r="J173" s="131" t="n"/>
      <c r="K173" s="131" t="n"/>
      <c r="L173" s="131" t="n"/>
      <c r="M173" s="131" t="n"/>
      <c r="N173" s="131" t="n"/>
      <c r="O173" s="131" t="n"/>
      <c r="P173" s="131" t="n"/>
      <c r="Q173" s="131" t="n"/>
      <c r="R173" s="131" t="n"/>
      <c r="S173" s="131" t="n"/>
      <c r="T173" s="131" t="n"/>
      <c r="U173" s="69" t="n"/>
      <c r="V173" s="69" t="n"/>
      <c r="W173" s="69" t="n"/>
      <c r="X173" s="69" t="n"/>
      <c r="Y173" s="69" t="n"/>
      <c r="Z173" s="69" t="n"/>
      <c r="AA173" s="69" t="n"/>
      <c r="AB173" s="69" t="n"/>
      <c r="AC173" s="69" t="n"/>
      <c r="AD173" s="69" t="n"/>
      <c r="AE173" s="69" t="n"/>
    </row>
    <row r="174" ht="15.75" customHeight="1" s="673">
      <c r="A174" s="69" t="n"/>
      <c r="B174" s="131" t="n"/>
      <c r="C174" s="131" t="n"/>
      <c r="D174" s="131" t="n"/>
      <c r="E174" s="131" t="n"/>
      <c r="F174" s="131" t="n"/>
      <c r="G174" s="131" t="n"/>
      <c r="H174" s="131" t="n"/>
      <c r="I174" s="131" t="n"/>
      <c r="J174" s="131" t="n"/>
      <c r="K174" s="131" t="n"/>
      <c r="L174" s="131" t="n"/>
      <c r="M174" s="131" t="n"/>
      <c r="N174" s="131" t="n"/>
      <c r="O174" s="131" t="n"/>
      <c r="P174" s="131" t="n"/>
      <c r="Q174" s="131" t="n"/>
      <c r="R174" s="131" t="n"/>
      <c r="S174" s="131" t="n"/>
      <c r="T174" s="131" t="n"/>
      <c r="U174" s="69" t="n"/>
      <c r="V174" s="69" t="n"/>
      <c r="W174" s="69" t="n"/>
      <c r="X174" s="69" t="n"/>
      <c r="Y174" s="69" t="n"/>
      <c r="Z174" s="69" t="n"/>
      <c r="AA174" s="69" t="n"/>
      <c r="AB174" s="69" t="n"/>
      <c r="AC174" s="69" t="n"/>
      <c r="AD174" s="69" t="n"/>
      <c r="AE174" s="69" t="n"/>
    </row>
    <row r="175" ht="15.75" customHeight="1" s="673">
      <c r="A175" s="69" t="n"/>
      <c r="B175" s="131" t="n"/>
      <c r="C175" s="131" t="n"/>
      <c r="D175" s="131" t="n"/>
      <c r="E175" s="131" t="n"/>
      <c r="F175" s="131" t="n"/>
      <c r="G175" s="131" t="n"/>
      <c r="H175" s="131" t="n"/>
      <c r="I175" s="131" t="n"/>
      <c r="J175" s="131" t="n"/>
      <c r="K175" s="131" t="n"/>
      <c r="L175" s="131" t="n"/>
      <c r="M175" s="131" t="n"/>
      <c r="N175" s="131" t="n"/>
      <c r="O175" s="131" t="n"/>
      <c r="P175" s="131" t="n"/>
      <c r="Q175" s="131" t="n"/>
      <c r="R175" s="131" t="n"/>
      <c r="S175" s="131" t="n"/>
      <c r="T175" s="131" t="n"/>
      <c r="U175" s="69" t="n"/>
      <c r="V175" s="69" t="n"/>
      <c r="W175" s="69" t="n"/>
      <c r="X175" s="69" t="n"/>
      <c r="Y175" s="69" t="n"/>
      <c r="Z175" s="69" t="n"/>
      <c r="AA175" s="69" t="n"/>
      <c r="AB175" s="69" t="n"/>
      <c r="AC175" s="69" t="n"/>
      <c r="AD175" s="69" t="n"/>
      <c r="AE175" s="69" t="n"/>
    </row>
    <row r="176" ht="15.75" customHeight="1" s="673">
      <c r="A176" s="69" t="n"/>
      <c r="B176" s="131" t="n"/>
      <c r="C176" s="131" t="n"/>
      <c r="D176" s="131" t="n"/>
      <c r="E176" s="131" t="n"/>
      <c r="F176" s="131" t="n"/>
      <c r="G176" s="131" t="n"/>
      <c r="H176" s="131" t="n"/>
      <c r="I176" s="131" t="n"/>
      <c r="J176" s="131" t="n"/>
      <c r="K176" s="131" t="n"/>
      <c r="L176" s="131" t="n"/>
      <c r="M176" s="131" t="n"/>
      <c r="N176" s="131" t="n"/>
      <c r="O176" s="131" t="n"/>
      <c r="P176" s="131" t="n"/>
      <c r="Q176" s="131" t="n"/>
      <c r="R176" s="131" t="n"/>
      <c r="S176" s="131" t="n"/>
      <c r="T176" s="131" t="n"/>
      <c r="U176" s="69" t="n"/>
      <c r="V176" s="69" t="n"/>
      <c r="W176" s="69" t="n"/>
      <c r="X176" s="69" t="n"/>
      <c r="Y176" s="69" t="n"/>
      <c r="Z176" s="69" t="n"/>
      <c r="AA176" s="69" t="n"/>
      <c r="AB176" s="69" t="n"/>
      <c r="AC176" s="69" t="n"/>
      <c r="AD176" s="69" t="n"/>
      <c r="AE176" s="69" t="n"/>
    </row>
    <row r="177" ht="15.75" customHeight="1" s="673">
      <c r="A177" s="69" t="n"/>
      <c r="B177" s="131" t="n"/>
      <c r="C177" s="131" t="n"/>
      <c r="D177" s="131" t="n"/>
      <c r="E177" s="131" t="n"/>
      <c r="F177" s="131" t="n"/>
      <c r="G177" s="131" t="n"/>
      <c r="H177" s="131" t="n"/>
      <c r="I177" s="131" t="n"/>
      <c r="J177" s="131" t="n"/>
      <c r="K177" s="131" t="n"/>
      <c r="L177" s="131" t="n"/>
      <c r="M177" s="131" t="n"/>
      <c r="N177" s="131" t="n"/>
      <c r="O177" s="131" t="n"/>
      <c r="P177" s="131" t="n"/>
      <c r="Q177" s="131" t="n"/>
      <c r="R177" s="131" t="n"/>
      <c r="S177" s="131" t="n"/>
      <c r="T177" s="131" t="n"/>
      <c r="U177" s="69" t="n"/>
      <c r="V177" s="69" t="n"/>
      <c r="W177" s="69" t="n"/>
      <c r="X177" s="69" t="n"/>
      <c r="Y177" s="69" t="n"/>
      <c r="Z177" s="69" t="n"/>
      <c r="AA177" s="69" t="n"/>
      <c r="AB177" s="69" t="n"/>
      <c r="AC177" s="69" t="n"/>
      <c r="AD177" s="69" t="n"/>
      <c r="AE177" s="69" t="n"/>
    </row>
    <row r="178" ht="15.75" customHeight="1" s="673">
      <c r="A178" s="69" t="n"/>
      <c r="B178" s="131" t="n"/>
      <c r="C178" s="131" t="n"/>
      <c r="D178" s="131" t="n"/>
      <c r="E178" s="131" t="n"/>
      <c r="F178" s="131" t="n"/>
      <c r="G178" s="131" t="n"/>
      <c r="H178" s="131" t="n"/>
      <c r="I178" s="131" t="n"/>
      <c r="J178" s="131" t="n"/>
      <c r="K178" s="131" t="n"/>
      <c r="L178" s="131" t="n"/>
      <c r="M178" s="131" t="n"/>
      <c r="N178" s="131" t="n"/>
      <c r="O178" s="131" t="n"/>
      <c r="P178" s="131" t="n"/>
      <c r="Q178" s="131" t="n"/>
      <c r="R178" s="131" t="n"/>
      <c r="S178" s="131" t="n"/>
      <c r="T178" s="131" t="n"/>
      <c r="U178" s="69" t="n"/>
      <c r="V178" s="69" t="n"/>
      <c r="W178" s="69" t="n"/>
      <c r="X178" s="69" t="n"/>
      <c r="Y178" s="69" t="n"/>
      <c r="Z178" s="69" t="n"/>
      <c r="AA178" s="69" t="n"/>
      <c r="AB178" s="69" t="n"/>
      <c r="AC178" s="69" t="n"/>
      <c r="AD178" s="69" t="n"/>
      <c r="AE178" s="69" t="n"/>
    </row>
    <row r="179" ht="15.75" customHeight="1" s="673">
      <c r="A179" s="69" t="n"/>
      <c r="B179" s="131" t="n"/>
      <c r="C179" s="131" t="n"/>
      <c r="D179" s="131" t="n"/>
      <c r="E179" s="131" t="n"/>
      <c r="F179" s="131" t="n"/>
      <c r="G179" s="131" t="n"/>
      <c r="H179" s="131" t="n"/>
      <c r="I179" s="131" t="n"/>
      <c r="J179" s="131" t="n"/>
      <c r="K179" s="131" t="n"/>
      <c r="L179" s="131" t="n"/>
      <c r="M179" s="131" t="n"/>
      <c r="N179" s="131" t="n"/>
      <c r="O179" s="131" t="n"/>
      <c r="P179" s="131" t="n"/>
      <c r="Q179" s="131" t="n"/>
      <c r="R179" s="131" t="n"/>
      <c r="S179" s="131" t="n"/>
      <c r="T179" s="131" t="n"/>
      <c r="U179" s="69" t="n"/>
      <c r="V179" s="69" t="n"/>
      <c r="W179" s="69" t="n"/>
      <c r="X179" s="69" t="n"/>
      <c r="Y179" s="69" t="n"/>
      <c r="Z179" s="69" t="n"/>
      <c r="AA179" s="69" t="n"/>
      <c r="AB179" s="69" t="n"/>
      <c r="AC179" s="69" t="n"/>
      <c r="AD179" s="69" t="n"/>
      <c r="AE179" s="69" t="n"/>
    </row>
    <row r="180" ht="15.75" customHeight="1" s="673">
      <c r="A180" s="69" t="n"/>
      <c r="B180" s="131" t="n"/>
      <c r="C180" s="131" t="n"/>
      <c r="D180" s="131" t="n"/>
      <c r="E180" s="131" t="n"/>
      <c r="F180" s="131" t="n"/>
      <c r="G180" s="131" t="n"/>
      <c r="H180" s="131" t="n"/>
      <c r="I180" s="131" t="n"/>
      <c r="J180" s="131" t="n"/>
      <c r="K180" s="131" t="n"/>
      <c r="L180" s="131" t="n"/>
      <c r="M180" s="131" t="n"/>
      <c r="N180" s="131" t="n"/>
      <c r="O180" s="131" t="n"/>
      <c r="P180" s="131" t="n"/>
      <c r="Q180" s="131" t="n"/>
      <c r="R180" s="131" t="n"/>
      <c r="S180" s="131" t="n"/>
      <c r="T180" s="131" t="n"/>
      <c r="U180" s="69" t="n"/>
      <c r="V180" s="69" t="n"/>
      <c r="W180" s="69" t="n"/>
      <c r="X180" s="69" t="n"/>
      <c r="Y180" s="69" t="n"/>
      <c r="Z180" s="69" t="n"/>
      <c r="AA180" s="69" t="n"/>
      <c r="AB180" s="69" t="n"/>
      <c r="AC180" s="69" t="n"/>
      <c r="AD180" s="69" t="n"/>
      <c r="AE180" s="69" t="n"/>
    </row>
    <row r="181" ht="15.75" customHeight="1" s="673">
      <c r="A181" s="69" t="n"/>
      <c r="B181" s="131" t="n"/>
      <c r="C181" s="131" t="n"/>
      <c r="D181" s="131" t="n"/>
      <c r="E181" s="131" t="n"/>
      <c r="F181" s="131" t="n"/>
      <c r="G181" s="131" t="n"/>
      <c r="H181" s="131" t="n"/>
      <c r="I181" s="131" t="n"/>
      <c r="J181" s="131" t="n"/>
      <c r="K181" s="131" t="n"/>
      <c r="L181" s="131" t="n"/>
      <c r="M181" s="131" t="n"/>
      <c r="N181" s="131" t="n"/>
      <c r="O181" s="131" t="n"/>
      <c r="P181" s="131" t="n"/>
      <c r="Q181" s="131" t="n"/>
      <c r="R181" s="131" t="n"/>
      <c r="S181" s="131" t="n"/>
      <c r="T181" s="131" t="n"/>
      <c r="U181" s="69" t="n"/>
      <c r="V181" s="69" t="n"/>
      <c r="W181" s="69" t="n"/>
      <c r="X181" s="69" t="n"/>
      <c r="Y181" s="69" t="n"/>
      <c r="Z181" s="69" t="n"/>
      <c r="AA181" s="69" t="n"/>
      <c r="AB181" s="69" t="n"/>
      <c r="AC181" s="69" t="n"/>
      <c r="AD181" s="69" t="n"/>
      <c r="AE181" s="69" t="n"/>
    </row>
    <row r="182" ht="15.75" customHeight="1" s="673">
      <c r="A182" s="69" t="n"/>
      <c r="B182" s="131" t="n"/>
      <c r="C182" s="131" t="n"/>
      <c r="D182" s="131" t="n"/>
      <c r="E182" s="131" t="n"/>
      <c r="F182" s="131" t="n"/>
      <c r="G182" s="131" t="n"/>
      <c r="H182" s="131" t="n"/>
      <c r="I182" s="131" t="n"/>
      <c r="J182" s="131" t="n"/>
      <c r="K182" s="131" t="n"/>
      <c r="L182" s="131" t="n"/>
      <c r="M182" s="131" t="n"/>
      <c r="N182" s="131" t="n"/>
      <c r="O182" s="131" t="n"/>
      <c r="P182" s="131" t="n"/>
      <c r="Q182" s="131" t="n"/>
      <c r="R182" s="131" t="n"/>
      <c r="S182" s="131" t="n"/>
      <c r="T182" s="131" t="n"/>
      <c r="U182" s="69" t="n"/>
      <c r="V182" s="69" t="n"/>
      <c r="W182" s="69" t="n"/>
      <c r="X182" s="69" t="n"/>
      <c r="Y182" s="69" t="n"/>
      <c r="Z182" s="69" t="n"/>
      <c r="AA182" s="69" t="n"/>
      <c r="AB182" s="69" t="n"/>
      <c r="AC182" s="69" t="n"/>
      <c r="AD182" s="69" t="n"/>
      <c r="AE182" s="69" t="n"/>
    </row>
    <row r="183" ht="15.75" customHeight="1" s="673">
      <c r="A183" s="69" t="n"/>
      <c r="B183" s="131" t="n"/>
      <c r="C183" s="131" t="n"/>
      <c r="D183" s="131" t="n"/>
      <c r="E183" s="131" t="n"/>
      <c r="F183" s="131" t="n"/>
      <c r="G183" s="131" t="n"/>
      <c r="H183" s="131" t="n"/>
      <c r="I183" s="131" t="n"/>
      <c r="J183" s="131" t="n"/>
      <c r="K183" s="131" t="n"/>
      <c r="L183" s="131" t="n"/>
      <c r="M183" s="131" t="n"/>
      <c r="N183" s="131" t="n"/>
      <c r="O183" s="131" t="n"/>
      <c r="P183" s="131" t="n"/>
      <c r="Q183" s="131" t="n"/>
      <c r="R183" s="131" t="n"/>
      <c r="S183" s="131" t="n"/>
      <c r="T183" s="131" t="n"/>
      <c r="U183" s="69" t="n"/>
      <c r="V183" s="69" t="n"/>
      <c r="W183" s="69" t="n"/>
      <c r="X183" s="69" t="n"/>
      <c r="Y183" s="69" t="n"/>
      <c r="Z183" s="69" t="n"/>
      <c r="AA183" s="69" t="n"/>
      <c r="AB183" s="69" t="n"/>
      <c r="AC183" s="69" t="n"/>
      <c r="AD183" s="69" t="n"/>
      <c r="AE183" s="69" t="n"/>
    </row>
    <row r="184" ht="15.75" customHeight="1" s="673">
      <c r="A184" s="69" t="n"/>
      <c r="B184" s="131" t="n"/>
      <c r="C184" s="131" t="n"/>
      <c r="D184" s="131" t="n"/>
      <c r="E184" s="131" t="n"/>
      <c r="F184" s="131" t="n"/>
      <c r="G184" s="131" t="n"/>
      <c r="H184" s="131" t="n"/>
      <c r="I184" s="131" t="n"/>
      <c r="J184" s="131" t="n"/>
      <c r="K184" s="131" t="n"/>
      <c r="L184" s="131" t="n"/>
      <c r="M184" s="131" t="n"/>
      <c r="N184" s="131" t="n"/>
      <c r="O184" s="131" t="n"/>
      <c r="P184" s="131" t="n"/>
      <c r="Q184" s="131" t="n"/>
      <c r="R184" s="131" t="n"/>
      <c r="S184" s="131" t="n"/>
      <c r="T184" s="131" t="n"/>
      <c r="U184" s="69" t="n"/>
      <c r="V184" s="69" t="n"/>
      <c r="W184" s="69" t="n"/>
      <c r="X184" s="69" t="n"/>
      <c r="Y184" s="69" t="n"/>
      <c r="Z184" s="69" t="n"/>
      <c r="AA184" s="69" t="n"/>
      <c r="AB184" s="69" t="n"/>
      <c r="AC184" s="69" t="n"/>
      <c r="AD184" s="69" t="n"/>
      <c r="AE184" s="69" t="n"/>
    </row>
    <row r="185" ht="15.75" customHeight="1" s="673">
      <c r="A185" s="69" t="n"/>
      <c r="B185" s="131" t="n"/>
      <c r="C185" s="131" t="n"/>
      <c r="D185" s="131" t="n"/>
      <c r="E185" s="131" t="n"/>
      <c r="F185" s="131" t="n"/>
      <c r="G185" s="131" t="n"/>
      <c r="H185" s="131" t="n"/>
      <c r="I185" s="131" t="n"/>
      <c r="J185" s="131" t="n"/>
      <c r="K185" s="131" t="n"/>
      <c r="L185" s="131" t="n"/>
      <c r="M185" s="131" t="n"/>
      <c r="N185" s="131" t="n"/>
      <c r="O185" s="131" t="n"/>
      <c r="P185" s="131" t="n"/>
      <c r="Q185" s="131" t="n"/>
      <c r="R185" s="131" t="n"/>
      <c r="S185" s="131" t="n"/>
      <c r="T185" s="131" t="n"/>
      <c r="U185" s="69" t="n"/>
      <c r="V185" s="69" t="n"/>
      <c r="W185" s="69" t="n"/>
      <c r="X185" s="69" t="n"/>
      <c r="Y185" s="69" t="n"/>
      <c r="Z185" s="69" t="n"/>
      <c r="AA185" s="69" t="n"/>
      <c r="AB185" s="69" t="n"/>
      <c r="AC185" s="69" t="n"/>
      <c r="AD185" s="69" t="n"/>
      <c r="AE185" s="69" t="n"/>
    </row>
    <row r="186" ht="15.75" customHeight="1" s="673">
      <c r="A186" s="69" t="n"/>
      <c r="B186" s="131" t="n"/>
      <c r="C186" s="131" t="n"/>
      <c r="D186" s="131" t="n"/>
      <c r="E186" s="131" t="n"/>
      <c r="F186" s="131" t="n"/>
      <c r="G186" s="131" t="n"/>
      <c r="H186" s="131" t="n"/>
      <c r="I186" s="131" t="n"/>
      <c r="J186" s="131" t="n"/>
      <c r="K186" s="131" t="n"/>
      <c r="L186" s="131" t="n"/>
      <c r="M186" s="131" t="n"/>
      <c r="N186" s="131" t="n"/>
      <c r="O186" s="131" t="n"/>
      <c r="P186" s="131" t="n"/>
      <c r="Q186" s="131" t="n"/>
      <c r="R186" s="131" t="n"/>
      <c r="S186" s="131" t="n"/>
      <c r="T186" s="131" t="n"/>
      <c r="U186" s="69" t="n"/>
      <c r="V186" s="69" t="n"/>
      <c r="W186" s="69" t="n"/>
      <c r="X186" s="69" t="n"/>
      <c r="Y186" s="69" t="n"/>
      <c r="Z186" s="69" t="n"/>
      <c r="AA186" s="69" t="n"/>
      <c r="AB186" s="69" t="n"/>
      <c r="AC186" s="69" t="n"/>
      <c r="AD186" s="69" t="n"/>
      <c r="AE186" s="69" t="n"/>
    </row>
    <row r="187" ht="15.75" customHeight="1" s="673">
      <c r="A187" s="69" t="n"/>
      <c r="B187" s="131" t="n"/>
      <c r="C187" s="131" t="n"/>
      <c r="D187" s="131" t="n"/>
      <c r="E187" s="131" t="n"/>
      <c r="F187" s="131" t="n"/>
      <c r="G187" s="131" t="n"/>
      <c r="H187" s="131" t="n"/>
      <c r="I187" s="131" t="n"/>
      <c r="J187" s="131" t="n"/>
      <c r="K187" s="131" t="n"/>
      <c r="L187" s="131" t="n"/>
      <c r="M187" s="131" t="n"/>
      <c r="N187" s="131" t="n"/>
      <c r="O187" s="131" t="n"/>
      <c r="P187" s="131" t="n"/>
      <c r="Q187" s="131" t="n"/>
      <c r="R187" s="131" t="n"/>
      <c r="S187" s="131" t="n"/>
      <c r="T187" s="131" t="n"/>
      <c r="U187" s="69" t="n"/>
      <c r="V187" s="69" t="n"/>
      <c r="W187" s="69" t="n"/>
      <c r="X187" s="69" t="n"/>
      <c r="Y187" s="69" t="n"/>
      <c r="Z187" s="69" t="n"/>
      <c r="AA187" s="69" t="n"/>
      <c r="AB187" s="69" t="n"/>
      <c r="AC187" s="69" t="n"/>
      <c r="AD187" s="69" t="n"/>
      <c r="AE187" s="69" t="n"/>
    </row>
    <row r="188" ht="15.75" customHeight="1" s="673">
      <c r="A188" s="69" t="n"/>
      <c r="B188" s="131" t="n"/>
      <c r="C188" s="131" t="n"/>
      <c r="D188" s="131" t="n"/>
      <c r="E188" s="131" t="n"/>
      <c r="F188" s="131" t="n"/>
      <c r="G188" s="131" t="n"/>
      <c r="H188" s="131" t="n"/>
      <c r="I188" s="131" t="n"/>
      <c r="J188" s="131" t="n"/>
      <c r="K188" s="131" t="n"/>
      <c r="L188" s="131" t="n"/>
      <c r="M188" s="131" t="n"/>
      <c r="N188" s="131" t="n"/>
      <c r="O188" s="131" t="n"/>
      <c r="P188" s="131" t="n"/>
      <c r="Q188" s="131" t="n"/>
      <c r="R188" s="131" t="n"/>
      <c r="S188" s="131" t="n"/>
      <c r="T188" s="131" t="n"/>
      <c r="U188" s="69" t="n"/>
      <c r="V188" s="69" t="n"/>
      <c r="W188" s="69" t="n"/>
      <c r="X188" s="69" t="n"/>
      <c r="Y188" s="69" t="n"/>
      <c r="Z188" s="69" t="n"/>
      <c r="AA188" s="69" t="n"/>
      <c r="AB188" s="69" t="n"/>
      <c r="AC188" s="69" t="n"/>
      <c r="AD188" s="69" t="n"/>
      <c r="AE188" s="69" t="n"/>
    </row>
    <row r="189" ht="15.75" customHeight="1" s="673">
      <c r="A189" s="69" t="n"/>
      <c r="B189" s="131" t="n"/>
      <c r="C189" s="131" t="n"/>
      <c r="D189" s="131" t="n"/>
      <c r="E189" s="131" t="n"/>
      <c r="F189" s="131" t="n"/>
      <c r="G189" s="131" t="n"/>
      <c r="H189" s="131" t="n"/>
      <c r="I189" s="131" t="n"/>
      <c r="J189" s="131" t="n"/>
      <c r="K189" s="131" t="n"/>
      <c r="L189" s="131" t="n"/>
      <c r="M189" s="131" t="n"/>
      <c r="N189" s="131" t="n"/>
      <c r="O189" s="131" t="n"/>
      <c r="P189" s="131" t="n"/>
      <c r="Q189" s="131" t="n"/>
      <c r="R189" s="131" t="n"/>
      <c r="S189" s="131" t="n"/>
      <c r="T189" s="131" t="n"/>
      <c r="U189" s="69" t="n"/>
      <c r="V189" s="69" t="n"/>
      <c r="W189" s="69" t="n"/>
      <c r="X189" s="69" t="n"/>
      <c r="Y189" s="69" t="n"/>
      <c r="Z189" s="69" t="n"/>
      <c r="AA189" s="69" t="n"/>
      <c r="AB189" s="69" t="n"/>
      <c r="AC189" s="69" t="n"/>
      <c r="AD189" s="69" t="n"/>
      <c r="AE189" s="69" t="n"/>
    </row>
    <row r="190" ht="15.75" customHeight="1" s="673">
      <c r="A190" s="69" t="n"/>
      <c r="B190" s="131" t="n"/>
      <c r="C190" s="131" t="n"/>
      <c r="D190" s="131" t="n"/>
      <c r="E190" s="131" t="n"/>
      <c r="F190" s="131" t="n"/>
      <c r="G190" s="131" t="n"/>
      <c r="H190" s="131" t="n"/>
      <c r="I190" s="131" t="n"/>
      <c r="J190" s="131" t="n"/>
      <c r="K190" s="131" t="n"/>
      <c r="L190" s="131" t="n"/>
      <c r="M190" s="131" t="n"/>
      <c r="N190" s="131" t="n"/>
      <c r="O190" s="131" t="n"/>
      <c r="P190" s="131" t="n"/>
      <c r="Q190" s="131" t="n"/>
      <c r="R190" s="131" t="n"/>
      <c r="S190" s="131" t="n"/>
      <c r="T190" s="131" t="n"/>
      <c r="U190" s="69" t="n"/>
      <c r="V190" s="69" t="n"/>
      <c r="W190" s="69" t="n"/>
      <c r="X190" s="69" t="n"/>
      <c r="Y190" s="69" t="n"/>
      <c r="Z190" s="69" t="n"/>
      <c r="AA190" s="69" t="n"/>
      <c r="AB190" s="69" t="n"/>
      <c r="AC190" s="69" t="n"/>
      <c r="AD190" s="69" t="n"/>
      <c r="AE190" s="69" t="n"/>
    </row>
    <row r="191" ht="15.75" customHeight="1" s="673">
      <c r="A191" s="69" t="n"/>
      <c r="B191" s="131" t="n"/>
      <c r="C191" s="131" t="n"/>
      <c r="D191" s="131" t="n"/>
      <c r="E191" s="131" t="n"/>
      <c r="F191" s="131" t="n"/>
      <c r="G191" s="131" t="n"/>
      <c r="H191" s="131" t="n"/>
      <c r="I191" s="131" t="n"/>
      <c r="J191" s="131" t="n"/>
      <c r="K191" s="131" t="n"/>
      <c r="L191" s="131" t="n"/>
      <c r="M191" s="131" t="n"/>
      <c r="N191" s="131" t="n"/>
      <c r="O191" s="131" t="n"/>
      <c r="P191" s="131" t="n"/>
      <c r="Q191" s="131" t="n"/>
      <c r="R191" s="131" t="n"/>
      <c r="S191" s="131" t="n"/>
      <c r="T191" s="131" t="n"/>
      <c r="U191" s="69" t="n"/>
      <c r="V191" s="69" t="n"/>
      <c r="W191" s="69" t="n"/>
      <c r="X191" s="69" t="n"/>
      <c r="Y191" s="69" t="n"/>
      <c r="Z191" s="69" t="n"/>
      <c r="AA191" s="69" t="n"/>
      <c r="AB191" s="69" t="n"/>
      <c r="AC191" s="69" t="n"/>
      <c r="AD191" s="69" t="n"/>
      <c r="AE191" s="69" t="n"/>
    </row>
    <row r="192" ht="15.75" customHeight="1" s="673">
      <c r="A192" s="69" t="n"/>
      <c r="B192" s="131" t="n"/>
      <c r="C192" s="131" t="n"/>
      <c r="D192" s="131" t="n"/>
      <c r="E192" s="131" t="n"/>
      <c r="F192" s="131" t="n"/>
      <c r="G192" s="131" t="n"/>
      <c r="H192" s="131" t="n"/>
      <c r="I192" s="131" t="n"/>
      <c r="J192" s="131" t="n"/>
      <c r="K192" s="131" t="n"/>
      <c r="L192" s="131" t="n"/>
      <c r="M192" s="131" t="n"/>
      <c r="N192" s="131" t="n"/>
      <c r="O192" s="131" t="n"/>
      <c r="P192" s="131" t="n"/>
      <c r="Q192" s="131" t="n"/>
      <c r="R192" s="131" t="n"/>
      <c r="S192" s="131" t="n"/>
      <c r="T192" s="131" t="n"/>
      <c r="U192" s="69" t="n"/>
      <c r="V192" s="69" t="n"/>
      <c r="W192" s="69" t="n"/>
      <c r="X192" s="69" t="n"/>
      <c r="Y192" s="69" t="n"/>
      <c r="Z192" s="69" t="n"/>
      <c r="AA192" s="69" t="n"/>
      <c r="AB192" s="69" t="n"/>
      <c r="AC192" s="69" t="n"/>
      <c r="AD192" s="69" t="n"/>
      <c r="AE192" s="69" t="n"/>
    </row>
    <row r="193" ht="15.75" customHeight="1" s="673">
      <c r="A193" s="69" t="n"/>
      <c r="B193" s="131" t="n"/>
      <c r="C193" s="131" t="n"/>
      <c r="D193" s="131" t="n"/>
      <c r="E193" s="131" t="n"/>
      <c r="F193" s="131" t="n"/>
      <c r="G193" s="131" t="n"/>
      <c r="H193" s="131" t="n"/>
      <c r="I193" s="131" t="n"/>
      <c r="J193" s="131" t="n"/>
      <c r="K193" s="131" t="n"/>
      <c r="L193" s="131" t="n"/>
      <c r="M193" s="131" t="n"/>
      <c r="N193" s="131" t="n"/>
      <c r="O193" s="131" t="n"/>
      <c r="P193" s="131" t="n"/>
      <c r="Q193" s="131" t="n"/>
      <c r="R193" s="131" t="n"/>
      <c r="S193" s="131" t="n"/>
      <c r="T193" s="131" t="n"/>
      <c r="U193" s="69" t="n"/>
      <c r="V193" s="69" t="n"/>
      <c r="W193" s="69" t="n"/>
      <c r="X193" s="69" t="n"/>
      <c r="Y193" s="69" t="n"/>
      <c r="Z193" s="69" t="n"/>
      <c r="AA193" s="69" t="n"/>
      <c r="AB193" s="69" t="n"/>
      <c r="AC193" s="69" t="n"/>
      <c r="AD193" s="69" t="n"/>
      <c r="AE193" s="69" t="n"/>
    </row>
    <row r="194" ht="15.75" customHeight="1" s="673">
      <c r="A194" s="69" t="n"/>
      <c r="B194" s="131" t="n"/>
      <c r="C194" s="131" t="n"/>
      <c r="D194" s="131" t="n"/>
      <c r="E194" s="131" t="n"/>
      <c r="F194" s="131" t="n"/>
      <c r="G194" s="131" t="n"/>
      <c r="H194" s="131" t="n"/>
      <c r="I194" s="131" t="n"/>
      <c r="J194" s="131" t="n"/>
      <c r="K194" s="131" t="n"/>
      <c r="L194" s="131" t="n"/>
      <c r="M194" s="131" t="n"/>
      <c r="N194" s="131" t="n"/>
      <c r="O194" s="131" t="n"/>
      <c r="P194" s="131" t="n"/>
      <c r="Q194" s="131" t="n"/>
      <c r="R194" s="131" t="n"/>
      <c r="S194" s="131" t="n"/>
      <c r="T194" s="131" t="n"/>
      <c r="U194" s="69" t="n"/>
      <c r="V194" s="69" t="n"/>
      <c r="W194" s="69" t="n"/>
      <c r="X194" s="69" t="n"/>
      <c r="Y194" s="69" t="n"/>
      <c r="Z194" s="69" t="n"/>
      <c r="AA194" s="69" t="n"/>
      <c r="AB194" s="69" t="n"/>
      <c r="AC194" s="69" t="n"/>
      <c r="AD194" s="69" t="n"/>
      <c r="AE194" s="69" t="n"/>
    </row>
    <row r="195" ht="15.75" customHeight="1" s="673">
      <c r="A195" s="69" t="n"/>
      <c r="B195" s="131" t="n"/>
      <c r="C195" s="131" t="n"/>
      <c r="D195" s="131" t="n"/>
      <c r="E195" s="131" t="n"/>
      <c r="F195" s="131" t="n"/>
      <c r="G195" s="131" t="n"/>
      <c r="H195" s="131" t="n"/>
      <c r="I195" s="131" t="n"/>
      <c r="J195" s="131" t="n"/>
      <c r="K195" s="131" t="n"/>
      <c r="L195" s="131" t="n"/>
      <c r="M195" s="131" t="n"/>
      <c r="N195" s="131" t="n"/>
      <c r="O195" s="131" t="n"/>
      <c r="P195" s="131" t="n"/>
      <c r="Q195" s="131" t="n"/>
      <c r="R195" s="131" t="n"/>
      <c r="S195" s="131" t="n"/>
      <c r="T195" s="131" t="n"/>
      <c r="U195" s="69" t="n"/>
      <c r="V195" s="69" t="n"/>
      <c r="W195" s="69" t="n"/>
      <c r="X195" s="69" t="n"/>
      <c r="Y195" s="69" t="n"/>
      <c r="Z195" s="69" t="n"/>
      <c r="AA195" s="69" t="n"/>
      <c r="AB195" s="69" t="n"/>
      <c r="AC195" s="69" t="n"/>
      <c r="AD195" s="69" t="n"/>
      <c r="AE195" s="69" t="n"/>
    </row>
    <row r="196" ht="15.75" customHeight="1" s="673">
      <c r="A196" s="69" t="n"/>
      <c r="B196" s="131" t="n"/>
      <c r="C196" s="131" t="n"/>
      <c r="D196" s="131" t="n"/>
      <c r="E196" s="131" t="n"/>
      <c r="F196" s="131" t="n"/>
      <c r="G196" s="131" t="n"/>
      <c r="H196" s="131" t="n"/>
      <c r="I196" s="131" t="n"/>
      <c r="J196" s="131" t="n"/>
      <c r="K196" s="131" t="n"/>
      <c r="L196" s="131" t="n"/>
      <c r="M196" s="131" t="n"/>
      <c r="N196" s="131" t="n"/>
      <c r="O196" s="131" t="n"/>
      <c r="P196" s="131" t="n"/>
      <c r="Q196" s="131" t="n"/>
      <c r="R196" s="131" t="n"/>
      <c r="S196" s="131" t="n"/>
      <c r="T196" s="131" t="n"/>
      <c r="U196" s="69" t="n"/>
      <c r="V196" s="69" t="n"/>
      <c r="W196" s="69" t="n"/>
      <c r="X196" s="69" t="n"/>
      <c r="Y196" s="69" t="n"/>
      <c r="Z196" s="69" t="n"/>
      <c r="AA196" s="69" t="n"/>
      <c r="AB196" s="69" t="n"/>
      <c r="AC196" s="69" t="n"/>
      <c r="AD196" s="69" t="n"/>
      <c r="AE196" s="69" t="n"/>
    </row>
    <row r="197" ht="15.75" customHeight="1" s="673">
      <c r="A197" s="69" t="n"/>
      <c r="B197" s="131" t="n"/>
      <c r="C197" s="131" t="n"/>
      <c r="D197" s="131" t="n"/>
      <c r="E197" s="131" t="n"/>
      <c r="F197" s="131" t="n"/>
      <c r="G197" s="131" t="n"/>
      <c r="H197" s="131" t="n"/>
      <c r="I197" s="131" t="n"/>
      <c r="J197" s="131" t="n"/>
      <c r="K197" s="131" t="n"/>
      <c r="L197" s="131" t="n"/>
      <c r="M197" s="131" t="n"/>
      <c r="N197" s="131" t="n"/>
      <c r="O197" s="131" t="n"/>
      <c r="P197" s="131" t="n"/>
      <c r="Q197" s="131" t="n"/>
      <c r="R197" s="131" t="n"/>
      <c r="S197" s="131" t="n"/>
      <c r="T197" s="131" t="n"/>
      <c r="U197" s="69" t="n"/>
      <c r="V197" s="69" t="n"/>
      <c r="W197" s="69" t="n"/>
      <c r="X197" s="69" t="n"/>
      <c r="Y197" s="69" t="n"/>
      <c r="Z197" s="69" t="n"/>
      <c r="AA197" s="69" t="n"/>
      <c r="AB197" s="69" t="n"/>
      <c r="AC197" s="69" t="n"/>
      <c r="AD197" s="69" t="n"/>
      <c r="AE197" s="69" t="n"/>
    </row>
    <row r="198" ht="15.75" customHeight="1" s="673">
      <c r="A198" s="69" t="n"/>
      <c r="B198" s="131" t="n"/>
      <c r="C198" s="131" t="n"/>
      <c r="D198" s="131" t="n"/>
      <c r="E198" s="131" t="n"/>
      <c r="F198" s="131" t="n"/>
      <c r="G198" s="131" t="n"/>
      <c r="H198" s="131" t="n"/>
      <c r="I198" s="131" t="n"/>
      <c r="J198" s="131" t="n"/>
      <c r="K198" s="131" t="n"/>
      <c r="L198" s="131" t="n"/>
      <c r="M198" s="131" t="n"/>
      <c r="N198" s="131" t="n"/>
      <c r="O198" s="131" t="n"/>
      <c r="P198" s="131" t="n"/>
      <c r="Q198" s="131" t="n"/>
      <c r="R198" s="131" t="n"/>
      <c r="S198" s="131" t="n"/>
      <c r="T198" s="131" t="n"/>
      <c r="U198" s="69" t="n"/>
      <c r="V198" s="69" t="n"/>
      <c r="W198" s="69" t="n"/>
      <c r="X198" s="69" t="n"/>
      <c r="Y198" s="69" t="n"/>
      <c r="Z198" s="69" t="n"/>
      <c r="AA198" s="69" t="n"/>
      <c r="AB198" s="69" t="n"/>
      <c r="AC198" s="69" t="n"/>
      <c r="AD198" s="69" t="n"/>
      <c r="AE198" s="69" t="n"/>
    </row>
    <row r="199" ht="15.75" customHeight="1" s="673">
      <c r="A199" s="69" t="n"/>
      <c r="B199" s="131" t="n"/>
      <c r="C199" s="131" t="n"/>
      <c r="D199" s="131" t="n"/>
      <c r="E199" s="131" t="n"/>
      <c r="F199" s="131" t="n"/>
      <c r="G199" s="131" t="n"/>
      <c r="H199" s="131" t="n"/>
      <c r="I199" s="131" t="n"/>
      <c r="J199" s="131" t="n"/>
      <c r="K199" s="131" t="n"/>
      <c r="L199" s="131" t="n"/>
      <c r="M199" s="131" t="n"/>
      <c r="N199" s="131" t="n"/>
      <c r="O199" s="131" t="n"/>
      <c r="P199" s="131" t="n"/>
      <c r="Q199" s="131" t="n"/>
      <c r="R199" s="131" t="n"/>
      <c r="S199" s="131" t="n"/>
      <c r="T199" s="131" t="n"/>
      <c r="U199" s="69" t="n"/>
      <c r="V199" s="69" t="n"/>
      <c r="W199" s="69" t="n"/>
      <c r="X199" s="69" t="n"/>
      <c r="Y199" s="69" t="n"/>
      <c r="Z199" s="69" t="n"/>
      <c r="AA199" s="69" t="n"/>
      <c r="AB199" s="69" t="n"/>
      <c r="AC199" s="69" t="n"/>
      <c r="AD199" s="69" t="n"/>
      <c r="AE199" s="69" t="n"/>
    </row>
    <row r="200" ht="15.75" customHeight="1" s="673">
      <c r="A200" s="69" t="n"/>
      <c r="B200" s="131" t="n"/>
      <c r="C200" s="131" t="n"/>
      <c r="D200" s="131" t="n"/>
      <c r="E200" s="131" t="n"/>
      <c r="F200" s="131" t="n"/>
      <c r="G200" s="131" t="n"/>
      <c r="H200" s="131" t="n"/>
      <c r="I200" s="131" t="n"/>
      <c r="J200" s="131" t="n"/>
      <c r="K200" s="131" t="n"/>
      <c r="L200" s="131" t="n"/>
      <c r="M200" s="131" t="n"/>
      <c r="N200" s="131" t="n"/>
      <c r="O200" s="131" t="n"/>
      <c r="P200" s="131" t="n"/>
      <c r="Q200" s="131" t="n"/>
      <c r="R200" s="131" t="n"/>
      <c r="S200" s="131" t="n"/>
      <c r="T200" s="131" t="n"/>
      <c r="U200" s="69" t="n"/>
      <c r="V200" s="69" t="n"/>
      <c r="W200" s="69" t="n"/>
      <c r="X200" s="69" t="n"/>
      <c r="Y200" s="69" t="n"/>
      <c r="Z200" s="69" t="n"/>
      <c r="AA200" s="69" t="n"/>
      <c r="AB200" s="69" t="n"/>
      <c r="AC200" s="69" t="n"/>
      <c r="AD200" s="69" t="n"/>
      <c r="AE200" s="69" t="n"/>
    </row>
    <row r="201" ht="15.75" customHeight="1" s="673">
      <c r="A201" s="69" t="n"/>
      <c r="B201" s="131" t="n"/>
      <c r="C201" s="131" t="n"/>
      <c r="D201" s="131" t="n"/>
      <c r="E201" s="131" t="n"/>
      <c r="F201" s="131" t="n"/>
      <c r="G201" s="131" t="n"/>
      <c r="H201" s="131" t="n"/>
      <c r="I201" s="131" t="n"/>
      <c r="J201" s="131" t="n"/>
      <c r="K201" s="131" t="n"/>
      <c r="L201" s="131" t="n"/>
      <c r="M201" s="131" t="n"/>
      <c r="N201" s="131" t="n"/>
      <c r="O201" s="131" t="n"/>
      <c r="P201" s="131" t="n"/>
      <c r="Q201" s="131" t="n"/>
      <c r="R201" s="131" t="n"/>
      <c r="S201" s="131" t="n"/>
      <c r="T201" s="131" t="n"/>
      <c r="U201" s="69" t="n"/>
      <c r="V201" s="69" t="n"/>
      <c r="W201" s="69" t="n"/>
      <c r="X201" s="69" t="n"/>
      <c r="Y201" s="69" t="n"/>
      <c r="Z201" s="69" t="n"/>
      <c r="AA201" s="69" t="n"/>
      <c r="AB201" s="69" t="n"/>
      <c r="AC201" s="69" t="n"/>
      <c r="AD201" s="69" t="n"/>
      <c r="AE201" s="69" t="n"/>
    </row>
    <row r="202" ht="15.75" customHeight="1" s="673">
      <c r="A202" s="69" t="n"/>
      <c r="B202" s="131" t="n"/>
      <c r="C202" s="131" t="n"/>
      <c r="D202" s="131" t="n"/>
      <c r="E202" s="131" t="n"/>
      <c r="F202" s="131" t="n"/>
      <c r="G202" s="131" t="n"/>
      <c r="H202" s="131" t="n"/>
      <c r="I202" s="131" t="n"/>
      <c r="J202" s="131" t="n"/>
      <c r="K202" s="131" t="n"/>
      <c r="L202" s="131" t="n"/>
      <c r="M202" s="131" t="n"/>
      <c r="N202" s="131" t="n"/>
      <c r="O202" s="131" t="n"/>
      <c r="P202" s="131" t="n"/>
      <c r="Q202" s="131" t="n"/>
      <c r="R202" s="131" t="n"/>
      <c r="S202" s="131" t="n"/>
      <c r="T202" s="131" t="n"/>
      <c r="U202" s="69" t="n"/>
      <c r="V202" s="69" t="n"/>
      <c r="W202" s="69" t="n"/>
      <c r="X202" s="69" t="n"/>
      <c r="Y202" s="69" t="n"/>
      <c r="Z202" s="69" t="n"/>
      <c r="AA202" s="69" t="n"/>
      <c r="AB202" s="69" t="n"/>
      <c r="AC202" s="69" t="n"/>
      <c r="AD202" s="69" t="n"/>
      <c r="AE202" s="69" t="n"/>
    </row>
    <row r="203" ht="15.75" customHeight="1" s="673">
      <c r="A203" s="69" t="n"/>
      <c r="B203" s="131" t="n"/>
      <c r="C203" s="131" t="n"/>
      <c r="D203" s="131" t="n"/>
      <c r="E203" s="131" t="n"/>
      <c r="F203" s="131" t="n"/>
      <c r="G203" s="131" t="n"/>
      <c r="H203" s="131" t="n"/>
      <c r="I203" s="131" t="n"/>
      <c r="J203" s="131" t="n"/>
      <c r="K203" s="131" t="n"/>
      <c r="L203" s="131" t="n"/>
      <c r="M203" s="131" t="n"/>
      <c r="N203" s="131" t="n"/>
      <c r="O203" s="131" t="n"/>
      <c r="P203" s="131" t="n"/>
      <c r="Q203" s="131" t="n"/>
      <c r="R203" s="131" t="n"/>
      <c r="S203" s="131" t="n"/>
      <c r="T203" s="131" t="n"/>
      <c r="U203" s="69" t="n"/>
      <c r="V203" s="69" t="n"/>
      <c r="W203" s="69" t="n"/>
      <c r="X203" s="69" t="n"/>
      <c r="Y203" s="69" t="n"/>
      <c r="Z203" s="69" t="n"/>
      <c r="AA203" s="69" t="n"/>
      <c r="AB203" s="69" t="n"/>
      <c r="AC203" s="69" t="n"/>
      <c r="AD203" s="69" t="n"/>
      <c r="AE203" s="69" t="n"/>
    </row>
    <row r="204" ht="15.75" customHeight="1" s="673">
      <c r="A204" s="69" t="n"/>
      <c r="B204" s="131" t="n"/>
      <c r="C204" s="131" t="n"/>
      <c r="D204" s="131" t="n"/>
      <c r="E204" s="131" t="n"/>
      <c r="F204" s="131" t="n"/>
      <c r="G204" s="131" t="n"/>
      <c r="H204" s="131" t="n"/>
      <c r="I204" s="131" t="n"/>
      <c r="J204" s="131" t="n"/>
      <c r="K204" s="131" t="n"/>
      <c r="L204" s="131" t="n"/>
      <c r="M204" s="131" t="n"/>
      <c r="N204" s="131" t="n"/>
      <c r="O204" s="131" t="n"/>
      <c r="P204" s="131" t="n"/>
      <c r="Q204" s="131" t="n"/>
      <c r="R204" s="131" t="n"/>
      <c r="S204" s="131" t="n"/>
      <c r="T204" s="131" t="n"/>
      <c r="U204" s="69" t="n"/>
      <c r="V204" s="69" t="n"/>
      <c r="W204" s="69" t="n"/>
      <c r="X204" s="69" t="n"/>
      <c r="Y204" s="69" t="n"/>
      <c r="Z204" s="69" t="n"/>
      <c r="AA204" s="69" t="n"/>
      <c r="AB204" s="69" t="n"/>
      <c r="AC204" s="69" t="n"/>
      <c r="AD204" s="69" t="n"/>
      <c r="AE204" s="69" t="n"/>
    </row>
    <row r="205" ht="15.75" customHeight="1" s="673">
      <c r="A205" s="69" t="n"/>
      <c r="B205" s="131" t="n"/>
      <c r="C205" s="131" t="n"/>
      <c r="D205" s="131" t="n"/>
      <c r="E205" s="131" t="n"/>
      <c r="F205" s="131" t="n"/>
      <c r="G205" s="131" t="n"/>
      <c r="H205" s="131" t="n"/>
      <c r="I205" s="131" t="n"/>
      <c r="J205" s="131" t="n"/>
      <c r="K205" s="131" t="n"/>
      <c r="L205" s="131" t="n"/>
      <c r="M205" s="131" t="n"/>
      <c r="N205" s="131" t="n"/>
      <c r="O205" s="131" t="n"/>
      <c r="P205" s="131" t="n"/>
      <c r="Q205" s="131" t="n"/>
      <c r="R205" s="131" t="n"/>
      <c r="S205" s="131" t="n"/>
      <c r="T205" s="131" t="n"/>
      <c r="U205" s="69" t="n"/>
      <c r="V205" s="69" t="n"/>
      <c r="W205" s="69" t="n"/>
      <c r="X205" s="69" t="n"/>
      <c r="Y205" s="69" t="n"/>
      <c r="Z205" s="69" t="n"/>
      <c r="AA205" s="69" t="n"/>
      <c r="AB205" s="69" t="n"/>
      <c r="AC205" s="69" t="n"/>
      <c r="AD205" s="69" t="n"/>
      <c r="AE205" s="69" t="n"/>
    </row>
    <row r="206" ht="15.75" customHeight="1" s="673">
      <c r="A206" s="69" t="n"/>
      <c r="B206" s="131" t="n"/>
      <c r="C206" s="131" t="n"/>
      <c r="D206" s="131" t="n"/>
      <c r="E206" s="131" t="n"/>
      <c r="F206" s="131" t="n"/>
      <c r="G206" s="131" t="n"/>
      <c r="H206" s="131" t="n"/>
      <c r="I206" s="131" t="n"/>
      <c r="J206" s="131" t="n"/>
      <c r="K206" s="131" t="n"/>
      <c r="L206" s="131" t="n"/>
      <c r="M206" s="131" t="n"/>
      <c r="N206" s="131" t="n"/>
      <c r="O206" s="131" t="n"/>
      <c r="P206" s="131" t="n"/>
      <c r="Q206" s="131" t="n"/>
      <c r="R206" s="131" t="n"/>
      <c r="S206" s="131" t="n"/>
      <c r="T206" s="131" t="n"/>
      <c r="U206" s="69" t="n"/>
      <c r="V206" s="69" t="n"/>
      <c r="W206" s="69" t="n"/>
      <c r="X206" s="69" t="n"/>
      <c r="Y206" s="69" t="n"/>
      <c r="Z206" s="69" t="n"/>
      <c r="AA206" s="69" t="n"/>
      <c r="AB206" s="69" t="n"/>
      <c r="AC206" s="69" t="n"/>
      <c r="AD206" s="69" t="n"/>
      <c r="AE206" s="69" t="n"/>
    </row>
    <row r="207" ht="15.75" customHeight="1" s="673">
      <c r="A207" s="69" t="n"/>
      <c r="B207" s="131" t="n"/>
      <c r="C207" s="131" t="n"/>
      <c r="D207" s="131" t="n"/>
      <c r="E207" s="131" t="n"/>
      <c r="F207" s="131" t="n"/>
      <c r="G207" s="131" t="n"/>
      <c r="H207" s="131" t="n"/>
      <c r="I207" s="131" t="n"/>
      <c r="J207" s="131" t="n"/>
      <c r="K207" s="131" t="n"/>
      <c r="L207" s="131" t="n"/>
      <c r="M207" s="131" t="n"/>
      <c r="N207" s="131" t="n"/>
      <c r="O207" s="131" t="n"/>
      <c r="P207" s="131" t="n"/>
      <c r="Q207" s="131" t="n"/>
      <c r="R207" s="131" t="n"/>
      <c r="S207" s="131" t="n"/>
      <c r="T207" s="131" t="n"/>
      <c r="U207" s="69" t="n"/>
      <c r="V207" s="69" t="n"/>
      <c r="W207" s="69" t="n"/>
      <c r="X207" s="69" t="n"/>
      <c r="Y207" s="69" t="n"/>
      <c r="Z207" s="69" t="n"/>
      <c r="AA207" s="69" t="n"/>
      <c r="AB207" s="69" t="n"/>
      <c r="AC207" s="69" t="n"/>
      <c r="AD207" s="69" t="n"/>
      <c r="AE207" s="69" t="n"/>
    </row>
    <row r="208" ht="15.75" customHeight="1" s="673">
      <c r="A208" s="69" t="n"/>
      <c r="B208" s="131" t="n"/>
      <c r="C208" s="131" t="n"/>
      <c r="D208" s="131" t="n"/>
      <c r="E208" s="131" t="n"/>
      <c r="F208" s="131" t="n"/>
      <c r="G208" s="131" t="n"/>
      <c r="H208" s="131" t="n"/>
      <c r="I208" s="131" t="n"/>
      <c r="J208" s="131" t="n"/>
      <c r="K208" s="131" t="n"/>
      <c r="L208" s="131" t="n"/>
      <c r="M208" s="131" t="n"/>
      <c r="N208" s="131" t="n"/>
      <c r="O208" s="131" t="n"/>
      <c r="P208" s="131" t="n"/>
      <c r="Q208" s="131" t="n"/>
      <c r="R208" s="131" t="n"/>
      <c r="S208" s="131" t="n"/>
      <c r="T208" s="131" t="n"/>
      <c r="U208" s="69" t="n"/>
      <c r="V208" s="69" t="n"/>
      <c r="W208" s="69" t="n"/>
      <c r="X208" s="69" t="n"/>
      <c r="Y208" s="69" t="n"/>
      <c r="Z208" s="69" t="n"/>
      <c r="AA208" s="69" t="n"/>
      <c r="AB208" s="69" t="n"/>
      <c r="AC208" s="69" t="n"/>
      <c r="AD208" s="69" t="n"/>
      <c r="AE208" s="69" t="n"/>
    </row>
    <row r="209" ht="15.75" customHeight="1" s="673">
      <c r="A209" s="69" t="n"/>
      <c r="B209" s="131" t="n"/>
      <c r="C209" s="131" t="n"/>
      <c r="D209" s="131" t="n"/>
      <c r="E209" s="131" t="n"/>
      <c r="F209" s="131" t="n"/>
      <c r="G209" s="131" t="n"/>
      <c r="H209" s="131" t="n"/>
      <c r="I209" s="131" t="n"/>
      <c r="J209" s="131" t="n"/>
      <c r="K209" s="131" t="n"/>
      <c r="L209" s="131" t="n"/>
      <c r="M209" s="131" t="n"/>
      <c r="N209" s="131" t="n"/>
      <c r="O209" s="131" t="n"/>
      <c r="P209" s="131" t="n"/>
      <c r="Q209" s="131" t="n"/>
      <c r="R209" s="131" t="n"/>
      <c r="S209" s="131" t="n"/>
      <c r="T209" s="131" t="n"/>
      <c r="U209" s="69" t="n"/>
      <c r="V209" s="69" t="n"/>
      <c r="W209" s="69" t="n"/>
      <c r="X209" s="69" t="n"/>
      <c r="Y209" s="69" t="n"/>
      <c r="Z209" s="69" t="n"/>
      <c r="AA209" s="69" t="n"/>
      <c r="AB209" s="69" t="n"/>
      <c r="AC209" s="69" t="n"/>
      <c r="AD209" s="69" t="n"/>
      <c r="AE209" s="69" t="n"/>
    </row>
    <row r="210" ht="15.75" customHeight="1" s="673">
      <c r="A210" s="69" t="n"/>
      <c r="B210" s="131" t="n"/>
      <c r="C210" s="131" t="n"/>
      <c r="D210" s="131" t="n"/>
      <c r="E210" s="131" t="n"/>
      <c r="F210" s="131" t="n"/>
      <c r="G210" s="131" t="n"/>
      <c r="H210" s="131" t="n"/>
      <c r="I210" s="131" t="n"/>
      <c r="J210" s="131" t="n"/>
      <c r="K210" s="131" t="n"/>
      <c r="L210" s="131" t="n"/>
      <c r="M210" s="131" t="n"/>
      <c r="N210" s="131" t="n"/>
      <c r="O210" s="131" t="n"/>
      <c r="P210" s="131" t="n"/>
      <c r="Q210" s="131" t="n"/>
      <c r="R210" s="131" t="n"/>
      <c r="S210" s="131" t="n"/>
      <c r="T210" s="131" t="n"/>
      <c r="U210" s="69" t="n"/>
      <c r="V210" s="69" t="n"/>
      <c r="W210" s="69" t="n"/>
      <c r="X210" s="69" t="n"/>
      <c r="Y210" s="69" t="n"/>
      <c r="Z210" s="69" t="n"/>
      <c r="AA210" s="69" t="n"/>
      <c r="AB210" s="69" t="n"/>
      <c r="AC210" s="69" t="n"/>
      <c r="AD210" s="69" t="n"/>
      <c r="AE210" s="69" t="n"/>
    </row>
    <row r="211" ht="15.75" customHeight="1" s="673">
      <c r="A211" s="69" t="n"/>
      <c r="B211" s="131" t="n"/>
      <c r="C211" s="131" t="n"/>
      <c r="D211" s="131" t="n"/>
      <c r="E211" s="131" t="n"/>
      <c r="F211" s="131" t="n"/>
      <c r="G211" s="131" t="n"/>
      <c r="H211" s="131" t="n"/>
      <c r="I211" s="131" t="n"/>
      <c r="J211" s="131" t="n"/>
      <c r="K211" s="131" t="n"/>
      <c r="L211" s="131" t="n"/>
      <c r="M211" s="131" t="n"/>
      <c r="N211" s="131" t="n"/>
      <c r="O211" s="131" t="n"/>
      <c r="P211" s="131" t="n"/>
      <c r="Q211" s="131" t="n"/>
      <c r="R211" s="131" t="n"/>
      <c r="S211" s="131" t="n"/>
      <c r="T211" s="131" t="n"/>
      <c r="U211" s="69" t="n"/>
      <c r="V211" s="69" t="n"/>
      <c r="W211" s="69" t="n"/>
      <c r="X211" s="69" t="n"/>
      <c r="Y211" s="69" t="n"/>
      <c r="Z211" s="69" t="n"/>
      <c r="AA211" s="69" t="n"/>
      <c r="AB211" s="69" t="n"/>
      <c r="AC211" s="69" t="n"/>
      <c r="AD211" s="69" t="n"/>
      <c r="AE211" s="69" t="n"/>
    </row>
    <row r="212" ht="15.75" customHeight="1" s="673">
      <c r="A212" s="69" t="n"/>
      <c r="B212" s="131" t="n"/>
      <c r="C212" s="131" t="n"/>
      <c r="D212" s="131" t="n"/>
      <c r="E212" s="131" t="n"/>
      <c r="F212" s="131" t="n"/>
      <c r="G212" s="131" t="n"/>
      <c r="H212" s="131" t="n"/>
      <c r="I212" s="131" t="n"/>
      <c r="J212" s="131" t="n"/>
      <c r="K212" s="131" t="n"/>
      <c r="L212" s="131" t="n"/>
      <c r="M212" s="131" t="n"/>
      <c r="N212" s="131" t="n"/>
      <c r="O212" s="131" t="n"/>
      <c r="P212" s="131" t="n"/>
      <c r="Q212" s="131" t="n"/>
      <c r="R212" s="131" t="n"/>
      <c r="S212" s="131" t="n"/>
      <c r="T212" s="131" t="n"/>
      <c r="U212" s="69" t="n"/>
      <c r="V212" s="69" t="n"/>
      <c r="W212" s="69" t="n"/>
      <c r="X212" s="69" t="n"/>
      <c r="Y212" s="69" t="n"/>
      <c r="Z212" s="69" t="n"/>
      <c r="AA212" s="69" t="n"/>
      <c r="AB212" s="69" t="n"/>
      <c r="AC212" s="69" t="n"/>
      <c r="AD212" s="69" t="n"/>
      <c r="AE212" s="69" t="n"/>
    </row>
    <row r="213" ht="15.75" customHeight="1" s="673">
      <c r="A213" s="69" t="n"/>
      <c r="B213" s="131" t="n"/>
      <c r="C213" s="131" t="n"/>
      <c r="D213" s="131" t="n"/>
      <c r="E213" s="131" t="n"/>
      <c r="F213" s="131" t="n"/>
      <c r="G213" s="131" t="n"/>
      <c r="H213" s="131" t="n"/>
      <c r="I213" s="131" t="n"/>
      <c r="J213" s="131" t="n"/>
      <c r="K213" s="131" t="n"/>
      <c r="L213" s="131" t="n"/>
      <c r="M213" s="131" t="n"/>
      <c r="N213" s="131" t="n"/>
      <c r="O213" s="131" t="n"/>
      <c r="P213" s="131" t="n"/>
      <c r="Q213" s="131" t="n"/>
      <c r="R213" s="131" t="n"/>
      <c r="S213" s="131" t="n"/>
      <c r="T213" s="131" t="n"/>
      <c r="U213" s="69" t="n"/>
      <c r="V213" s="69" t="n"/>
      <c r="W213" s="69" t="n"/>
      <c r="X213" s="69" t="n"/>
      <c r="Y213" s="69" t="n"/>
      <c r="Z213" s="69" t="n"/>
      <c r="AA213" s="69" t="n"/>
      <c r="AB213" s="69" t="n"/>
      <c r="AC213" s="69" t="n"/>
      <c r="AD213" s="69" t="n"/>
      <c r="AE213" s="69" t="n"/>
    </row>
    <row r="214" ht="15.75" customHeight="1" s="673">
      <c r="A214" s="69" t="n"/>
      <c r="B214" s="131" t="n"/>
      <c r="C214" s="131" t="n"/>
      <c r="D214" s="131" t="n"/>
      <c r="E214" s="131" t="n"/>
      <c r="F214" s="131" t="n"/>
      <c r="G214" s="131" t="n"/>
      <c r="H214" s="131" t="n"/>
      <c r="I214" s="131" t="n"/>
      <c r="J214" s="131" t="n"/>
      <c r="K214" s="131" t="n"/>
      <c r="L214" s="131" t="n"/>
      <c r="M214" s="131" t="n"/>
      <c r="N214" s="131" t="n"/>
      <c r="O214" s="131" t="n"/>
      <c r="P214" s="131" t="n"/>
      <c r="Q214" s="131" t="n"/>
      <c r="R214" s="131" t="n"/>
      <c r="S214" s="131" t="n"/>
      <c r="T214" s="131" t="n"/>
      <c r="U214" s="69" t="n"/>
      <c r="V214" s="69" t="n"/>
      <c r="W214" s="69" t="n"/>
      <c r="X214" s="69" t="n"/>
      <c r="Y214" s="69" t="n"/>
      <c r="Z214" s="69" t="n"/>
      <c r="AA214" s="69" t="n"/>
      <c r="AB214" s="69" t="n"/>
      <c r="AC214" s="69" t="n"/>
      <c r="AD214" s="69" t="n"/>
      <c r="AE214" s="69" t="n"/>
    </row>
    <row r="215" ht="15.75" customHeight="1" s="673">
      <c r="A215" s="69" t="n"/>
      <c r="B215" s="131" t="n"/>
      <c r="C215" s="131" t="n"/>
      <c r="D215" s="131" t="n"/>
      <c r="E215" s="131" t="n"/>
      <c r="F215" s="131" t="n"/>
      <c r="G215" s="131" t="n"/>
      <c r="H215" s="131" t="n"/>
      <c r="I215" s="131" t="n"/>
      <c r="J215" s="131" t="n"/>
      <c r="K215" s="131" t="n"/>
      <c r="L215" s="131" t="n"/>
      <c r="M215" s="131" t="n"/>
      <c r="N215" s="131" t="n"/>
      <c r="O215" s="131" t="n"/>
      <c r="P215" s="131" t="n"/>
      <c r="Q215" s="131" t="n"/>
      <c r="R215" s="131" t="n"/>
      <c r="S215" s="131" t="n"/>
      <c r="T215" s="131" t="n"/>
      <c r="U215" s="69" t="n"/>
      <c r="V215" s="69" t="n"/>
      <c r="W215" s="69" t="n"/>
      <c r="X215" s="69" t="n"/>
      <c r="Y215" s="69" t="n"/>
      <c r="Z215" s="69" t="n"/>
      <c r="AA215" s="69" t="n"/>
      <c r="AB215" s="69" t="n"/>
      <c r="AC215" s="69" t="n"/>
      <c r="AD215" s="69" t="n"/>
      <c r="AE215" s="69" t="n"/>
    </row>
    <row r="216" ht="15.75" customHeight="1" s="673">
      <c r="A216" s="69" t="n"/>
      <c r="B216" s="131" t="n"/>
      <c r="C216" s="131" t="n"/>
      <c r="D216" s="131" t="n"/>
      <c r="E216" s="131" t="n"/>
      <c r="F216" s="131" t="n"/>
      <c r="G216" s="131" t="n"/>
      <c r="H216" s="131" t="n"/>
      <c r="I216" s="131" t="n"/>
      <c r="J216" s="131" t="n"/>
      <c r="K216" s="131" t="n"/>
      <c r="L216" s="131" t="n"/>
      <c r="M216" s="131" t="n"/>
      <c r="N216" s="131" t="n"/>
      <c r="O216" s="131" t="n"/>
      <c r="P216" s="131" t="n"/>
      <c r="Q216" s="131" t="n"/>
      <c r="R216" s="131" t="n"/>
      <c r="S216" s="131" t="n"/>
      <c r="T216" s="131" t="n"/>
      <c r="U216" s="69" t="n"/>
      <c r="V216" s="69" t="n"/>
      <c r="W216" s="69" t="n"/>
      <c r="X216" s="69" t="n"/>
      <c r="Y216" s="69" t="n"/>
      <c r="Z216" s="69" t="n"/>
      <c r="AA216" s="69" t="n"/>
      <c r="AB216" s="69" t="n"/>
      <c r="AC216" s="69" t="n"/>
      <c r="AD216" s="69" t="n"/>
      <c r="AE216" s="69" t="n"/>
    </row>
    <row r="217" ht="15.75" customHeight="1" s="673">
      <c r="A217" s="69" t="n"/>
      <c r="B217" s="131" t="n"/>
      <c r="C217" s="131" t="n"/>
      <c r="D217" s="131" t="n"/>
      <c r="E217" s="131" t="n"/>
      <c r="F217" s="131" t="n"/>
      <c r="G217" s="131" t="n"/>
      <c r="H217" s="131" t="n"/>
      <c r="I217" s="131" t="n"/>
      <c r="J217" s="131" t="n"/>
      <c r="K217" s="131" t="n"/>
      <c r="L217" s="131" t="n"/>
      <c r="M217" s="131" t="n"/>
      <c r="N217" s="131" t="n"/>
      <c r="O217" s="131" t="n"/>
      <c r="P217" s="131" t="n"/>
      <c r="Q217" s="131" t="n"/>
      <c r="R217" s="131" t="n"/>
      <c r="S217" s="131" t="n"/>
      <c r="T217" s="131" t="n"/>
      <c r="U217" s="69" t="n"/>
      <c r="V217" s="69" t="n"/>
      <c r="W217" s="69" t="n"/>
      <c r="X217" s="69" t="n"/>
      <c r="Y217" s="69" t="n"/>
      <c r="Z217" s="69" t="n"/>
      <c r="AA217" s="69" t="n"/>
      <c r="AB217" s="69" t="n"/>
      <c r="AC217" s="69" t="n"/>
      <c r="AD217" s="69" t="n"/>
      <c r="AE217" s="69" t="n"/>
    </row>
    <row r="218" ht="15.75" customHeight="1" s="673">
      <c r="A218" s="69" t="n"/>
      <c r="B218" s="131" t="n"/>
      <c r="C218" s="131" t="n"/>
      <c r="D218" s="131" t="n"/>
      <c r="E218" s="131" t="n"/>
      <c r="F218" s="131" t="n"/>
      <c r="G218" s="131" t="n"/>
      <c r="H218" s="131" t="n"/>
      <c r="I218" s="131" t="n"/>
      <c r="J218" s="131" t="n"/>
      <c r="K218" s="131" t="n"/>
      <c r="L218" s="131" t="n"/>
      <c r="M218" s="131" t="n"/>
      <c r="N218" s="131" t="n"/>
      <c r="O218" s="131" t="n"/>
      <c r="P218" s="131" t="n"/>
      <c r="Q218" s="131" t="n"/>
      <c r="R218" s="131" t="n"/>
      <c r="S218" s="131" t="n"/>
      <c r="T218" s="131" t="n"/>
      <c r="U218" s="69" t="n"/>
      <c r="V218" s="69" t="n"/>
      <c r="W218" s="69" t="n"/>
      <c r="X218" s="69" t="n"/>
      <c r="Y218" s="69" t="n"/>
      <c r="Z218" s="69" t="n"/>
      <c r="AA218" s="69" t="n"/>
      <c r="AB218" s="69" t="n"/>
      <c r="AC218" s="69" t="n"/>
      <c r="AD218" s="69" t="n"/>
      <c r="AE218" s="69" t="n"/>
    </row>
    <row r="219" ht="15.75" customHeight="1" s="673">
      <c r="A219" s="69" t="n"/>
      <c r="B219" s="131" t="n"/>
      <c r="C219" s="131" t="n"/>
      <c r="D219" s="131" t="n"/>
      <c r="E219" s="131" t="n"/>
      <c r="F219" s="131" t="n"/>
      <c r="G219" s="131" t="n"/>
      <c r="H219" s="131" t="n"/>
      <c r="I219" s="131" t="n"/>
      <c r="J219" s="131" t="n"/>
      <c r="K219" s="131" t="n"/>
      <c r="L219" s="131" t="n"/>
      <c r="M219" s="131" t="n"/>
      <c r="N219" s="131" t="n"/>
      <c r="O219" s="131" t="n"/>
      <c r="P219" s="131" t="n"/>
      <c r="Q219" s="131" t="n"/>
      <c r="R219" s="131" t="n"/>
      <c r="S219" s="131" t="n"/>
      <c r="T219" s="131" t="n"/>
      <c r="U219" s="69" t="n"/>
      <c r="V219" s="69" t="n"/>
      <c r="W219" s="69" t="n"/>
      <c r="X219" s="69" t="n"/>
      <c r="Y219" s="69" t="n"/>
      <c r="Z219" s="69" t="n"/>
      <c r="AA219" s="69" t="n"/>
      <c r="AB219" s="69" t="n"/>
      <c r="AC219" s="69" t="n"/>
      <c r="AD219" s="69" t="n"/>
      <c r="AE219" s="69" t="n"/>
    </row>
    <row r="220" ht="15.75" customHeight="1" s="673">
      <c r="A220" s="69" t="n"/>
      <c r="B220" s="131" t="n"/>
      <c r="C220" s="131" t="n"/>
      <c r="D220" s="131" t="n"/>
      <c r="E220" s="131" t="n"/>
      <c r="F220" s="131" t="n"/>
      <c r="G220" s="131" t="n"/>
      <c r="H220" s="131" t="n"/>
      <c r="I220" s="131" t="n"/>
      <c r="J220" s="131" t="n"/>
      <c r="K220" s="131" t="n"/>
      <c r="L220" s="131" t="n"/>
      <c r="M220" s="131" t="n"/>
      <c r="N220" s="131" t="n"/>
      <c r="O220" s="131" t="n"/>
      <c r="P220" s="131" t="n"/>
      <c r="Q220" s="131" t="n"/>
      <c r="R220" s="131" t="n"/>
      <c r="S220" s="131" t="n"/>
      <c r="T220" s="131" t="n"/>
      <c r="U220" s="69" t="n"/>
      <c r="V220" s="69" t="n"/>
      <c r="W220" s="69" t="n"/>
      <c r="X220" s="69" t="n"/>
      <c r="Y220" s="69" t="n"/>
      <c r="Z220" s="69" t="n"/>
      <c r="AA220" s="69" t="n"/>
      <c r="AB220" s="69" t="n"/>
      <c r="AC220" s="69" t="n"/>
      <c r="AD220" s="69" t="n"/>
      <c r="AE220" s="69" t="n"/>
    </row>
    <row r="221" ht="15.75" customHeight="1" s="673">
      <c r="A221" s="69" t="n"/>
      <c r="B221" s="131" t="n"/>
      <c r="C221" s="131" t="n"/>
      <c r="D221" s="131" t="n"/>
      <c r="E221" s="131" t="n"/>
      <c r="F221" s="131" t="n"/>
      <c r="G221" s="131" t="n"/>
      <c r="H221" s="131" t="n"/>
      <c r="I221" s="131" t="n"/>
      <c r="J221" s="131" t="n"/>
      <c r="K221" s="131" t="n"/>
      <c r="L221" s="131" t="n"/>
      <c r="M221" s="131" t="n"/>
      <c r="N221" s="131" t="n"/>
      <c r="O221" s="131" t="n"/>
      <c r="P221" s="131" t="n"/>
      <c r="Q221" s="131" t="n"/>
      <c r="R221" s="131" t="n"/>
      <c r="S221" s="131" t="n"/>
      <c r="T221" s="131" t="n"/>
      <c r="U221" s="69" t="n"/>
      <c r="V221" s="69" t="n"/>
      <c r="W221" s="69" t="n"/>
      <c r="X221" s="69" t="n"/>
      <c r="Y221" s="69" t="n"/>
      <c r="Z221" s="69" t="n"/>
      <c r="AA221" s="69" t="n"/>
      <c r="AB221" s="69" t="n"/>
      <c r="AC221" s="69" t="n"/>
      <c r="AD221" s="69" t="n"/>
      <c r="AE221" s="69" t="n"/>
    </row>
    <row r="222" ht="15.75" customHeight="1" s="673">
      <c r="A222" s="69" t="n"/>
      <c r="B222" s="131" t="n"/>
      <c r="C222" s="131" t="n"/>
      <c r="D222" s="131" t="n"/>
      <c r="E222" s="131" t="n"/>
      <c r="F222" s="131" t="n"/>
      <c r="G222" s="131" t="n"/>
      <c r="H222" s="131" t="n"/>
      <c r="I222" s="131" t="n"/>
      <c r="J222" s="131" t="n"/>
      <c r="K222" s="131" t="n"/>
      <c r="L222" s="131" t="n"/>
      <c r="M222" s="131" t="n"/>
      <c r="N222" s="131" t="n"/>
      <c r="O222" s="131" t="n"/>
      <c r="P222" s="131" t="n"/>
      <c r="Q222" s="131" t="n"/>
      <c r="R222" s="131" t="n"/>
      <c r="S222" s="131" t="n"/>
      <c r="T222" s="131" t="n"/>
      <c r="U222" s="69" t="n"/>
      <c r="V222" s="69" t="n"/>
      <c r="W222" s="69" t="n"/>
      <c r="X222" s="69" t="n"/>
      <c r="Y222" s="69" t="n"/>
      <c r="Z222" s="69" t="n"/>
      <c r="AA222" s="69" t="n"/>
      <c r="AB222" s="69" t="n"/>
      <c r="AC222" s="69" t="n"/>
      <c r="AD222" s="69" t="n"/>
      <c r="AE222" s="69" t="n"/>
    </row>
    <row r="223" ht="15.75" customHeight="1" s="673">
      <c r="A223" s="69" t="n"/>
      <c r="B223" s="131" t="n"/>
      <c r="C223" s="131" t="n"/>
      <c r="D223" s="131" t="n"/>
      <c r="E223" s="131" t="n"/>
      <c r="F223" s="131" t="n"/>
      <c r="G223" s="131" t="n"/>
      <c r="H223" s="131" t="n"/>
      <c r="I223" s="131" t="n"/>
      <c r="J223" s="131" t="n"/>
      <c r="K223" s="131" t="n"/>
      <c r="L223" s="131" t="n"/>
      <c r="M223" s="131" t="n"/>
      <c r="N223" s="131" t="n"/>
      <c r="O223" s="131" t="n"/>
      <c r="P223" s="131" t="n"/>
      <c r="Q223" s="131" t="n"/>
      <c r="R223" s="131" t="n"/>
      <c r="S223" s="131" t="n"/>
      <c r="T223" s="131" t="n"/>
      <c r="U223" s="69" t="n"/>
      <c r="V223" s="69" t="n"/>
      <c r="W223" s="69" t="n"/>
      <c r="X223" s="69" t="n"/>
      <c r="Y223" s="69" t="n"/>
      <c r="Z223" s="69" t="n"/>
      <c r="AA223" s="69" t="n"/>
      <c r="AB223" s="69" t="n"/>
      <c r="AC223" s="69" t="n"/>
      <c r="AD223" s="69" t="n"/>
      <c r="AE223" s="69" t="n"/>
    </row>
    <row r="224" ht="15.75" customHeight="1" s="673">
      <c r="A224" s="69" t="n"/>
      <c r="B224" s="131" t="n"/>
      <c r="C224" s="131" t="n"/>
      <c r="D224" s="131" t="n"/>
      <c r="E224" s="131" t="n"/>
      <c r="F224" s="131" t="n"/>
      <c r="G224" s="131" t="n"/>
      <c r="H224" s="131" t="n"/>
      <c r="I224" s="131" t="n"/>
      <c r="J224" s="131" t="n"/>
      <c r="K224" s="131" t="n"/>
      <c r="L224" s="131" t="n"/>
      <c r="M224" s="131" t="n"/>
      <c r="N224" s="131" t="n"/>
      <c r="O224" s="131" t="n"/>
      <c r="P224" s="131" t="n"/>
      <c r="Q224" s="131" t="n"/>
      <c r="R224" s="131" t="n"/>
      <c r="S224" s="131" t="n"/>
      <c r="T224" s="131" t="n"/>
      <c r="U224" s="69" t="n"/>
      <c r="V224" s="69" t="n"/>
      <c r="W224" s="69" t="n"/>
      <c r="X224" s="69" t="n"/>
      <c r="Y224" s="69" t="n"/>
      <c r="Z224" s="69" t="n"/>
      <c r="AA224" s="69" t="n"/>
      <c r="AB224" s="69" t="n"/>
      <c r="AC224" s="69" t="n"/>
      <c r="AD224" s="69" t="n"/>
      <c r="AE224" s="69" t="n"/>
    </row>
    <row r="225" ht="15.75" customHeight="1" s="673">
      <c r="A225" s="69" t="n"/>
      <c r="B225" s="131" t="n"/>
      <c r="C225" s="131" t="n"/>
      <c r="D225" s="131" t="n"/>
      <c r="E225" s="131" t="n"/>
      <c r="F225" s="131" t="n"/>
      <c r="G225" s="131" t="n"/>
      <c r="H225" s="131" t="n"/>
      <c r="I225" s="131" t="n"/>
      <c r="J225" s="131" t="n"/>
      <c r="K225" s="131" t="n"/>
      <c r="L225" s="131" t="n"/>
      <c r="M225" s="131" t="n"/>
      <c r="N225" s="131" t="n"/>
      <c r="O225" s="131" t="n"/>
      <c r="P225" s="131" t="n"/>
      <c r="Q225" s="131" t="n"/>
      <c r="R225" s="131" t="n"/>
      <c r="S225" s="131" t="n"/>
      <c r="T225" s="131" t="n"/>
      <c r="U225" s="69" t="n"/>
      <c r="V225" s="69" t="n"/>
      <c r="W225" s="69" t="n"/>
      <c r="X225" s="69" t="n"/>
      <c r="Y225" s="69" t="n"/>
      <c r="Z225" s="69" t="n"/>
      <c r="AA225" s="69" t="n"/>
      <c r="AB225" s="69" t="n"/>
      <c r="AC225" s="69" t="n"/>
      <c r="AD225" s="69" t="n"/>
      <c r="AE225" s="69" t="n"/>
    </row>
    <row r="226" ht="15.75" customHeight="1" s="673">
      <c r="A226" s="69" t="n"/>
      <c r="B226" s="131" t="n"/>
      <c r="C226" s="131" t="n"/>
      <c r="D226" s="131" t="n"/>
      <c r="E226" s="131" t="n"/>
      <c r="F226" s="131" t="n"/>
      <c r="G226" s="131" t="n"/>
      <c r="H226" s="131" t="n"/>
      <c r="I226" s="131" t="n"/>
      <c r="J226" s="131" t="n"/>
      <c r="K226" s="131" t="n"/>
      <c r="L226" s="131" t="n"/>
      <c r="M226" s="131" t="n"/>
      <c r="N226" s="131" t="n"/>
      <c r="O226" s="131" t="n"/>
      <c r="P226" s="131" t="n"/>
      <c r="Q226" s="131" t="n"/>
      <c r="R226" s="131" t="n"/>
      <c r="S226" s="131" t="n"/>
      <c r="T226" s="131" t="n"/>
      <c r="U226" s="69" t="n"/>
      <c r="V226" s="69" t="n"/>
      <c r="W226" s="69" t="n"/>
      <c r="X226" s="69" t="n"/>
      <c r="Y226" s="69" t="n"/>
      <c r="Z226" s="69" t="n"/>
      <c r="AA226" s="69" t="n"/>
      <c r="AB226" s="69" t="n"/>
      <c r="AC226" s="69" t="n"/>
      <c r="AD226" s="69" t="n"/>
      <c r="AE226" s="69" t="n"/>
    </row>
    <row r="227" ht="15.75" customHeight="1" s="673">
      <c r="A227" s="69" t="n"/>
      <c r="B227" s="131" t="n"/>
      <c r="C227" s="131" t="n"/>
      <c r="D227" s="131" t="n"/>
      <c r="E227" s="131" t="n"/>
      <c r="F227" s="131" t="n"/>
      <c r="G227" s="131" t="n"/>
      <c r="H227" s="131" t="n"/>
      <c r="I227" s="131" t="n"/>
      <c r="J227" s="131" t="n"/>
      <c r="K227" s="131" t="n"/>
      <c r="L227" s="131" t="n"/>
      <c r="M227" s="131" t="n"/>
      <c r="N227" s="131" t="n"/>
      <c r="O227" s="131" t="n"/>
      <c r="P227" s="131" t="n"/>
      <c r="Q227" s="131" t="n"/>
      <c r="R227" s="131" t="n"/>
      <c r="S227" s="131" t="n"/>
      <c r="T227" s="131" t="n"/>
      <c r="U227" s="69" t="n"/>
      <c r="V227" s="69" t="n"/>
      <c r="W227" s="69" t="n"/>
      <c r="X227" s="69" t="n"/>
      <c r="Y227" s="69" t="n"/>
      <c r="Z227" s="69" t="n"/>
      <c r="AA227" s="69" t="n"/>
      <c r="AB227" s="69" t="n"/>
      <c r="AC227" s="69" t="n"/>
      <c r="AD227" s="69" t="n"/>
      <c r="AE227" s="69" t="n"/>
    </row>
    <row r="228" ht="15.75" customHeight="1" s="673">
      <c r="A228" s="69" t="n"/>
      <c r="B228" s="131" t="n"/>
      <c r="C228" s="131" t="n"/>
      <c r="D228" s="131" t="n"/>
      <c r="E228" s="131" t="n"/>
      <c r="F228" s="131" t="n"/>
      <c r="G228" s="131" t="n"/>
      <c r="H228" s="131" t="n"/>
      <c r="I228" s="131" t="n"/>
      <c r="J228" s="131" t="n"/>
      <c r="K228" s="131" t="n"/>
      <c r="L228" s="131" t="n"/>
      <c r="M228" s="131" t="n"/>
      <c r="N228" s="131" t="n"/>
      <c r="O228" s="131" t="n"/>
      <c r="P228" s="131" t="n"/>
      <c r="Q228" s="131" t="n"/>
      <c r="R228" s="131" t="n"/>
      <c r="S228" s="131" t="n"/>
      <c r="T228" s="131" t="n"/>
      <c r="U228" s="69" t="n"/>
      <c r="V228" s="69" t="n"/>
      <c r="W228" s="69" t="n"/>
      <c r="X228" s="69" t="n"/>
      <c r="Y228" s="69" t="n"/>
      <c r="Z228" s="69" t="n"/>
      <c r="AA228" s="69" t="n"/>
      <c r="AB228" s="69" t="n"/>
      <c r="AC228" s="69" t="n"/>
      <c r="AD228" s="69" t="n"/>
      <c r="AE228" s="69" t="n"/>
    </row>
    <row r="229" ht="15.75" customHeight="1" s="673">
      <c r="A229" s="69" t="n"/>
      <c r="B229" s="131" t="n"/>
      <c r="C229" s="131" t="n"/>
      <c r="D229" s="131" t="n"/>
      <c r="E229" s="131" t="n"/>
      <c r="F229" s="131" t="n"/>
      <c r="G229" s="131" t="n"/>
      <c r="H229" s="131" t="n"/>
      <c r="I229" s="131" t="n"/>
      <c r="J229" s="131" t="n"/>
      <c r="K229" s="131" t="n"/>
      <c r="L229" s="131" t="n"/>
      <c r="M229" s="131" t="n"/>
      <c r="N229" s="131" t="n"/>
      <c r="O229" s="131" t="n"/>
      <c r="P229" s="131" t="n"/>
      <c r="Q229" s="131" t="n"/>
      <c r="R229" s="131" t="n"/>
      <c r="S229" s="131" t="n"/>
      <c r="T229" s="131" t="n"/>
      <c r="U229" s="69" t="n"/>
      <c r="V229" s="69" t="n"/>
      <c r="W229" s="69" t="n"/>
      <c r="X229" s="69" t="n"/>
      <c r="Y229" s="69" t="n"/>
      <c r="Z229" s="69" t="n"/>
      <c r="AA229" s="69" t="n"/>
      <c r="AB229" s="69" t="n"/>
      <c r="AC229" s="69" t="n"/>
      <c r="AD229" s="69" t="n"/>
      <c r="AE229" s="69" t="n"/>
    </row>
    <row r="230" ht="15.75" customHeight="1" s="673">
      <c r="A230" s="69" t="n"/>
      <c r="B230" s="131" t="n"/>
      <c r="C230" s="131" t="n"/>
      <c r="D230" s="131" t="n"/>
      <c r="E230" s="131" t="n"/>
      <c r="F230" s="131" t="n"/>
      <c r="G230" s="131" t="n"/>
      <c r="H230" s="131" t="n"/>
      <c r="I230" s="131" t="n"/>
      <c r="J230" s="131" t="n"/>
      <c r="K230" s="131" t="n"/>
      <c r="L230" s="131" t="n"/>
      <c r="M230" s="131" t="n"/>
      <c r="N230" s="131" t="n"/>
      <c r="O230" s="131" t="n"/>
      <c r="P230" s="131" t="n"/>
      <c r="Q230" s="131" t="n"/>
      <c r="R230" s="131" t="n"/>
      <c r="S230" s="131" t="n"/>
      <c r="T230" s="131" t="n"/>
      <c r="U230" s="69" t="n"/>
      <c r="V230" s="69" t="n"/>
      <c r="W230" s="69" t="n"/>
      <c r="X230" s="69" t="n"/>
      <c r="Y230" s="69" t="n"/>
      <c r="Z230" s="69" t="n"/>
      <c r="AA230" s="69" t="n"/>
      <c r="AB230" s="69" t="n"/>
      <c r="AC230" s="69" t="n"/>
      <c r="AD230" s="69" t="n"/>
      <c r="AE230" s="69" t="n"/>
    </row>
    <row r="231" ht="15.75" customHeight="1" s="673">
      <c r="A231" s="69" t="n"/>
      <c r="B231" s="131" t="n"/>
      <c r="C231" s="131" t="n"/>
      <c r="D231" s="131" t="n"/>
      <c r="E231" s="131" t="n"/>
      <c r="F231" s="131" t="n"/>
      <c r="G231" s="131" t="n"/>
      <c r="H231" s="131" t="n"/>
      <c r="I231" s="131" t="n"/>
      <c r="J231" s="131" t="n"/>
      <c r="K231" s="131" t="n"/>
      <c r="L231" s="131" t="n"/>
      <c r="M231" s="131" t="n"/>
      <c r="N231" s="131" t="n"/>
      <c r="O231" s="131" t="n"/>
      <c r="P231" s="131" t="n"/>
      <c r="Q231" s="131" t="n"/>
      <c r="R231" s="131" t="n"/>
      <c r="S231" s="131" t="n"/>
      <c r="T231" s="131" t="n"/>
      <c r="U231" s="69" t="n"/>
      <c r="V231" s="69" t="n"/>
      <c r="W231" s="69" t="n"/>
      <c r="X231" s="69" t="n"/>
      <c r="Y231" s="69" t="n"/>
      <c r="Z231" s="69" t="n"/>
      <c r="AA231" s="69" t="n"/>
      <c r="AB231" s="69" t="n"/>
      <c r="AC231" s="69" t="n"/>
      <c r="AD231" s="69" t="n"/>
      <c r="AE231" s="69" t="n"/>
    </row>
    <row r="232" ht="15.75" customHeight="1" s="673">
      <c r="A232" s="69" t="n"/>
      <c r="B232" s="131" t="n"/>
      <c r="C232" s="131" t="n"/>
      <c r="D232" s="131" t="n"/>
      <c r="E232" s="131" t="n"/>
      <c r="F232" s="131" t="n"/>
      <c r="G232" s="131" t="n"/>
      <c r="H232" s="131" t="n"/>
      <c r="I232" s="131" t="n"/>
      <c r="J232" s="131" t="n"/>
      <c r="K232" s="131" t="n"/>
      <c r="L232" s="131" t="n"/>
      <c r="M232" s="131" t="n"/>
      <c r="N232" s="131" t="n"/>
      <c r="O232" s="131" t="n"/>
      <c r="P232" s="131" t="n"/>
      <c r="Q232" s="131" t="n"/>
      <c r="R232" s="131" t="n"/>
      <c r="S232" s="131" t="n"/>
      <c r="T232" s="131" t="n"/>
      <c r="U232" s="69" t="n"/>
      <c r="V232" s="69" t="n"/>
      <c r="W232" s="69" t="n"/>
      <c r="X232" s="69" t="n"/>
      <c r="Y232" s="69" t="n"/>
      <c r="Z232" s="69" t="n"/>
      <c r="AA232" s="69" t="n"/>
      <c r="AB232" s="69" t="n"/>
      <c r="AC232" s="69" t="n"/>
      <c r="AD232" s="69" t="n"/>
      <c r="AE232" s="69" t="n"/>
    </row>
    <row r="233" ht="15.75" customHeight="1" s="673">
      <c r="A233" s="69" t="n"/>
      <c r="B233" s="131" t="n"/>
      <c r="C233" s="131" t="n"/>
      <c r="D233" s="131" t="n"/>
      <c r="E233" s="131" t="n"/>
      <c r="F233" s="131" t="n"/>
      <c r="G233" s="131" t="n"/>
      <c r="H233" s="131" t="n"/>
      <c r="I233" s="131" t="n"/>
      <c r="J233" s="131" t="n"/>
      <c r="K233" s="131" t="n"/>
      <c r="L233" s="131" t="n"/>
      <c r="M233" s="131" t="n"/>
      <c r="N233" s="131" t="n"/>
      <c r="O233" s="131" t="n"/>
      <c r="P233" s="131" t="n"/>
      <c r="Q233" s="131" t="n"/>
      <c r="R233" s="131" t="n"/>
      <c r="S233" s="131" t="n"/>
      <c r="T233" s="131" t="n"/>
      <c r="U233" s="69" t="n"/>
      <c r="V233" s="69" t="n"/>
      <c r="W233" s="69" t="n"/>
      <c r="X233" s="69" t="n"/>
      <c r="Y233" s="69" t="n"/>
      <c r="Z233" s="69" t="n"/>
      <c r="AA233" s="69" t="n"/>
      <c r="AB233" s="69" t="n"/>
      <c r="AC233" s="69" t="n"/>
      <c r="AD233" s="69" t="n"/>
      <c r="AE233" s="69" t="n"/>
    </row>
    <row r="234" ht="15.75" customHeight="1" s="673">
      <c r="A234" s="69" t="n"/>
      <c r="B234" s="131" t="n"/>
      <c r="C234" s="131" t="n"/>
      <c r="D234" s="131" t="n"/>
      <c r="E234" s="131" t="n"/>
      <c r="F234" s="131" t="n"/>
      <c r="G234" s="131" t="n"/>
      <c r="H234" s="131" t="n"/>
      <c r="I234" s="131" t="n"/>
      <c r="J234" s="131" t="n"/>
      <c r="K234" s="131" t="n"/>
      <c r="L234" s="131" t="n"/>
      <c r="M234" s="131" t="n"/>
      <c r="N234" s="131" t="n"/>
      <c r="O234" s="131" t="n"/>
      <c r="P234" s="131" t="n"/>
      <c r="Q234" s="131" t="n"/>
      <c r="R234" s="131" t="n"/>
      <c r="S234" s="131" t="n"/>
      <c r="T234" s="131" t="n"/>
      <c r="U234" s="69" t="n"/>
      <c r="V234" s="69" t="n"/>
      <c r="W234" s="69" t="n"/>
      <c r="X234" s="69" t="n"/>
      <c r="Y234" s="69" t="n"/>
      <c r="Z234" s="69" t="n"/>
      <c r="AA234" s="69" t="n"/>
      <c r="AB234" s="69" t="n"/>
      <c r="AC234" s="69" t="n"/>
      <c r="AD234" s="69" t="n"/>
      <c r="AE234" s="69" t="n"/>
    </row>
    <row r="235" ht="15.75" customHeight="1" s="673">
      <c r="A235" s="69" t="n"/>
      <c r="B235" s="131" t="n"/>
      <c r="C235" s="131" t="n"/>
      <c r="D235" s="131" t="n"/>
      <c r="E235" s="131" t="n"/>
      <c r="F235" s="131" t="n"/>
      <c r="G235" s="131" t="n"/>
      <c r="H235" s="131" t="n"/>
      <c r="I235" s="131" t="n"/>
      <c r="J235" s="131" t="n"/>
      <c r="K235" s="131" t="n"/>
      <c r="L235" s="131" t="n"/>
      <c r="M235" s="131" t="n"/>
      <c r="N235" s="131" t="n"/>
      <c r="O235" s="131" t="n"/>
      <c r="P235" s="131" t="n"/>
      <c r="Q235" s="131" t="n"/>
      <c r="R235" s="131" t="n"/>
      <c r="S235" s="131" t="n"/>
      <c r="T235" s="131" t="n"/>
      <c r="U235" s="69" t="n"/>
      <c r="V235" s="69" t="n"/>
      <c r="W235" s="69" t="n"/>
      <c r="X235" s="69" t="n"/>
      <c r="Y235" s="69" t="n"/>
      <c r="Z235" s="69" t="n"/>
      <c r="AA235" s="69" t="n"/>
      <c r="AB235" s="69" t="n"/>
      <c r="AC235" s="69" t="n"/>
      <c r="AD235" s="69" t="n"/>
      <c r="AE235" s="69" t="n"/>
    </row>
    <row r="236" ht="15.75" customHeight="1" s="673">
      <c r="A236" s="69" t="n"/>
      <c r="B236" s="131" t="n"/>
      <c r="C236" s="131" t="n"/>
      <c r="D236" s="131" t="n"/>
      <c r="E236" s="131" t="n"/>
      <c r="F236" s="131" t="n"/>
      <c r="G236" s="131" t="n"/>
      <c r="H236" s="131" t="n"/>
      <c r="I236" s="131" t="n"/>
      <c r="J236" s="131" t="n"/>
      <c r="K236" s="131" t="n"/>
      <c r="L236" s="131" t="n"/>
      <c r="M236" s="131" t="n"/>
      <c r="N236" s="131" t="n"/>
      <c r="O236" s="131" t="n"/>
      <c r="P236" s="131" t="n"/>
      <c r="Q236" s="131" t="n"/>
      <c r="R236" s="131" t="n"/>
      <c r="S236" s="131" t="n"/>
      <c r="T236" s="131" t="n"/>
      <c r="U236" s="69" t="n"/>
      <c r="V236" s="69" t="n"/>
      <c r="W236" s="69" t="n"/>
      <c r="X236" s="69" t="n"/>
      <c r="Y236" s="69" t="n"/>
      <c r="Z236" s="69" t="n"/>
      <c r="AA236" s="69" t="n"/>
      <c r="AB236" s="69" t="n"/>
      <c r="AC236" s="69" t="n"/>
      <c r="AD236" s="69" t="n"/>
      <c r="AE236" s="69" t="n"/>
    </row>
    <row r="237" ht="15.75" customHeight="1" s="673">
      <c r="A237" s="69" t="n"/>
      <c r="B237" s="131" t="n"/>
      <c r="C237" s="131" t="n"/>
      <c r="D237" s="131" t="n"/>
      <c r="E237" s="131" t="n"/>
      <c r="F237" s="131" t="n"/>
      <c r="G237" s="131" t="n"/>
      <c r="H237" s="131" t="n"/>
      <c r="I237" s="131" t="n"/>
      <c r="J237" s="131" t="n"/>
      <c r="K237" s="131" t="n"/>
      <c r="L237" s="131" t="n"/>
      <c r="M237" s="131" t="n"/>
      <c r="N237" s="131" t="n"/>
      <c r="O237" s="131" t="n"/>
      <c r="P237" s="131" t="n"/>
      <c r="Q237" s="131" t="n"/>
      <c r="R237" s="131" t="n"/>
      <c r="S237" s="131" t="n"/>
      <c r="T237" s="131" t="n"/>
      <c r="U237" s="69" t="n"/>
      <c r="V237" s="69" t="n"/>
      <c r="W237" s="69" t="n"/>
      <c r="X237" s="69" t="n"/>
      <c r="Y237" s="69" t="n"/>
      <c r="Z237" s="69" t="n"/>
      <c r="AA237" s="69" t="n"/>
      <c r="AB237" s="69" t="n"/>
      <c r="AC237" s="69" t="n"/>
      <c r="AD237" s="69" t="n"/>
      <c r="AE237" s="69" t="n"/>
    </row>
    <row r="238" ht="15.75" customHeight="1" s="673">
      <c r="A238" s="69" t="n"/>
      <c r="B238" s="131" t="n"/>
      <c r="C238" s="131" t="n"/>
      <c r="D238" s="131" t="n"/>
      <c r="E238" s="131" t="n"/>
      <c r="F238" s="131" t="n"/>
      <c r="G238" s="131" t="n"/>
      <c r="H238" s="131" t="n"/>
      <c r="I238" s="131" t="n"/>
      <c r="J238" s="131" t="n"/>
      <c r="K238" s="131" t="n"/>
      <c r="L238" s="131" t="n"/>
      <c r="M238" s="131" t="n"/>
      <c r="N238" s="131" t="n"/>
      <c r="O238" s="131" t="n"/>
      <c r="P238" s="131" t="n"/>
      <c r="Q238" s="131" t="n"/>
      <c r="R238" s="131" t="n"/>
      <c r="S238" s="131" t="n"/>
      <c r="T238" s="131" t="n"/>
      <c r="U238" s="69" t="n"/>
      <c r="V238" s="69" t="n"/>
      <c r="W238" s="69" t="n"/>
      <c r="X238" s="69" t="n"/>
      <c r="Y238" s="69" t="n"/>
      <c r="Z238" s="69" t="n"/>
      <c r="AA238" s="69" t="n"/>
      <c r="AB238" s="69" t="n"/>
      <c r="AC238" s="69" t="n"/>
      <c r="AD238" s="69" t="n"/>
      <c r="AE238" s="69" t="n"/>
    </row>
    <row r="239" ht="15.75" customHeight="1" s="673">
      <c r="A239" s="69" t="n"/>
      <c r="B239" s="131" t="n"/>
      <c r="C239" s="131" t="n"/>
      <c r="D239" s="131" t="n"/>
      <c r="E239" s="131" t="n"/>
      <c r="F239" s="131" t="n"/>
      <c r="G239" s="131" t="n"/>
      <c r="H239" s="131" t="n"/>
      <c r="I239" s="131" t="n"/>
      <c r="J239" s="131" t="n"/>
      <c r="K239" s="131" t="n"/>
      <c r="L239" s="131" t="n"/>
      <c r="M239" s="131" t="n"/>
      <c r="N239" s="131" t="n"/>
      <c r="O239" s="131" t="n"/>
      <c r="P239" s="131" t="n"/>
      <c r="Q239" s="131" t="n"/>
      <c r="R239" s="131" t="n"/>
      <c r="S239" s="131" t="n"/>
      <c r="T239" s="131" t="n"/>
      <c r="U239" s="69" t="n"/>
      <c r="V239" s="69" t="n"/>
      <c r="W239" s="69" t="n"/>
      <c r="X239" s="69" t="n"/>
      <c r="Y239" s="69" t="n"/>
      <c r="Z239" s="69" t="n"/>
      <c r="AA239" s="69" t="n"/>
      <c r="AB239" s="69" t="n"/>
      <c r="AC239" s="69" t="n"/>
      <c r="AD239" s="69" t="n"/>
      <c r="AE239" s="69" t="n"/>
    </row>
    <row r="240" ht="15.75" customHeight="1" s="673">
      <c r="A240" s="69" t="n"/>
      <c r="B240" s="131" t="n"/>
      <c r="C240" s="131" t="n"/>
      <c r="D240" s="131" t="n"/>
      <c r="E240" s="131" t="n"/>
      <c r="F240" s="131" t="n"/>
      <c r="G240" s="131" t="n"/>
      <c r="H240" s="131" t="n"/>
      <c r="I240" s="131" t="n"/>
      <c r="J240" s="131" t="n"/>
      <c r="K240" s="131" t="n"/>
      <c r="L240" s="131" t="n"/>
      <c r="M240" s="131" t="n"/>
      <c r="N240" s="131" t="n"/>
      <c r="O240" s="131" t="n"/>
      <c r="P240" s="131" t="n"/>
      <c r="Q240" s="131" t="n"/>
      <c r="R240" s="131" t="n"/>
      <c r="S240" s="131" t="n"/>
      <c r="T240" s="131" t="n"/>
      <c r="U240" s="69" t="n"/>
      <c r="V240" s="69" t="n"/>
      <c r="W240" s="69" t="n"/>
      <c r="X240" s="69" t="n"/>
      <c r="Y240" s="69" t="n"/>
      <c r="Z240" s="69" t="n"/>
      <c r="AA240" s="69" t="n"/>
      <c r="AB240" s="69" t="n"/>
      <c r="AC240" s="69" t="n"/>
      <c r="AD240" s="69" t="n"/>
      <c r="AE240" s="69" t="n"/>
    </row>
    <row r="241" ht="15.75" customHeight="1" s="673">
      <c r="A241" s="69" t="n"/>
      <c r="B241" s="131" t="n"/>
      <c r="C241" s="131" t="n"/>
      <c r="D241" s="131" t="n"/>
      <c r="E241" s="131" t="n"/>
      <c r="F241" s="131" t="n"/>
      <c r="G241" s="131" t="n"/>
      <c r="H241" s="131" t="n"/>
      <c r="I241" s="131" t="n"/>
      <c r="J241" s="131" t="n"/>
      <c r="K241" s="131" t="n"/>
      <c r="L241" s="131" t="n"/>
      <c r="M241" s="131" t="n"/>
      <c r="N241" s="131" t="n"/>
      <c r="O241" s="131" t="n"/>
      <c r="P241" s="131" t="n"/>
      <c r="Q241" s="131" t="n"/>
      <c r="R241" s="131" t="n"/>
      <c r="S241" s="131" t="n"/>
      <c r="T241" s="131" t="n"/>
      <c r="U241" s="69" t="n"/>
      <c r="V241" s="69" t="n"/>
      <c r="W241" s="69" t="n"/>
      <c r="X241" s="69" t="n"/>
      <c r="Y241" s="69" t="n"/>
      <c r="Z241" s="69" t="n"/>
      <c r="AA241" s="69" t="n"/>
      <c r="AB241" s="69" t="n"/>
      <c r="AC241" s="69" t="n"/>
      <c r="AD241" s="69" t="n"/>
      <c r="AE241" s="69" t="n"/>
    </row>
    <row r="242" ht="15.75" customHeight="1" s="673">
      <c r="A242" s="69" t="n"/>
      <c r="B242" s="131" t="n"/>
      <c r="C242" s="131" t="n"/>
      <c r="D242" s="131" t="n"/>
      <c r="E242" s="131" t="n"/>
      <c r="F242" s="131" t="n"/>
      <c r="G242" s="131" t="n"/>
      <c r="H242" s="131" t="n"/>
      <c r="I242" s="131" t="n"/>
      <c r="J242" s="131" t="n"/>
      <c r="K242" s="131" t="n"/>
      <c r="L242" s="131" t="n"/>
      <c r="M242" s="131" t="n"/>
      <c r="N242" s="131" t="n"/>
      <c r="O242" s="131" t="n"/>
      <c r="P242" s="131" t="n"/>
      <c r="Q242" s="131" t="n"/>
      <c r="R242" s="131" t="n"/>
      <c r="S242" s="131" t="n"/>
      <c r="T242" s="131" t="n"/>
      <c r="U242" s="69" t="n"/>
      <c r="V242" s="69" t="n"/>
      <c r="W242" s="69" t="n"/>
      <c r="X242" s="69" t="n"/>
      <c r="Y242" s="69" t="n"/>
      <c r="Z242" s="69" t="n"/>
      <c r="AA242" s="69" t="n"/>
      <c r="AB242" s="69" t="n"/>
      <c r="AC242" s="69" t="n"/>
      <c r="AD242" s="69" t="n"/>
      <c r="AE242" s="69" t="n"/>
    </row>
    <row r="243" ht="15.75" customHeight="1" s="673">
      <c r="A243" s="69" t="n"/>
      <c r="B243" s="131" t="n"/>
      <c r="C243" s="131" t="n"/>
      <c r="D243" s="131" t="n"/>
      <c r="E243" s="131" t="n"/>
      <c r="F243" s="131" t="n"/>
      <c r="G243" s="131" t="n"/>
      <c r="H243" s="131" t="n"/>
      <c r="I243" s="131" t="n"/>
      <c r="J243" s="131" t="n"/>
      <c r="K243" s="131" t="n"/>
      <c r="L243" s="131" t="n"/>
      <c r="M243" s="131" t="n"/>
      <c r="N243" s="131" t="n"/>
      <c r="O243" s="131" t="n"/>
      <c r="P243" s="131" t="n"/>
      <c r="Q243" s="131" t="n"/>
      <c r="R243" s="131" t="n"/>
      <c r="S243" s="131" t="n"/>
      <c r="T243" s="131" t="n"/>
      <c r="U243" s="69" t="n"/>
      <c r="V243" s="69" t="n"/>
      <c r="W243" s="69" t="n"/>
      <c r="X243" s="69" t="n"/>
      <c r="Y243" s="69" t="n"/>
      <c r="Z243" s="69" t="n"/>
      <c r="AA243" s="69" t="n"/>
      <c r="AB243" s="69" t="n"/>
      <c r="AC243" s="69" t="n"/>
      <c r="AD243" s="69" t="n"/>
      <c r="AE243" s="69" t="n"/>
    </row>
    <row r="244" ht="15.75" customHeight="1" s="673">
      <c r="A244" s="69" t="n"/>
      <c r="B244" s="131" t="n"/>
      <c r="C244" s="131" t="n"/>
      <c r="D244" s="131" t="n"/>
      <c r="E244" s="131" t="n"/>
      <c r="F244" s="131" t="n"/>
      <c r="G244" s="131" t="n"/>
      <c r="H244" s="131" t="n"/>
      <c r="I244" s="131" t="n"/>
      <c r="J244" s="131" t="n"/>
      <c r="K244" s="131" t="n"/>
      <c r="L244" s="131" t="n"/>
      <c r="M244" s="131" t="n"/>
      <c r="N244" s="131" t="n"/>
      <c r="O244" s="131" t="n"/>
      <c r="P244" s="131" t="n"/>
      <c r="Q244" s="131" t="n"/>
      <c r="R244" s="131" t="n"/>
      <c r="S244" s="131" t="n"/>
      <c r="T244" s="131" t="n"/>
      <c r="U244" s="69" t="n"/>
      <c r="V244" s="69" t="n"/>
      <c r="W244" s="69" t="n"/>
      <c r="X244" s="69" t="n"/>
      <c r="Y244" s="69" t="n"/>
      <c r="Z244" s="69" t="n"/>
      <c r="AA244" s="69" t="n"/>
      <c r="AB244" s="69" t="n"/>
      <c r="AC244" s="69" t="n"/>
      <c r="AD244" s="69" t="n"/>
      <c r="AE244" s="69" t="n"/>
    </row>
    <row r="245" ht="15.75" customHeight="1" s="673">
      <c r="A245" s="69" t="n"/>
      <c r="B245" s="131" t="n"/>
      <c r="C245" s="131" t="n"/>
      <c r="D245" s="131" t="n"/>
      <c r="E245" s="131" t="n"/>
      <c r="F245" s="131" t="n"/>
      <c r="G245" s="131" t="n"/>
      <c r="H245" s="131" t="n"/>
      <c r="I245" s="131" t="n"/>
      <c r="J245" s="131" t="n"/>
      <c r="K245" s="131" t="n"/>
      <c r="L245" s="131" t="n"/>
      <c r="M245" s="131" t="n"/>
      <c r="N245" s="131" t="n"/>
      <c r="O245" s="131" t="n"/>
      <c r="P245" s="131" t="n"/>
      <c r="Q245" s="131" t="n"/>
      <c r="R245" s="131" t="n"/>
      <c r="S245" s="131" t="n"/>
      <c r="T245" s="131" t="n"/>
      <c r="U245" s="69" t="n"/>
      <c r="V245" s="69" t="n"/>
      <c r="W245" s="69" t="n"/>
      <c r="X245" s="69" t="n"/>
      <c r="Y245" s="69" t="n"/>
      <c r="Z245" s="69" t="n"/>
      <c r="AA245" s="69" t="n"/>
      <c r="AB245" s="69" t="n"/>
      <c r="AC245" s="69" t="n"/>
      <c r="AD245" s="69" t="n"/>
      <c r="AE245" s="69" t="n"/>
    </row>
    <row r="246" ht="15.75" customHeight="1" s="673">
      <c r="A246" s="69" t="n"/>
      <c r="B246" s="131" t="n"/>
      <c r="C246" s="131" t="n"/>
      <c r="D246" s="131" t="n"/>
      <c r="E246" s="131" t="n"/>
      <c r="F246" s="131" t="n"/>
      <c r="G246" s="131" t="n"/>
      <c r="H246" s="131" t="n"/>
      <c r="I246" s="131" t="n"/>
      <c r="J246" s="131" t="n"/>
      <c r="K246" s="131" t="n"/>
      <c r="L246" s="131" t="n"/>
      <c r="M246" s="131" t="n"/>
      <c r="N246" s="131" t="n"/>
      <c r="O246" s="131" t="n"/>
      <c r="P246" s="131" t="n"/>
      <c r="Q246" s="131" t="n"/>
      <c r="R246" s="131" t="n"/>
      <c r="S246" s="131" t="n"/>
      <c r="T246" s="131" t="n"/>
      <c r="U246" s="69" t="n"/>
      <c r="V246" s="69" t="n"/>
      <c r="W246" s="69" t="n"/>
      <c r="X246" s="69" t="n"/>
      <c r="Y246" s="69" t="n"/>
      <c r="Z246" s="69" t="n"/>
      <c r="AA246" s="69" t="n"/>
      <c r="AB246" s="69" t="n"/>
      <c r="AC246" s="69" t="n"/>
      <c r="AD246" s="69" t="n"/>
      <c r="AE246" s="69" t="n"/>
    </row>
    <row r="247" ht="15.75" customHeight="1" s="673">
      <c r="A247" s="69" t="n"/>
      <c r="B247" s="131" t="n"/>
      <c r="C247" s="131" t="n"/>
      <c r="D247" s="131" t="n"/>
      <c r="E247" s="131" t="n"/>
      <c r="F247" s="131" t="n"/>
      <c r="G247" s="131" t="n"/>
      <c r="H247" s="131" t="n"/>
      <c r="I247" s="131" t="n"/>
      <c r="J247" s="131" t="n"/>
      <c r="K247" s="131" t="n"/>
      <c r="L247" s="131" t="n"/>
      <c r="M247" s="131" t="n"/>
      <c r="N247" s="131" t="n"/>
      <c r="O247" s="131" t="n"/>
      <c r="P247" s="131" t="n"/>
      <c r="Q247" s="131" t="n"/>
      <c r="R247" s="131" t="n"/>
      <c r="S247" s="131" t="n"/>
      <c r="T247" s="131" t="n"/>
      <c r="U247" s="69" t="n"/>
      <c r="V247" s="69" t="n"/>
      <c r="W247" s="69" t="n"/>
      <c r="X247" s="69" t="n"/>
      <c r="Y247" s="69" t="n"/>
      <c r="Z247" s="69" t="n"/>
      <c r="AA247" s="69" t="n"/>
      <c r="AB247" s="69" t="n"/>
      <c r="AC247" s="69" t="n"/>
      <c r="AD247" s="69" t="n"/>
      <c r="AE247" s="69" t="n"/>
    </row>
    <row r="248" ht="15.75" customHeight="1" s="673">
      <c r="A248" s="69" t="n"/>
      <c r="B248" s="131" t="n"/>
      <c r="C248" s="131" t="n"/>
      <c r="D248" s="131" t="n"/>
      <c r="E248" s="131" t="n"/>
      <c r="F248" s="131" t="n"/>
      <c r="G248" s="131" t="n"/>
      <c r="H248" s="131" t="n"/>
      <c r="I248" s="131" t="n"/>
      <c r="J248" s="131" t="n"/>
      <c r="K248" s="131" t="n"/>
      <c r="L248" s="131" t="n"/>
      <c r="M248" s="131" t="n"/>
      <c r="N248" s="131" t="n"/>
      <c r="O248" s="131" t="n"/>
      <c r="P248" s="131" t="n"/>
      <c r="Q248" s="131" t="n"/>
      <c r="R248" s="131" t="n"/>
      <c r="S248" s="131" t="n"/>
      <c r="T248" s="131" t="n"/>
      <c r="U248" s="69" t="n"/>
      <c r="V248" s="69" t="n"/>
      <c r="W248" s="69" t="n"/>
      <c r="X248" s="69" t="n"/>
      <c r="Y248" s="69" t="n"/>
      <c r="Z248" s="69" t="n"/>
      <c r="AA248" s="69" t="n"/>
      <c r="AB248" s="69" t="n"/>
      <c r="AC248" s="69" t="n"/>
      <c r="AD248" s="69" t="n"/>
      <c r="AE248" s="69" t="n"/>
    </row>
    <row r="249" ht="15.75" customHeight="1" s="673">
      <c r="A249" s="69" t="n"/>
      <c r="B249" s="131" t="n"/>
      <c r="C249" s="131" t="n"/>
      <c r="D249" s="131" t="n"/>
      <c r="E249" s="131" t="n"/>
      <c r="F249" s="131" t="n"/>
      <c r="G249" s="131" t="n"/>
      <c r="H249" s="131" t="n"/>
      <c r="I249" s="131" t="n"/>
      <c r="J249" s="131" t="n"/>
      <c r="K249" s="131" t="n"/>
      <c r="L249" s="131" t="n"/>
      <c r="M249" s="131" t="n"/>
      <c r="N249" s="131" t="n"/>
      <c r="O249" s="131" t="n"/>
      <c r="P249" s="131" t="n"/>
      <c r="Q249" s="131" t="n"/>
      <c r="R249" s="131" t="n"/>
      <c r="S249" s="131" t="n"/>
      <c r="T249" s="131" t="n"/>
      <c r="U249" s="69" t="n"/>
      <c r="V249" s="69" t="n"/>
      <c r="W249" s="69" t="n"/>
      <c r="X249" s="69" t="n"/>
      <c r="Y249" s="69" t="n"/>
      <c r="Z249" s="69" t="n"/>
      <c r="AA249" s="69" t="n"/>
      <c r="AB249" s="69" t="n"/>
      <c r="AC249" s="69" t="n"/>
      <c r="AD249" s="69" t="n"/>
      <c r="AE249" s="69" t="n"/>
    </row>
    <row r="250" ht="15.75" customHeight="1" s="673">
      <c r="A250" s="69" t="n"/>
      <c r="B250" s="131" t="n"/>
      <c r="C250" s="131" t="n"/>
      <c r="D250" s="131" t="n"/>
      <c r="E250" s="131" t="n"/>
      <c r="F250" s="131" t="n"/>
      <c r="G250" s="131" t="n"/>
      <c r="H250" s="131" t="n"/>
      <c r="I250" s="131" t="n"/>
      <c r="J250" s="131" t="n"/>
      <c r="K250" s="131" t="n"/>
      <c r="L250" s="131" t="n"/>
      <c r="M250" s="131" t="n"/>
      <c r="N250" s="131" t="n"/>
      <c r="O250" s="131" t="n"/>
      <c r="P250" s="131" t="n"/>
      <c r="Q250" s="131" t="n"/>
      <c r="R250" s="131" t="n"/>
      <c r="S250" s="131" t="n"/>
      <c r="T250" s="131" t="n"/>
      <c r="U250" s="69" t="n"/>
      <c r="V250" s="69" t="n"/>
      <c r="W250" s="69" t="n"/>
      <c r="X250" s="69" t="n"/>
      <c r="Y250" s="69" t="n"/>
      <c r="Z250" s="69" t="n"/>
      <c r="AA250" s="69" t="n"/>
      <c r="AB250" s="69" t="n"/>
      <c r="AC250" s="69" t="n"/>
      <c r="AD250" s="69" t="n"/>
      <c r="AE250" s="69" t="n"/>
    </row>
    <row r="251" ht="15.75" customHeight="1" s="673">
      <c r="A251" s="69" t="n"/>
      <c r="B251" s="131" t="n"/>
      <c r="C251" s="131" t="n"/>
      <c r="D251" s="131" t="n"/>
      <c r="E251" s="131" t="n"/>
      <c r="F251" s="131" t="n"/>
      <c r="G251" s="131" t="n"/>
      <c r="H251" s="131" t="n"/>
      <c r="I251" s="131" t="n"/>
      <c r="J251" s="131" t="n"/>
      <c r="K251" s="131" t="n"/>
      <c r="L251" s="131" t="n"/>
      <c r="M251" s="131" t="n"/>
      <c r="N251" s="131" t="n"/>
      <c r="O251" s="131" t="n"/>
      <c r="P251" s="131" t="n"/>
      <c r="Q251" s="131" t="n"/>
      <c r="R251" s="131" t="n"/>
      <c r="S251" s="131" t="n"/>
      <c r="T251" s="131" t="n"/>
      <c r="U251" s="69" t="n"/>
      <c r="V251" s="69" t="n"/>
      <c r="W251" s="69" t="n"/>
      <c r="X251" s="69" t="n"/>
      <c r="Y251" s="69" t="n"/>
      <c r="Z251" s="69" t="n"/>
      <c r="AA251" s="69" t="n"/>
      <c r="AB251" s="69" t="n"/>
      <c r="AC251" s="69" t="n"/>
      <c r="AD251" s="69" t="n"/>
      <c r="AE251" s="69" t="n"/>
    </row>
    <row r="252" ht="15.75" customHeight="1" s="673">
      <c r="A252" s="69" t="n"/>
      <c r="B252" s="131" t="n"/>
      <c r="C252" s="131" t="n"/>
      <c r="D252" s="131" t="n"/>
      <c r="E252" s="131" t="n"/>
      <c r="F252" s="131" t="n"/>
      <c r="G252" s="131" t="n"/>
      <c r="H252" s="131" t="n"/>
      <c r="I252" s="131" t="n"/>
      <c r="J252" s="131" t="n"/>
      <c r="K252" s="131" t="n"/>
      <c r="L252" s="131" t="n"/>
      <c r="M252" s="131" t="n"/>
      <c r="N252" s="131" t="n"/>
      <c r="O252" s="131" t="n"/>
      <c r="P252" s="131" t="n"/>
      <c r="Q252" s="131" t="n"/>
      <c r="R252" s="131" t="n"/>
      <c r="S252" s="131" t="n"/>
      <c r="T252" s="131" t="n"/>
      <c r="U252" s="69" t="n"/>
      <c r="V252" s="69" t="n"/>
      <c r="W252" s="69" t="n"/>
      <c r="X252" s="69" t="n"/>
      <c r="Y252" s="69" t="n"/>
      <c r="Z252" s="69" t="n"/>
      <c r="AA252" s="69" t="n"/>
      <c r="AB252" s="69" t="n"/>
      <c r="AC252" s="69" t="n"/>
      <c r="AD252" s="69" t="n"/>
      <c r="AE252" s="69" t="n"/>
    </row>
    <row r="253" ht="15.75" customHeight="1" s="673">
      <c r="A253" s="69" t="n"/>
      <c r="B253" s="131" t="n"/>
      <c r="C253" s="131" t="n"/>
      <c r="D253" s="131" t="n"/>
      <c r="E253" s="131" t="n"/>
      <c r="F253" s="131" t="n"/>
      <c r="G253" s="131" t="n"/>
      <c r="H253" s="131" t="n"/>
      <c r="I253" s="131" t="n"/>
      <c r="J253" s="131" t="n"/>
      <c r="K253" s="131" t="n"/>
      <c r="L253" s="131" t="n"/>
      <c r="M253" s="131" t="n"/>
      <c r="N253" s="131" t="n"/>
      <c r="O253" s="131" t="n"/>
      <c r="P253" s="131" t="n"/>
      <c r="Q253" s="131" t="n"/>
      <c r="R253" s="131" t="n"/>
      <c r="S253" s="131" t="n"/>
      <c r="T253" s="131" t="n"/>
      <c r="U253" s="69" t="n"/>
      <c r="V253" s="69" t="n"/>
      <c r="W253" s="69" t="n"/>
      <c r="X253" s="69" t="n"/>
      <c r="Y253" s="69" t="n"/>
      <c r="Z253" s="69" t="n"/>
      <c r="AA253" s="69" t="n"/>
      <c r="AB253" s="69" t="n"/>
      <c r="AC253" s="69" t="n"/>
      <c r="AD253" s="69" t="n"/>
      <c r="AE253" s="69" t="n"/>
    </row>
    <row r="254" ht="15.75" customHeight="1" s="673">
      <c r="A254" s="69" t="n"/>
      <c r="B254" s="131" t="n"/>
      <c r="C254" s="131" t="n"/>
      <c r="D254" s="131" t="n"/>
      <c r="E254" s="131" t="n"/>
      <c r="F254" s="131" t="n"/>
      <c r="G254" s="131" t="n"/>
      <c r="H254" s="131" t="n"/>
      <c r="I254" s="131" t="n"/>
      <c r="J254" s="131" t="n"/>
      <c r="K254" s="131" t="n"/>
      <c r="L254" s="131" t="n"/>
      <c r="M254" s="131" t="n"/>
      <c r="N254" s="131" t="n"/>
      <c r="O254" s="131" t="n"/>
      <c r="P254" s="131" t="n"/>
      <c r="Q254" s="131" t="n"/>
      <c r="R254" s="131" t="n"/>
      <c r="S254" s="131" t="n"/>
      <c r="T254" s="131" t="n"/>
      <c r="U254" s="69" t="n"/>
      <c r="V254" s="69" t="n"/>
      <c r="W254" s="69" t="n"/>
      <c r="X254" s="69" t="n"/>
      <c r="Y254" s="69" t="n"/>
      <c r="Z254" s="69" t="n"/>
      <c r="AA254" s="69" t="n"/>
      <c r="AB254" s="69" t="n"/>
      <c r="AC254" s="69" t="n"/>
      <c r="AD254" s="69" t="n"/>
      <c r="AE254" s="69" t="n"/>
    </row>
    <row r="255" ht="15.75" customHeight="1" s="673">
      <c r="A255" s="69" t="n"/>
      <c r="B255" s="131" t="n"/>
      <c r="C255" s="131" t="n"/>
      <c r="D255" s="131" t="n"/>
      <c r="E255" s="131" t="n"/>
      <c r="F255" s="131" t="n"/>
      <c r="G255" s="131" t="n"/>
      <c r="H255" s="131" t="n"/>
      <c r="I255" s="131" t="n"/>
      <c r="J255" s="131" t="n"/>
      <c r="K255" s="131" t="n"/>
      <c r="L255" s="131" t="n"/>
      <c r="M255" s="131" t="n"/>
      <c r="N255" s="131" t="n"/>
      <c r="O255" s="131" t="n"/>
      <c r="P255" s="131" t="n"/>
      <c r="Q255" s="131" t="n"/>
      <c r="R255" s="131" t="n"/>
      <c r="S255" s="131" t="n"/>
      <c r="T255" s="131" t="n"/>
      <c r="U255" s="69" t="n"/>
      <c r="V255" s="69" t="n"/>
      <c r="W255" s="69" t="n"/>
      <c r="X255" s="69" t="n"/>
      <c r="Y255" s="69" t="n"/>
      <c r="Z255" s="69" t="n"/>
      <c r="AA255" s="69" t="n"/>
      <c r="AB255" s="69" t="n"/>
      <c r="AC255" s="69" t="n"/>
      <c r="AD255" s="69" t="n"/>
      <c r="AE255" s="69" t="n"/>
    </row>
    <row r="256" ht="15.75" customHeight="1" s="673">
      <c r="A256" s="69" t="n"/>
      <c r="B256" s="131" t="n"/>
      <c r="C256" s="131" t="n"/>
      <c r="D256" s="131" t="n"/>
      <c r="E256" s="131" t="n"/>
      <c r="F256" s="131" t="n"/>
      <c r="G256" s="131" t="n"/>
      <c r="H256" s="131" t="n"/>
      <c r="I256" s="131" t="n"/>
      <c r="J256" s="131" t="n"/>
      <c r="K256" s="131" t="n"/>
      <c r="L256" s="131" t="n"/>
      <c r="M256" s="131" t="n"/>
      <c r="N256" s="131" t="n"/>
      <c r="O256" s="131" t="n"/>
      <c r="P256" s="131" t="n"/>
      <c r="Q256" s="131" t="n"/>
      <c r="R256" s="131" t="n"/>
      <c r="S256" s="131" t="n"/>
      <c r="T256" s="131" t="n"/>
      <c r="U256" s="69" t="n"/>
      <c r="V256" s="69" t="n"/>
      <c r="W256" s="69" t="n"/>
      <c r="X256" s="69" t="n"/>
      <c r="Y256" s="69" t="n"/>
      <c r="Z256" s="69" t="n"/>
      <c r="AA256" s="69" t="n"/>
      <c r="AB256" s="69" t="n"/>
      <c r="AC256" s="69" t="n"/>
      <c r="AD256" s="69" t="n"/>
      <c r="AE256" s="69" t="n"/>
    </row>
    <row r="257" ht="15.75" customHeight="1" s="673">
      <c r="A257" s="69" t="n"/>
      <c r="B257" s="131" t="n"/>
      <c r="C257" s="131" t="n"/>
      <c r="D257" s="131" t="n"/>
      <c r="E257" s="131" t="n"/>
      <c r="F257" s="131" t="n"/>
      <c r="G257" s="131" t="n"/>
      <c r="H257" s="131" t="n"/>
      <c r="I257" s="131" t="n"/>
      <c r="J257" s="131" t="n"/>
      <c r="K257" s="131" t="n"/>
      <c r="L257" s="131" t="n"/>
      <c r="M257" s="131" t="n"/>
      <c r="N257" s="131" t="n"/>
      <c r="O257" s="131" t="n"/>
      <c r="P257" s="131" t="n"/>
      <c r="Q257" s="131" t="n"/>
      <c r="R257" s="131" t="n"/>
      <c r="S257" s="131" t="n"/>
      <c r="T257" s="131" t="n"/>
      <c r="U257" s="69" t="n"/>
      <c r="V257" s="69" t="n"/>
      <c r="W257" s="69" t="n"/>
      <c r="X257" s="69" t="n"/>
      <c r="Y257" s="69" t="n"/>
      <c r="Z257" s="69" t="n"/>
      <c r="AA257" s="69" t="n"/>
      <c r="AB257" s="69" t="n"/>
      <c r="AC257" s="69" t="n"/>
      <c r="AD257" s="69" t="n"/>
      <c r="AE257" s="69" t="n"/>
    </row>
    <row r="258" ht="15.75" customHeight="1" s="673">
      <c r="A258" s="69" t="n"/>
      <c r="B258" s="131" t="n"/>
      <c r="C258" s="131" t="n"/>
      <c r="D258" s="131" t="n"/>
      <c r="E258" s="131" t="n"/>
      <c r="F258" s="131" t="n"/>
      <c r="G258" s="131" t="n"/>
      <c r="H258" s="131" t="n"/>
      <c r="I258" s="131" t="n"/>
      <c r="J258" s="131" t="n"/>
      <c r="K258" s="131" t="n"/>
      <c r="L258" s="131" t="n"/>
      <c r="M258" s="131" t="n"/>
      <c r="N258" s="131" t="n"/>
      <c r="O258" s="131" t="n"/>
      <c r="P258" s="131" t="n"/>
      <c r="Q258" s="131" t="n"/>
      <c r="R258" s="131" t="n"/>
      <c r="S258" s="131" t="n"/>
      <c r="T258" s="131" t="n"/>
      <c r="U258" s="69" t="n"/>
      <c r="V258" s="69" t="n"/>
      <c r="W258" s="69" t="n"/>
      <c r="X258" s="69" t="n"/>
      <c r="Y258" s="69" t="n"/>
      <c r="Z258" s="69" t="n"/>
      <c r="AA258" s="69" t="n"/>
      <c r="AB258" s="69" t="n"/>
      <c r="AC258" s="69" t="n"/>
      <c r="AD258" s="69" t="n"/>
      <c r="AE258" s="69" t="n"/>
    </row>
    <row r="259" ht="15.75" customHeight="1" s="673">
      <c r="A259" s="69" t="n"/>
      <c r="B259" s="131" t="n"/>
      <c r="C259" s="131" t="n"/>
      <c r="D259" s="131" t="n"/>
      <c r="E259" s="131" t="n"/>
      <c r="F259" s="131" t="n"/>
      <c r="G259" s="131" t="n"/>
      <c r="H259" s="131" t="n"/>
      <c r="I259" s="131" t="n"/>
      <c r="J259" s="131" t="n"/>
      <c r="K259" s="131" t="n"/>
      <c r="L259" s="131" t="n"/>
      <c r="M259" s="131" t="n"/>
      <c r="N259" s="131" t="n"/>
      <c r="O259" s="131" t="n"/>
      <c r="P259" s="131" t="n"/>
      <c r="Q259" s="131" t="n"/>
      <c r="R259" s="131" t="n"/>
      <c r="S259" s="131" t="n"/>
      <c r="T259" s="131" t="n"/>
      <c r="U259" s="69" t="n"/>
      <c r="V259" s="69" t="n"/>
      <c r="W259" s="69" t="n"/>
      <c r="X259" s="69" t="n"/>
      <c r="Y259" s="69" t="n"/>
      <c r="Z259" s="69" t="n"/>
      <c r="AA259" s="69" t="n"/>
      <c r="AB259" s="69" t="n"/>
      <c r="AC259" s="69" t="n"/>
      <c r="AD259" s="69" t="n"/>
      <c r="AE259" s="69" t="n"/>
    </row>
    <row r="260" ht="15.75" customHeight="1" s="673">
      <c r="A260" s="69" t="n"/>
      <c r="B260" s="131" t="n"/>
      <c r="C260" s="131" t="n"/>
      <c r="D260" s="131" t="n"/>
      <c r="E260" s="131" t="n"/>
      <c r="F260" s="131" t="n"/>
      <c r="G260" s="131" t="n"/>
      <c r="H260" s="131" t="n"/>
      <c r="I260" s="131" t="n"/>
      <c r="J260" s="131" t="n"/>
      <c r="K260" s="131" t="n"/>
      <c r="L260" s="131" t="n"/>
      <c r="M260" s="131" t="n"/>
      <c r="N260" s="131" t="n"/>
      <c r="O260" s="131" t="n"/>
      <c r="P260" s="131" t="n"/>
      <c r="Q260" s="131" t="n"/>
      <c r="R260" s="131" t="n"/>
      <c r="S260" s="131" t="n"/>
      <c r="T260" s="131" t="n"/>
      <c r="U260" s="69" t="n"/>
      <c r="V260" s="69" t="n"/>
      <c r="W260" s="69" t="n"/>
      <c r="X260" s="69" t="n"/>
      <c r="Y260" s="69" t="n"/>
      <c r="Z260" s="69" t="n"/>
      <c r="AA260" s="69" t="n"/>
      <c r="AB260" s="69" t="n"/>
      <c r="AC260" s="69" t="n"/>
      <c r="AD260" s="69" t="n"/>
      <c r="AE260" s="69" t="n"/>
    </row>
    <row r="261" ht="15.75" customHeight="1" s="673">
      <c r="A261" s="69" t="n"/>
      <c r="B261" s="131" t="n"/>
      <c r="C261" s="131" t="n"/>
      <c r="D261" s="131" t="n"/>
      <c r="E261" s="131" t="n"/>
      <c r="F261" s="131" t="n"/>
      <c r="G261" s="131" t="n"/>
      <c r="H261" s="131" t="n"/>
      <c r="I261" s="131" t="n"/>
      <c r="J261" s="131" t="n"/>
      <c r="K261" s="131" t="n"/>
      <c r="L261" s="131" t="n"/>
      <c r="M261" s="131" t="n"/>
      <c r="N261" s="131" t="n"/>
      <c r="O261" s="131" t="n"/>
      <c r="P261" s="131" t="n"/>
      <c r="Q261" s="131" t="n"/>
      <c r="R261" s="131" t="n"/>
      <c r="S261" s="131" t="n"/>
      <c r="T261" s="131" t="n"/>
      <c r="U261" s="69" t="n"/>
      <c r="V261" s="69" t="n"/>
      <c r="W261" s="69" t="n"/>
      <c r="X261" s="69" t="n"/>
      <c r="Y261" s="69" t="n"/>
      <c r="Z261" s="69" t="n"/>
      <c r="AA261" s="69" t="n"/>
      <c r="AB261" s="69" t="n"/>
      <c r="AC261" s="69" t="n"/>
      <c r="AD261" s="69" t="n"/>
      <c r="AE261" s="69" t="n"/>
    </row>
    <row r="262" ht="15.75" customHeight="1" s="673">
      <c r="A262" s="69" t="n"/>
      <c r="B262" s="131" t="n"/>
      <c r="C262" s="131" t="n"/>
      <c r="D262" s="131" t="n"/>
      <c r="E262" s="131" t="n"/>
      <c r="F262" s="131" t="n"/>
      <c r="G262" s="131" t="n"/>
      <c r="H262" s="131" t="n"/>
      <c r="I262" s="131" t="n"/>
      <c r="J262" s="131" t="n"/>
      <c r="K262" s="131" t="n"/>
      <c r="L262" s="131" t="n"/>
      <c r="M262" s="131" t="n"/>
      <c r="N262" s="131" t="n"/>
      <c r="O262" s="131" t="n"/>
      <c r="P262" s="131" t="n"/>
      <c r="Q262" s="131" t="n"/>
      <c r="R262" s="131" t="n"/>
      <c r="S262" s="131" t="n"/>
      <c r="T262" s="131" t="n"/>
      <c r="U262" s="69" t="n"/>
      <c r="V262" s="69" t="n"/>
      <c r="W262" s="69" t="n"/>
      <c r="X262" s="69" t="n"/>
      <c r="Y262" s="69" t="n"/>
      <c r="Z262" s="69" t="n"/>
      <c r="AA262" s="69" t="n"/>
      <c r="AB262" s="69" t="n"/>
      <c r="AC262" s="69" t="n"/>
      <c r="AD262" s="69" t="n"/>
      <c r="AE262" s="69" t="n"/>
    </row>
    <row r="263" ht="15.75" customHeight="1" s="673">
      <c r="A263" s="69" t="n"/>
      <c r="B263" s="131" t="n"/>
      <c r="C263" s="131" t="n"/>
      <c r="D263" s="131" t="n"/>
      <c r="E263" s="131" t="n"/>
      <c r="F263" s="131" t="n"/>
      <c r="G263" s="131" t="n"/>
      <c r="H263" s="131" t="n"/>
      <c r="I263" s="131" t="n"/>
      <c r="J263" s="131" t="n"/>
      <c r="K263" s="131" t="n"/>
      <c r="L263" s="131" t="n"/>
      <c r="M263" s="131" t="n"/>
      <c r="N263" s="131" t="n"/>
      <c r="O263" s="131" t="n"/>
      <c r="P263" s="131" t="n"/>
      <c r="Q263" s="131" t="n"/>
      <c r="R263" s="131" t="n"/>
      <c r="S263" s="131" t="n"/>
      <c r="T263" s="131" t="n"/>
      <c r="U263" s="69" t="n"/>
      <c r="V263" s="69" t="n"/>
      <c r="W263" s="69" t="n"/>
      <c r="X263" s="69" t="n"/>
      <c r="Y263" s="69" t="n"/>
      <c r="Z263" s="69" t="n"/>
      <c r="AA263" s="69" t="n"/>
      <c r="AB263" s="69" t="n"/>
      <c r="AC263" s="69" t="n"/>
      <c r="AD263" s="69" t="n"/>
      <c r="AE263" s="69" t="n"/>
    </row>
    <row r="264" ht="15.75" customHeight="1" s="673">
      <c r="A264" s="69" t="n"/>
      <c r="B264" s="131" t="n"/>
      <c r="C264" s="131" t="n"/>
      <c r="D264" s="131" t="n"/>
      <c r="E264" s="131" t="n"/>
      <c r="F264" s="131" t="n"/>
      <c r="G264" s="131" t="n"/>
      <c r="H264" s="131" t="n"/>
      <c r="I264" s="131" t="n"/>
      <c r="J264" s="131" t="n"/>
      <c r="K264" s="131" t="n"/>
      <c r="L264" s="131" t="n"/>
      <c r="M264" s="131" t="n"/>
      <c r="N264" s="131" t="n"/>
      <c r="O264" s="131" t="n"/>
      <c r="P264" s="131" t="n"/>
      <c r="Q264" s="131" t="n"/>
      <c r="R264" s="131" t="n"/>
      <c r="S264" s="131" t="n"/>
      <c r="T264" s="131" t="n"/>
      <c r="U264" s="69" t="n"/>
      <c r="V264" s="69" t="n"/>
      <c r="W264" s="69" t="n"/>
      <c r="X264" s="69" t="n"/>
      <c r="Y264" s="69" t="n"/>
      <c r="Z264" s="69" t="n"/>
      <c r="AA264" s="69" t="n"/>
      <c r="AB264" s="69" t="n"/>
      <c r="AC264" s="69" t="n"/>
      <c r="AD264" s="69" t="n"/>
      <c r="AE264" s="69" t="n"/>
    </row>
    <row r="265" ht="15.75" customHeight="1" s="673">
      <c r="A265" s="69" t="n"/>
      <c r="B265" s="131" t="n"/>
      <c r="C265" s="131" t="n"/>
      <c r="D265" s="131" t="n"/>
      <c r="E265" s="131" t="n"/>
      <c r="F265" s="131" t="n"/>
      <c r="G265" s="131" t="n"/>
      <c r="H265" s="131" t="n"/>
      <c r="I265" s="131" t="n"/>
      <c r="J265" s="131" t="n"/>
      <c r="K265" s="131" t="n"/>
      <c r="L265" s="131" t="n"/>
      <c r="M265" s="131" t="n"/>
      <c r="N265" s="131" t="n"/>
      <c r="O265" s="131" t="n"/>
      <c r="P265" s="131" t="n"/>
      <c r="Q265" s="131" t="n"/>
      <c r="R265" s="131" t="n"/>
      <c r="S265" s="131" t="n"/>
      <c r="T265" s="131" t="n"/>
      <c r="U265" s="69" t="n"/>
      <c r="V265" s="69" t="n"/>
      <c r="W265" s="69" t="n"/>
      <c r="X265" s="69" t="n"/>
      <c r="Y265" s="69" t="n"/>
      <c r="Z265" s="69" t="n"/>
      <c r="AA265" s="69" t="n"/>
      <c r="AB265" s="69" t="n"/>
      <c r="AC265" s="69" t="n"/>
      <c r="AD265" s="69" t="n"/>
      <c r="AE265" s="69" t="n"/>
    </row>
    <row r="266" ht="15.75" customHeight="1" s="673">
      <c r="A266" s="69" t="n"/>
      <c r="B266" s="131" t="n"/>
      <c r="C266" s="131" t="n"/>
      <c r="D266" s="131" t="n"/>
      <c r="E266" s="131" t="n"/>
      <c r="F266" s="131" t="n"/>
      <c r="G266" s="131" t="n"/>
      <c r="H266" s="131" t="n"/>
      <c r="I266" s="131" t="n"/>
      <c r="J266" s="131" t="n"/>
      <c r="K266" s="131" t="n"/>
      <c r="L266" s="131" t="n"/>
      <c r="M266" s="131" t="n"/>
      <c r="N266" s="131" t="n"/>
      <c r="O266" s="131" t="n"/>
      <c r="P266" s="131" t="n"/>
      <c r="Q266" s="131" t="n"/>
      <c r="R266" s="131" t="n"/>
      <c r="S266" s="131" t="n"/>
      <c r="T266" s="131" t="n"/>
      <c r="U266" s="69" t="n"/>
      <c r="V266" s="69" t="n"/>
      <c r="W266" s="69" t="n"/>
      <c r="X266" s="69" t="n"/>
      <c r="Y266" s="69" t="n"/>
      <c r="Z266" s="69" t="n"/>
      <c r="AA266" s="69" t="n"/>
      <c r="AB266" s="69" t="n"/>
      <c r="AC266" s="69" t="n"/>
      <c r="AD266" s="69" t="n"/>
      <c r="AE266" s="69" t="n"/>
    </row>
    <row r="267" ht="15.75" customHeight="1" s="673">
      <c r="A267" s="69" t="n"/>
      <c r="B267" s="131" t="n"/>
      <c r="C267" s="131" t="n"/>
      <c r="D267" s="131" t="n"/>
      <c r="E267" s="131" t="n"/>
      <c r="F267" s="131" t="n"/>
      <c r="G267" s="131" t="n"/>
      <c r="H267" s="131" t="n"/>
      <c r="I267" s="131" t="n"/>
      <c r="J267" s="131" t="n"/>
      <c r="K267" s="131" t="n"/>
      <c r="L267" s="131" t="n"/>
      <c r="M267" s="131" t="n"/>
      <c r="N267" s="131" t="n"/>
      <c r="O267" s="131" t="n"/>
      <c r="P267" s="131" t="n"/>
      <c r="Q267" s="131" t="n"/>
      <c r="R267" s="131" t="n"/>
      <c r="S267" s="131" t="n"/>
      <c r="T267" s="131" t="n"/>
      <c r="U267" s="69" t="n"/>
      <c r="V267" s="69" t="n"/>
      <c r="W267" s="69" t="n"/>
      <c r="X267" s="69" t="n"/>
      <c r="Y267" s="69" t="n"/>
      <c r="Z267" s="69" t="n"/>
      <c r="AA267" s="69" t="n"/>
      <c r="AB267" s="69" t="n"/>
      <c r="AC267" s="69" t="n"/>
      <c r="AD267" s="69" t="n"/>
      <c r="AE267" s="69" t="n"/>
    </row>
    <row r="268" ht="15.75" customHeight="1" s="673">
      <c r="A268" s="69" t="n"/>
      <c r="B268" s="131" t="n"/>
      <c r="C268" s="131" t="n"/>
      <c r="D268" s="131" t="n"/>
      <c r="E268" s="131" t="n"/>
      <c r="F268" s="131" t="n"/>
      <c r="G268" s="131" t="n"/>
      <c r="H268" s="131" t="n"/>
      <c r="I268" s="131" t="n"/>
      <c r="J268" s="131" t="n"/>
      <c r="K268" s="131" t="n"/>
      <c r="L268" s="131" t="n"/>
      <c r="M268" s="131" t="n"/>
      <c r="N268" s="131" t="n"/>
      <c r="O268" s="131" t="n"/>
      <c r="P268" s="131" t="n"/>
      <c r="Q268" s="131" t="n"/>
      <c r="R268" s="131" t="n"/>
      <c r="S268" s="131" t="n"/>
      <c r="T268" s="131" t="n"/>
      <c r="U268" s="69" t="n"/>
      <c r="V268" s="69" t="n"/>
      <c r="W268" s="69" t="n"/>
      <c r="X268" s="69" t="n"/>
      <c r="Y268" s="69" t="n"/>
      <c r="Z268" s="69" t="n"/>
      <c r="AA268" s="69" t="n"/>
      <c r="AB268" s="69" t="n"/>
      <c r="AC268" s="69" t="n"/>
      <c r="AD268" s="69" t="n"/>
      <c r="AE268" s="69" t="n"/>
    </row>
    <row r="269" ht="15.75" customHeight="1" s="673">
      <c r="A269" s="69" t="n"/>
      <c r="B269" s="131" t="n"/>
      <c r="C269" s="131" t="n"/>
      <c r="D269" s="131" t="n"/>
      <c r="E269" s="131" t="n"/>
      <c r="F269" s="131" t="n"/>
      <c r="G269" s="131" t="n"/>
      <c r="H269" s="131" t="n"/>
      <c r="I269" s="131" t="n"/>
      <c r="J269" s="131" t="n"/>
      <c r="K269" s="131" t="n"/>
      <c r="L269" s="131" t="n"/>
      <c r="M269" s="131" t="n"/>
      <c r="N269" s="131" t="n"/>
      <c r="O269" s="131" t="n"/>
      <c r="P269" s="131" t="n"/>
      <c r="Q269" s="131" t="n"/>
      <c r="R269" s="131" t="n"/>
      <c r="S269" s="131" t="n"/>
      <c r="T269" s="131" t="n"/>
      <c r="U269" s="69" t="n"/>
      <c r="V269" s="69" t="n"/>
      <c r="W269" s="69" t="n"/>
      <c r="X269" s="69" t="n"/>
      <c r="Y269" s="69" t="n"/>
      <c r="Z269" s="69" t="n"/>
      <c r="AA269" s="69" t="n"/>
      <c r="AB269" s="69" t="n"/>
      <c r="AC269" s="69" t="n"/>
      <c r="AD269" s="69" t="n"/>
      <c r="AE269" s="69" t="n"/>
    </row>
    <row r="270" ht="15.75" customHeight="1" s="673">
      <c r="A270" s="69" t="n"/>
      <c r="B270" s="131" t="n"/>
      <c r="C270" s="131" t="n"/>
      <c r="D270" s="131" t="n"/>
      <c r="E270" s="131" t="n"/>
      <c r="F270" s="131" t="n"/>
      <c r="G270" s="131" t="n"/>
      <c r="H270" s="131" t="n"/>
      <c r="I270" s="131" t="n"/>
      <c r="J270" s="131" t="n"/>
      <c r="K270" s="131" t="n"/>
      <c r="L270" s="131" t="n"/>
      <c r="M270" s="131" t="n"/>
      <c r="N270" s="131" t="n"/>
      <c r="O270" s="131" t="n"/>
      <c r="P270" s="131" t="n"/>
      <c r="Q270" s="131" t="n"/>
      <c r="R270" s="131" t="n"/>
      <c r="S270" s="131" t="n"/>
      <c r="T270" s="131" t="n"/>
      <c r="U270" s="69" t="n"/>
      <c r="V270" s="69" t="n"/>
      <c r="W270" s="69" t="n"/>
      <c r="X270" s="69" t="n"/>
      <c r="Y270" s="69" t="n"/>
      <c r="Z270" s="69" t="n"/>
      <c r="AA270" s="69" t="n"/>
      <c r="AB270" s="69" t="n"/>
      <c r="AC270" s="69" t="n"/>
      <c r="AD270" s="69" t="n"/>
      <c r="AE270" s="69" t="n"/>
    </row>
    <row r="271" ht="15.75" customHeight="1" s="673">
      <c r="A271" s="69" t="n"/>
      <c r="B271" s="131" t="n"/>
      <c r="C271" s="131" t="n"/>
      <c r="D271" s="131" t="n"/>
      <c r="E271" s="131" t="n"/>
      <c r="F271" s="131" t="n"/>
      <c r="G271" s="131" t="n"/>
      <c r="H271" s="131" t="n"/>
      <c r="I271" s="131" t="n"/>
      <c r="J271" s="131" t="n"/>
      <c r="K271" s="131" t="n"/>
      <c r="L271" s="131" t="n"/>
      <c r="M271" s="131" t="n"/>
      <c r="N271" s="131" t="n"/>
      <c r="O271" s="131" t="n"/>
      <c r="P271" s="131" t="n"/>
      <c r="Q271" s="131" t="n"/>
      <c r="R271" s="131" t="n"/>
      <c r="S271" s="131" t="n"/>
      <c r="T271" s="131" t="n"/>
      <c r="U271" s="69" t="n"/>
      <c r="V271" s="69" t="n"/>
      <c r="W271" s="69" t="n"/>
      <c r="X271" s="69" t="n"/>
      <c r="Y271" s="69" t="n"/>
      <c r="Z271" s="69" t="n"/>
      <c r="AA271" s="69" t="n"/>
      <c r="AB271" s="69" t="n"/>
      <c r="AC271" s="69" t="n"/>
      <c r="AD271" s="69" t="n"/>
      <c r="AE271" s="69" t="n"/>
    </row>
    <row r="272" ht="15.75" customHeight="1" s="673">
      <c r="A272" s="69" t="n"/>
      <c r="B272" s="131" t="n"/>
      <c r="C272" s="131" t="n"/>
      <c r="D272" s="131" t="n"/>
      <c r="E272" s="131" t="n"/>
      <c r="F272" s="131" t="n"/>
      <c r="G272" s="131" t="n"/>
      <c r="H272" s="131" t="n"/>
      <c r="I272" s="131" t="n"/>
      <c r="J272" s="131" t="n"/>
      <c r="K272" s="131" t="n"/>
      <c r="L272" s="131" t="n"/>
      <c r="M272" s="131" t="n"/>
      <c r="N272" s="131" t="n"/>
      <c r="O272" s="131" t="n"/>
      <c r="P272" s="131" t="n"/>
      <c r="Q272" s="131" t="n"/>
      <c r="R272" s="131" t="n"/>
      <c r="S272" s="131" t="n"/>
      <c r="T272" s="131" t="n"/>
      <c r="U272" s="69" t="n"/>
      <c r="V272" s="69" t="n"/>
      <c r="W272" s="69" t="n"/>
      <c r="X272" s="69" t="n"/>
      <c r="Y272" s="69" t="n"/>
      <c r="Z272" s="69" t="n"/>
      <c r="AA272" s="69" t="n"/>
      <c r="AB272" s="69" t="n"/>
      <c r="AC272" s="69" t="n"/>
      <c r="AD272" s="69" t="n"/>
      <c r="AE272" s="69" t="n"/>
    </row>
    <row r="273" ht="15.75" customHeight="1" s="673">
      <c r="A273" s="69" t="n"/>
      <c r="B273" s="131" t="n"/>
      <c r="C273" s="131" t="n"/>
      <c r="D273" s="131" t="n"/>
      <c r="E273" s="131" t="n"/>
      <c r="F273" s="131" t="n"/>
      <c r="G273" s="131" t="n"/>
      <c r="H273" s="131" t="n"/>
      <c r="I273" s="131" t="n"/>
      <c r="J273" s="131" t="n"/>
      <c r="K273" s="131" t="n"/>
      <c r="L273" s="131" t="n"/>
      <c r="M273" s="131" t="n"/>
      <c r="N273" s="131" t="n"/>
      <c r="O273" s="131" t="n"/>
      <c r="P273" s="131" t="n"/>
      <c r="Q273" s="131" t="n"/>
      <c r="R273" s="131" t="n"/>
      <c r="S273" s="131" t="n"/>
      <c r="T273" s="131" t="n"/>
      <c r="U273" s="69" t="n"/>
      <c r="V273" s="69" t="n"/>
      <c r="W273" s="69" t="n"/>
      <c r="X273" s="69" t="n"/>
      <c r="Y273" s="69" t="n"/>
      <c r="Z273" s="69" t="n"/>
      <c r="AA273" s="69" t="n"/>
      <c r="AB273" s="69" t="n"/>
      <c r="AC273" s="69" t="n"/>
      <c r="AD273" s="69" t="n"/>
      <c r="AE273" s="69" t="n"/>
    </row>
    <row r="274" ht="15.75" customHeight="1" s="673">
      <c r="A274" s="69" t="n"/>
      <c r="B274" s="131" t="n"/>
      <c r="C274" s="131" t="n"/>
      <c r="D274" s="131" t="n"/>
      <c r="E274" s="131" t="n"/>
      <c r="F274" s="131" t="n"/>
      <c r="G274" s="131" t="n"/>
      <c r="H274" s="131" t="n"/>
      <c r="I274" s="131" t="n"/>
      <c r="J274" s="131" t="n"/>
      <c r="K274" s="131" t="n"/>
      <c r="L274" s="131" t="n"/>
      <c r="M274" s="131" t="n"/>
      <c r="N274" s="131" t="n"/>
      <c r="O274" s="131" t="n"/>
      <c r="P274" s="131" t="n"/>
      <c r="Q274" s="131" t="n"/>
      <c r="R274" s="131" t="n"/>
      <c r="S274" s="131" t="n"/>
      <c r="T274" s="131" t="n"/>
      <c r="U274" s="69" t="n"/>
      <c r="V274" s="69" t="n"/>
      <c r="W274" s="69" t="n"/>
      <c r="X274" s="69" t="n"/>
      <c r="Y274" s="69" t="n"/>
      <c r="Z274" s="69" t="n"/>
      <c r="AA274" s="69" t="n"/>
      <c r="AB274" s="69" t="n"/>
      <c r="AC274" s="69" t="n"/>
      <c r="AD274" s="69" t="n"/>
      <c r="AE274" s="69" t="n"/>
    </row>
    <row r="275" ht="15.75" customHeight="1" s="673">
      <c r="A275" s="69" t="n"/>
      <c r="B275" s="131" t="n"/>
      <c r="C275" s="131" t="n"/>
      <c r="D275" s="131" t="n"/>
      <c r="E275" s="131" t="n"/>
      <c r="F275" s="131" t="n"/>
      <c r="G275" s="131" t="n"/>
      <c r="H275" s="131" t="n"/>
      <c r="I275" s="131" t="n"/>
      <c r="J275" s="131" t="n"/>
      <c r="K275" s="131" t="n"/>
      <c r="L275" s="131" t="n"/>
      <c r="M275" s="131" t="n"/>
      <c r="N275" s="131" t="n"/>
      <c r="O275" s="131" t="n"/>
      <c r="P275" s="131" t="n"/>
      <c r="Q275" s="131" t="n"/>
      <c r="R275" s="131" t="n"/>
      <c r="S275" s="131" t="n"/>
      <c r="T275" s="131" t="n"/>
      <c r="U275" s="69" t="n"/>
      <c r="V275" s="69" t="n"/>
      <c r="W275" s="69" t="n"/>
      <c r="X275" s="69" t="n"/>
      <c r="Y275" s="69" t="n"/>
      <c r="Z275" s="69" t="n"/>
      <c r="AA275" s="69" t="n"/>
      <c r="AB275" s="69" t="n"/>
      <c r="AC275" s="69" t="n"/>
      <c r="AD275" s="69" t="n"/>
      <c r="AE275" s="69" t="n"/>
    </row>
    <row r="276" ht="15.75" customHeight="1" s="673">
      <c r="A276" s="69" t="n"/>
      <c r="B276" s="131" t="n"/>
      <c r="C276" s="131" t="n"/>
      <c r="D276" s="131" t="n"/>
      <c r="E276" s="131" t="n"/>
      <c r="F276" s="131" t="n"/>
      <c r="G276" s="131" t="n"/>
      <c r="H276" s="131" t="n"/>
      <c r="I276" s="131" t="n"/>
      <c r="J276" s="131" t="n"/>
      <c r="K276" s="131" t="n"/>
      <c r="L276" s="131" t="n"/>
      <c r="M276" s="131" t="n"/>
      <c r="N276" s="131" t="n"/>
      <c r="O276" s="131" t="n"/>
      <c r="P276" s="131" t="n"/>
      <c r="Q276" s="131" t="n"/>
      <c r="R276" s="131" t="n"/>
      <c r="S276" s="131" t="n"/>
      <c r="T276" s="131" t="n"/>
      <c r="U276" s="69" t="n"/>
      <c r="V276" s="69" t="n"/>
      <c r="W276" s="69" t="n"/>
      <c r="X276" s="69" t="n"/>
      <c r="Y276" s="69" t="n"/>
      <c r="Z276" s="69" t="n"/>
      <c r="AA276" s="69" t="n"/>
      <c r="AB276" s="69" t="n"/>
      <c r="AC276" s="69" t="n"/>
      <c r="AD276" s="69" t="n"/>
      <c r="AE276" s="69" t="n"/>
    </row>
    <row r="277" ht="15.75" customHeight="1" s="673">
      <c r="A277" s="69" t="n"/>
      <c r="B277" s="131" t="n"/>
      <c r="C277" s="131" t="n"/>
      <c r="D277" s="131" t="n"/>
      <c r="E277" s="131" t="n"/>
      <c r="F277" s="131" t="n"/>
      <c r="G277" s="131" t="n"/>
      <c r="H277" s="131" t="n"/>
      <c r="I277" s="131" t="n"/>
      <c r="J277" s="131" t="n"/>
      <c r="K277" s="131" t="n"/>
      <c r="L277" s="131" t="n"/>
      <c r="M277" s="131" t="n"/>
      <c r="N277" s="131" t="n"/>
      <c r="O277" s="131" t="n"/>
      <c r="P277" s="131" t="n"/>
      <c r="Q277" s="131" t="n"/>
      <c r="R277" s="131" t="n"/>
      <c r="S277" s="131" t="n"/>
      <c r="T277" s="131" t="n"/>
      <c r="U277" s="69" t="n"/>
      <c r="V277" s="69" t="n"/>
      <c r="W277" s="69" t="n"/>
      <c r="X277" s="69" t="n"/>
      <c r="Y277" s="69" t="n"/>
      <c r="Z277" s="69" t="n"/>
      <c r="AA277" s="69" t="n"/>
      <c r="AB277" s="69" t="n"/>
      <c r="AC277" s="69" t="n"/>
      <c r="AD277" s="69" t="n"/>
      <c r="AE277" s="69" t="n"/>
    </row>
    <row r="278" ht="15.75" customHeight="1" s="673">
      <c r="A278" s="69" t="n"/>
      <c r="B278" s="131" t="n"/>
      <c r="C278" s="131" t="n"/>
      <c r="D278" s="131" t="n"/>
      <c r="E278" s="131" t="n"/>
      <c r="F278" s="131" t="n"/>
      <c r="G278" s="131" t="n"/>
      <c r="H278" s="131" t="n"/>
      <c r="I278" s="131" t="n"/>
      <c r="J278" s="131" t="n"/>
      <c r="K278" s="131" t="n"/>
      <c r="L278" s="131" t="n"/>
      <c r="M278" s="131" t="n"/>
      <c r="N278" s="131" t="n"/>
      <c r="O278" s="131" t="n"/>
      <c r="P278" s="131" t="n"/>
      <c r="Q278" s="131" t="n"/>
      <c r="R278" s="131" t="n"/>
      <c r="S278" s="131" t="n"/>
      <c r="T278" s="131" t="n"/>
      <c r="U278" s="69" t="n"/>
      <c r="V278" s="69" t="n"/>
      <c r="W278" s="69" t="n"/>
      <c r="X278" s="69" t="n"/>
      <c r="Y278" s="69" t="n"/>
      <c r="Z278" s="69" t="n"/>
      <c r="AA278" s="69" t="n"/>
      <c r="AB278" s="69" t="n"/>
      <c r="AC278" s="69" t="n"/>
      <c r="AD278" s="69" t="n"/>
      <c r="AE278" s="69" t="n"/>
    </row>
    <row r="279" ht="15.75" customHeight="1" s="673">
      <c r="A279" s="69" t="n"/>
      <c r="B279" s="131" t="n"/>
      <c r="C279" s="131" t="n"/>
      <c r="D279" s="131" t="n"/>
      <c r="E279" s="131" t="n"/>
      <c r="F279" s="131" t="n"/>
      <c r="G279" s="131" t="n"/>
      <c r="H279" s="131" t="n"/>
      <c r="I279" s="131" t="n"/>
      <c r="J279" s="131" t="n"/>
      <c r="K279" s="131" t="n"/>
      <c r="L279" s="131" t="n"/>
      <c r="M279" s="131" t="n"/>
      <c r="N279" s="131" t="n"/>
      <c r="O279" s="131" t="n"/>
      <c r="P279" s="131" t="n"/>
      <c r="Q279" s="131" t="n"/>
      <c r="R279" s="131" t="n"/>
      <c r="S279" s="131" t="n"/>
      <c r="T279" s="131" t="n"/>
      <c r="U279" s="69" t="n"/>
      <c r="V279" s="69" t="n"/>
      <c r="W279" s="69" t="n"/>
      <c r="X279" s="69" t="n"/>
      <c r="Y279" s="69" t="n"/>
      <c r="Z279" s="69" t="n"/>
      <c r="AA279" s="69" t="n"/>
      <c r="AB279" s="69" t="n"/>
      <c r="AC279" s="69" t="n"/>
      <c r="AD279" s="69" t="n"/>
      <c r="AE279" s="69" t="n"/>
    </row>
    <row r="280" ht="15.75" customHeight="1" s="673">
      <c r="A280" s="69" t="n"/>
      <c r="B280" s="131" t="n"/>
      <c r="C280" s="131" t="n"/>
      <c r="D280" s="131" t="n"/>
      <c r="E280" s="131" t="n"/>
      <c r="F280" s="131" t="n"/>
      <c r="G280" s="131" t="n"/>
      <c r="H280" s="131" t="n"/>
      <c r="I280" s="131" t="n"/>
      <c r="J280" s="131" t="n"/>
      <c r="K280" s="131" t="n"/>
      <c r="L280" s="131" t="n"/>
      <c r="M280" s="131" t="n"/>
      <c r="N280" s="131" t="n"/>
      <c r="O280" s="131" t="n"/>
      <c r="P280" s="131" t="n"/>
      <c r="Q280" s="131" t="n"/>
      <c r="R280" s="131" t="n"/>
      <c r="S280" s="131" t="n"/>
      <c r="T280" s="131" t="n"/>
      <c r="U280" s="69" t="n"/>
      <c r="V280" s="69" t="n"/>
      <c r="W280" s="69" t="n"/>
      <c r="X280" s="69" t="n"/>
      <c r="Y280" s="69" t="n"/>
      <c r="Z280" s="69" t="n"/>
      <c r="AA280" s="69" t="n"/>
      <c r="AB280" s="69" t="n"/>
      <c r="AC280" s="69" t="n"/>
      <c r="AD280" s="69" t="n"/>
      <c r="AE280" s="69" t="n"/>
    </row>
    <row r="281" ht="15.75" customHeight="1" s="673">
      <c r="A281" s="69" t="n"/>
      <c r="B281" s="131" t="n"/>
      <c r="C281" s="131" t="n"/>
      <c r="D281" s="131" t="n"/>
      <c r="E281" s="131" t="n"/>
      <c r="F281" s="131" t="n"/>
      <c r="G281" s="131" t="n"/>
      <c r="H281" s="131" t="n"/>
      <c r="I281" s="131" t="n"/>
      <c r="J281" s="131" t="n"/>
      <c r="K281" s="131" t="n"/>
      <c r="L281" s="131" t="n"/>
      <c r="M281" s="131" t="n"/>
      <c r="N281" s="131" t="n"/>
      <c r="O281" s="131" t="n"/>
      <c r="P281" s="131" t="n"/>
      <c r="Q281" s="131" t="n"/>
      <c r="R281" s="131" t="n"/>
      <c r="S281" s="131" t="n"/>
      <c r="T281" s="131" t="n"/>
      <c r="U281" s="69" t="n"/>
      <c r="V281" s="69" t="n"/>
      <c r="W281" s="69" t="n"/>
      <c r="X281" s="69" t="n"/>
      <c r="Y281" s="69" t="n"/>
      <c r="Z281" s="69" t="n"/>
      <c r="AA281" s="69" t="n"/>
      <c r="AB281" s="69" t="n"/>
      <c r="AC281" s="69" t="n"/>
      <c r="AD281" s="69" t="n"/>
      <c r="AE281" s="69" t="n"/>
    </row>
    <row r="282" ht="15.75" customHeight="1" s="673">
      <c r="A282" s="69" t="n"/>
      <c r="B282" s="131" t="n"/>
      <c r="C282" s="131" t="n"/>
      <c r="D282" s="131" t="n"/>
      <c r="E282" s="131" t="n"/>
      <c r="F282" s="131" t="n"/>
      <c r="G282" s="131" t="n"/>
      <c r="H282" s="131" t="n"/>
      <c r="I282" s="131" t="n"/>
      <c r="J282" s="131" t="n"/>
      <c r="K282" s="131" t="n"/>
      <c r="L282" s="131" t="n"/>
      <c r="M282" s="131" t="n"/>
      <c r="N282" s="131" t="n"/>
      <c r="O282" s="131" t="n"/>
      <c r="P282" s="131" t="n"/>
      <c r="Q282" s="131" t="n"/>
      <c r="R282" s="131" t="n"/>
      <c r="S282" s="131" t="n"/>
      <c r="T282" s="131" t="n"/>
      <c r="U282" s="69" t="n"/>
      <c r="V282" s="69" t="n"/>
      <c r="W282" s="69" t="n"/>
      <c r="X282" s="69" t="n"/>
      <c r="Y282" s="69" t="n"/>
      <c r="Z282" s="69" t="n"/>
      <c r="AA282" s="69" t="n"/>
      <c r="AB282" s="69" t="n"/>
      <c r="AC282" s="69" t="n"/>
      <c r="AD282" s="69" t="n"/>
      <c r="AE282" s="69" t="n"/>
    </row>
    <row r="283" ht="15.75" customHeight="1" s="673">
      <c r="A283" s="69" t="n"/>
      <c r="B283" s="131" t="n"/>
      <c r="C283" s="131" t="n"/>
      <c r="D283" s="131" t="n"/>
      <c r="E283" s="131" t="n"/>
      <c r="F283" s="131" t="n"/>
      <c r="G283" s="131" t="n"/>
      <c r="H283" s="131" t="n"/>
      <c r="I283" s="131" t="n"/>
      <c r="J283" s="131" t="n"/>
      <c r="K283" s="131" t="n"/>
      <c r="L283" s="131" t="n"/>
      <c r="M283" s="131" t="n"/>
      <c r="N283" s="131" t="n"/>
      <c r="O283" s="131" t="n"/>
      <c r="P283" s="131" t="n"/>
      <c r="Q283" s="131" t="n"/>
      <c r="R283" s="131" t="n"/>
      <c r="S283" s="131" t="n"/>
      <c r="T283" s="131" t="n"/>
      <c r="U283" s="69" t="n"/>
      <c r="V283" s="69" t="n"/>
      <c r="W283" s="69" t="n"/>
      <c r="X283" s="69" t="n"/>
      <c r="Y283" s="69" t="n"/>
      <c r="Z283" s="69" t="n"/>
      <c r="AA283" s="69" t="n"/>
      <c r="AB283" s="69" t="n"/>
      <c r="AC283" s="69" t="n"/>
      <c r="AD283" s="69" t="n"/>
      <c r="AE283" s="69" t="n"/>
    </row>
    <row r="284" ht="15.75" customHeight="1" s="673">
      <c r="A284" s="69" t="n"/>
      <c r="B284" s="131" t="n"/>
      <c r="C284" s="131" t="n"/>
      <c r="D284" s="131" t="n"/>
      <c r="E284" s="131" t="n"/>
      <c r="F284" s="131" t="n"/>
      <c r="G284" s="131" t="n"/>
      <c r="H284" s="131" t="n"/>
      <c r="I284" s="131" t="n"/>
      <c r="J284" s="131" t="n"/>
      <c r="K284" s="131" t="n"/>
      <c r="L284" s="131" t="n"/>
      <c r="M284" s="131" t="n"/>
      <c r="N284" s="131" t="n"/>
      <c r="O284" s="131" t="n"/>
      <c r="P284" s="131" t="n"/>
      <c r="Q284" s="131" t="n"/>
      <c r="R284" s="131" t="n"/>
      <c r="S284" s="131" t="n"/>
      <c r="T284" s="131" t="n"/>
      <c r="U284" s="69" t="n"/>
      <c r="V284" s="69" t="n"/>
      <c r="W284" s="69" t="n"/>
      <c r="X284" s="69" t="n"/>
      <c r="Y284" s="69" t="n"/>
      <c r="Z284" s="69" t="n"/>
      <c r="AA284" s="69" t="n"/>
      <c r="AB284" s="69" t="n"/>
      <c r="AC284" s="69" t="n"/>
      <c r="AD284" s="69" t="n"/>
      <c r="AE284" s="69" t="n"/>
    </row>
    <row r="285" ht="15.75" customHeight="1" s="673">
      <c r="A285" s="69" t="n"/>
      <c r="B285" s="131" t="n"/>
      <c r="C285" s="131" t="n"/>
      <c r="D285" s="131" t="n"/>
      <c r="E285" s="131" t="n"/>
      <c r="F285" s="131" t="n"/>
      <c r="G285" s="131" t="n"/>
      <c r="H285" s="131" t="n"/>
      <c r="I285" s="131" t="n"/>
      <c r="J285" s="131" t="n"/>
      <c r="K285" s="131" t="n"/>
      <c r="L285" s="131" t="n"/>
      <c r="M285" s="131" t="n"/>
      <c r="N285" s="131" t="n"/>
      <c r="O285" s="131" t="n"/>
      <c r="P285" s="131" t="n"/>
      <c r="Q285" s="131" t="n"/>
      <c r="R285" s="131" t="n"/>
      <c r="S285" s="131" t="n"/>
      <c r="T285" s="131" t="n"/>
      <c r="U285" s="69" t="n"/>
      <c r="V285" s="69" t="n"/>
      <c r="W285" s="69" t="n"/>
      <c r="X285" s="69" t="n"/>
      <c r="Y285" s="69" t="n"/>
      <c r="Z285" s="69" t="n"/>
      <c r="AA285" s="69" t="n"/>
      <c r="AB285" s="69" t="n"/>
      <c r="AC285" s="69" t="n"/>
      <c r="AD285" s="69" t="n"/>
      <c r="AE285" s="69" t="n"/>
    </row>
    <row r="286" ht="15.75" customHeight="1" s="673">
      <c r="A286" s="69" t="n"/>
      <c r="B286" s="131" t="n"/>
      <c r="C286" s="131" t="n"/>
      <c r="D286" s="131" t="n"/>
      <c r="E286" s="131" t="n"/>
      <c r="F286" s="131" t="n"/>
      <c r="G286" s="131" t="n"/>
      <c r="H286" s="131" t="n"/>
      <c r="I286" s="131" t="n"/>
      <c r="J286" s="131" t="n"/>
      <c r="K286" s="131" t="n"/>
      <c r="L286" s="131" t="n"/>
      <c r="M286" s="131" t="n"/>
      <c r="N286" s="131" t="n"/>
      <c r="O286" s="131" t="n"/>
      <c r="P286" s="131" t="n"/>
      <c r="Q286" s="131" t="n"/>
      <c r="R286" s="131" t="n"/>
      <c r="S286" s="131" t="n"/>
      <c r="T286" s="131" t="n"/>
      <c r="U286" s="69" t="n"/>
      <c r="V286" s="69" t="n"/>
      <c r="W286" s="69" t="n"/>
      <c r="X286" s="69" t="n"/>
      <c r="Y286" s="69" t="n"/>
      <c r="Z286" s="69" t="n"/>
      <c r="AA286" s="69" t="n"/>
      <c r="AB286" s="69" t="n"/>
      <c r="AC286" s="69" t="n"/>
      <c r="AD286" s="69" t="n"/>
      <c r="AE286" s="69" t="n"/>
    </row>
    <row r="287" ht="15.75" customHeight="1" s="673">
      <c r="A287" s="69" t="n"/>
      <c r="B287" s="131" t="n"/>
      <c r="C287" s="131" t="n"/>
      <c r="D287" s="131" t="n"/>
      <c r="E287" s="131" t="n"/>
      <c r="F287" s="131" t="n"/>
      <c r="G287" s="131" t="n"/>
      <c r="H287" s="131" t="n"/>
      <c r="I287" s="131" t="n"/>
      <c r="J287" s="131" t="n"/>
      <c r="K287" s="131" t="n"/>
      <c r="L287" s="131" t="n"/>
      <c r="M287" s="131" t="n"/>
      <c r="N287" s="131" t="n"/>
      <c r="O287" s="131" t="n"/>
      <c r="P287" s="131" t="n"/>
      <c r="Q287" s="131" t="n"/>
      <c r="R287" s="131" t="n"/>
      <c r="S287" s="131" t="n"/>
      <c r="T287" s="131" t="n"/>
      <c r="U287" s="69" t="n"/>
      <c r="V287" s="69" t="n"/>
      <c r="W287" s="69" t="n"/>
      <c r="X287" s="69" t="n"/>
      <c r="Y287" s="69" t="n"/>
      <c r="Z287" s="69" t="n"/>
      <c r="AA287" s="69" t="n"/>
      <c r="AB287" s="69" t="n"/>
      <c r="AC287" s="69" t="n"/>
      <c r="AD287" s="69" t="n"/>
      <c r="AE287" s="69" t="n"/>
    </row>
    <row r="288" ht="15.75" customHeight="1" s="673">
      <c r="A288" s="69" t="n"/>
      <c r="B288" s="131" t="n"/>
      <c r="C288" s="131" t="n"/>
      <c r="D288" s="131" t="n"/>
      <c r="E288" s="131" t="n"/>
      <c r="F288" s="131" t="n"/>
      <c r="G288" s="131" t="n"/>
      <c r="H288" s="131" t="n"/>
      <c r="I288" s="131" t="n"/>
      <c r="J288" s="131" t="n"/>
      <c r="K288" s="131" t="n"/>
      <c r="L288" s="131" t="n"/>
      <c r="M288" s="131" t="n"/>
      <c r="N288" s="131" t="n"/>
      <c r="O288" s="131" t="n"/>
      <c r="P288" s="131" t="n"/>
      <c r="Q288" s="131" t="n"/>
      <c r="R288" s="131" t="n"/>
      <c r="S288" s="131" t="n"/>
      <c r="T288" s="131" t="n"/>
      <c r="U288" s="69" t="n"/>
      <c r="V288" s="69" t="n"/>
      <c r="W288" s="69" t="n"/>
      <c r="X288" s="69" t="n"/>
      <c r="Y288" s="69" t="n"/>
      <c r="Z288" s="69" t="n"/>
      <c r="AA288" s="69" t="n"/>
      <c r="AB288" s="69" t="n"/>
      <c r="AC288" s="69" t="n"/>
      <c r="AD288" s="69" t="n"/>
      <c r="AE288" s="69" t="n"/>
    </row>
    <row r="289" ht="15.75" customHeight="1" s="673">
      <c r="A289" s="69" t="n"/>
      <c r="B289" s="131" t="n"/>
      <c r="C289" s="131" t="n"/>
      <c r="D289" s="131" t="n"/>
      <c r="E289" s="131" t="n"/>
      <c r="F289" s="131" t="n"/>
      <c r="G289" s="131" t="n"/>
      <c r="H289" s="131" t="n"/>
      <c r="I289" s="131" t="n"/>
      <c r="J289" s="131" t="n"/>
      <c r="K289" s="131" t="n"/>
      <c r="L289" s="131" t="n"/>
      <c r="M289" s="131" t="n"/>
      <c r="N289" s="131" t="n"/>
      <c r="O289" s="131" t="n"/>
      <c r="P289" s="131" t="n"/>
      <c r="Q289" s="131" t="n"/>
      <c r="R289" s="131" t="n"/>
      <c r="S289" s="131" t="n"/>
      <c r="T289" s="131" t="n"/>
      <c r="U289" s="69" t="n"/>
      <c r="V289" s="69" t="n"/>
      <c r="W289" s="69" t="n"/>
      <c r="X289" s="69" t="n"/>
      <c r="Y289" s="69" t="n"/>
      <c r="Z289" s="69" t="n"/>
      <c r="AA289" s="69" t="n"/>
      <c r="AB289" s="69" t="n"/>
      <c r="AC289" s="69" t="n"/>
      <c r="AD289" s="69" t="n"/>
      <c r="AE289" s="69" t="n"/>
    </row>
    <row r="290" ht="15.75" customHeight="1" s="673">
      <c r="A290" s="69" t="n"/>
      <c r="B290" s="131" t="n"/>
      <c r="C290" s="131" t="n"/>
      <c r="D290" s="131" t="n"/>
      <c r="E290" s="131" t="n"/>
      <c r="F290" s="131" t="n"/>
      <c r="G290" s="131" t="n"/>
      <c r="H290" s="131" t="n"/>
      <c r="I290" s="131" t="n"/>
      <c r="J290" s="131" t="n"/>
      <c r="K290" s="131" t="n"/>
      <c r="L290" s="131" t="n"/>
      <c r="M290" s="131" t="n"/>
      <c r="N290" s="131" t="n"/>
      <c r="O290" s="131" t="n"/>
      <c r="P290" s="131" t="n"/>
      <c r="Q290" s="131" t="n"/>
      <c r="R290" s="131" t="n"/>
      <c r="S290" s="131" t="n"/>
      <c r="T290" s="131" t="n"/>
      <c r="U290" s="69" t="n"/>
      <c r="V290" s="69" t="n"/>
      <c r="W290" s="69" t="n"/>
      <c r="X290" s="69" t="n"/>
      <c r="Y290" s="69" t="n"/>
      <c r="Z290" s="69" t="n"/>
      <c r="AA290" s="69" t="n"/>
      <c r="AB290" s="69" t="n"/>
      <c r="AC290" s="69" t="n"/>
      <c r="AD290" s="69" t="n"/>
      <c r="AE290" s="69" t="n"/>
    </row>
    <row r="291" ht="15.75" customHeight="1" s="673">
      <c r="A291" s="69" t="n"/>
      <c r="B291" s="131" t="n"/>
      <c r="C291" s="131" t="n"/>
      <c r="D291" s="131" t="n"/>
      <c r="E291" s="131" t="n"/>
      <c r="F291" s="131" t="n"/>
      <c r="G291" s="131" t="n"/>
      <c r="H291" s="131" t="n"/>
      <c r="I291" s="131" t="n"/>
      <c r="J291" s="131" t="n"/>
      <c r="K291" s="131" t="n"/>
      <c r="L291" s="131" t="n"/>
      <c r="M291" s="131" t="n"/>
      <c r="N291" s="131" t="n"/>
      <c r="O291" s="131" t="n"/>
      <c r="P291" s="131" t="n"/>
      <c r="Q291" s="131" t="n"/>
      <c r="R291" s="131" t="n"/>
      <c r="S291" s="131" t="n"/>
      <c r="T291" s="131" t="n"/>
      <c r="U291" s="69" t="n"/>
      <c r="V291" s="69" t="n"/>
      <c r="W291" s="69" t="n"/>
      <c r="X291" s="69" t="n"/>
      <c r="Y291" s="69" t="n"/>
      <c r="Z291" s="69" t="n"/>
      <c r="AA291" s="69" t="n"/>
      <c r="AB291" s="69" t="n"/>
      <c r="AC291" s="69" t="n"/>
      <c r="AD291" s="69" t="n"/>
      <c r="AE291" s="69" t="n"/>
    </row>
    <row r="292" ht="15.75" customHeight="1" s="673">
      <c r="A292" s="69" t="n"/>
      <c r="B292" s="131" t="n"/>
      <c r="C292" s="131" t="n"/>
      <c r="D292" s="131" t="n"/>
      <c r="E292" s="131" t="n"/>
      <c r="F292" s="131" t="n"/>
      <c r="G292" s="131" t="n"/>
      <c r="H292" s="131" t="n"/>
      <c r="I292" s="131" t="n"/>
      <c r="J292" s="131" t="n"/>
      <c r="K292" s="131" t="n"/>
      <c r="L292" s="131" t="n"/>
      <c r="M292" s="131" t="n"/>
      <c r="N292" s="131" t="n"/>
      <c r="O292" s="131" t="n"/>
      <c r="P292" s="131" t="n"/>
      <c r="Q292" s="131" t="n"/>
      <c r="R292" s="131" t="n"/>
      <c r="S292" s="131" t="n"/>
      <c r="T292" s="131" t="n"/>
      <c r="U292" s="69" t="n"/>
      <c r="V292" s="69" t="n"/>
      <c r="W292" s="69" t="n"/>
      <c r="X292" s="69" t="n"/>
      <c r="Y292" s="69" t="n"/>
      <c r="Z292" s="69" t="n"/>
      <c r="AA292" s="69" t="n"/>
      <c r="AB292" s="69" t="n"/>
      <c r="AC292" s="69" t="n"/>
      <c r="AD292" s="69" t="n"/>
      <c r="AE292" s="69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  <c r="AA293" s="52" t="n"/>
      <c r="AB293" s="52" t="n"/>
      <c r="AC293" s="52" t="n"/>
      <c r="AD293" s="52" t="n"/>
      <c r="AE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  <c r="AA294" s="52" t="n"/>
      <c r="AB294" s="52" t="n"/>
      <c r="AC294" s="52" t="n"/>
      <c r="AD294" s="52" t="n"/>
      <c r="AE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  <c r="AA295" s="52" t="n"/>
      <c r="AB295" s="52" t="n"/>
      <c r="AC295" s="52" t="n"/>
      <c r="AD295" s="52" t="n"/>
      <c r="AE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  <c r="AA296" s="52" t="n"/>
      <c r="AB296" s="52" t="n"/>
      <c r="AC296" s="52" t="n"/>
      <c r="AD296" s="52" t="n"/>
      <c r="AE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  <c r="AA297" s="52" t="n"/>
      <c r="AB297" s="52" t="n"/>
      <c r="AC297" s="52" t="n"/>
      <c r="AD297" s="52" t="n"/>
      <c r="AE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  <c r="AA298" s="52" t="n"/>
      <c r="AB298" s="52" t="n"/>
      <c r="AC298" s="52" t="n"/>
      <c r="AD298" s="52" t="n"/>
      <c r="AE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  <c r="AA299" s="52" t="n"/>
      <c r="AB299" s="52" t="n"/>
      <c r="AC299" s="52" t="n"/>
      <c r="AD299" s="52" t="n"/>
      <c r="AE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  <c r="AA300" s="52" t="n"/>
      <c r="AB300" s="52" t="n"/>
      <c r="AC300" s="52" t="n"/>
      <c r="AD300" s="52" t="n"/>
      <c r="AE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  <c r="AA301" s="52" t="n"/>
      <c r="AB301" s="52" t="n"/>
      <c r="AC301" s="52" t="n"/>
      <c r="AD301" s="52" t="n"/>
      <c r="AE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  <c r="AA302" s="52" t="n"/>
      <c r="AB302" s="52" t="n"/>
      <c r="AC302" s="52" t="n"/>
      <c r="AD302" s="52" t="n"/>
      <c r="AE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  <c r="AA303" s="52" t="n"/>
      <c r="AB303" s="52" t="n"/>
      <c r="AC303" s="52" t="n"/>
      <c r="AD303" s="52" t="n"/>
      <c r="AE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  <c r="AA304" s="52" t="n"/>
      <c r="AB304" s="52" t="n"/>
      <c r="AC304" s="52" t="n"/>
      <c r="AD304" s="52" t="n"/>
      <c r="AE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  <c r="AA305" s="52" t="n"/>
      <c r="AB305" s="52" t="n"/>
      <c r="AC305" s="52" t="n"/>
      <c r="AD305" s="52" t="n"/>
      <c r="AE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  <c r="AA306" s="52" t="n"/>
      <c r="AB306" s="52" t="n"/>
      <c r="AC306" s="52" t="n"/>
      <c r="AD306" s="52" t="n"/>
      <c r="AE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  <c r="AA307" s="52" t="n"/>
      <c r="AB307" s="52" t="n"/>
      <c r="AC307" s="52" t="n"/>
      <c r="AD307" s="52" t="n"/>
      <c r="AE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  <c r="AA308" s="52" t="n"/>
      <c r="AB308" s="52" t="n"/>
      <c r="AC308" s="52" t="n"/>
      <c r="AD308" s="52" t="n"/>
      <c r="AE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  <c r="AA309" s="52" t="n"/>
      <c r="AB309" s="52" t="n"/>
      <c r="AC309" s="52" t="n"/>
      <c r="AD309" s="52" t="n"/>
      <c r="AE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  <c r="AA310" s="52" t="n"/>
      <c r="AB310" s="52" t="n"/>
      <c r="AC310" s="52" t="n"/>
      <c r="AD310" s="52" t="n"/>
      <c r="AE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  <c r="AA311" s="52" t="n"/>
      <c r="AB311" s="52" t="n"/>
      <c r="AC311" s="52" t="n"/>
      <c r="AD311" s="52" t="n"/>
      <c r="AE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  <c r="AA312" s="52" t="n"/>
      <c r="AB312" s="52" t="n"/>
      <c r="AC312" s="52" t="n"/>
      <c r="AD312" s="52" t="n"/>
      <c r="AE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  <c r="AA313" s="52" t="n"/>
      <c r="AB313" s="52" t="n"/>
      <c r="AC313" s="52" t="n"/>
      <c r="AD313" s="52" t="n"/>
      <c r="AE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  <c r="AA314" s="52" t="n"/>
      <c r="AB314" s="52" t="n"/>
      <c r="AC314" s="52" t="n"/>
      <c r="AD314" s="52" t="n"/>
      <c r="AE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  <c r="AA315" s="52" t="n"/>
      <c r="AB315" s="52" t="n"/>
      <c r="AC315" s="52" t="n"/>
      <c r="AD315" s="52" t="n"/>
      <c r="AE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  <c r="AA316" s="52" t="n"/>
      <c r="AB316" s="52" t="n"/>
      <c r="AC316" s="52" t="n"/>
      <c r="AD316" s="52" t="n"/>
      <c r="AE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  <c r="AA317" s="52" t="n"/>
      <c r="AB317" s="52" t="n"/>
      <c r="AC317" s="52" t="n"/>
      <c r="AD317" s="52" t="n"/>
      <c r="AE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  <c r="AA318" s="52" t="n"/>
      <c r="AB318" s="52" t="n"/>
      <c r="AC318" s="52" t="n"/>
      <c r="AD318" s="52" t="n"/>
      <c r="AE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  <c r="AA319" s="52" t="n"/>
      <c r="AB319" s="52" t="n"/>
      <c r="AC319" s="52" t="n"/>
      <c r="AD319" s="52" t="n"/>
      <c r="AE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  <c r="AA320" s="52" t="n"/>
      <c r="AB320" s="52" t="n"/>
      <c r="AC320" s="52" t="n"/>
      <c r="AD320" s="52" t="n"/>
      <c r="AE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  <c r="AA321" s="52" t="n"/>
      <c r="AB321" s="52" t="n"/>
      <c r="AC321" s="52" t="n"/>
      <c r="AD321" s="52" t="n"/>
      <c r="AE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  <c r="AA322" s="52" t="n"/>
      <c r="AB322" s="52" t="n"/>
      <c r="AC322" s="52" t="n"/>
      <c r="AD322" s="52" t="n"/>
      <c r="AE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  <c r="AA323" s="52" t="n"/>
      <c r="AB323" s="52" t="n"/>
      <c r="AC323" s="52" t="n"/>
      <c r="AD323" s="52" t="n"/>
      <c r="AE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  <c r="AA324" s="52" t="n"/>
      <c r="AB324" s="52" t="n"/>
      <c r="AC324" s="52" t="n"/>
      <c r="AD324" s="52" t="n"/>
      <c r="AE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  <c r="AA325" s="52" t="n"/>
      <c r="AB325" s="52" t="n"/>
      <c r="AC325" s="52" t="n"/>
      <c r="AD325" s="52" t="n"/>
      <c r="AE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  <c r="AA326" s="52" t="n"/>
      <c r="AB326" s="52" t="n"/>
      <c r="AC326" s="52" t="n"/>
      <c r="AD326" s="52" t="n"/>
      <c r="AE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  <c r="AA327" s="52" t="n"/>
      <c r="AB327" s="52" t="n"/>
      <c r="AC327" s="52" t="n"/>
      <c r="AD327" s="52" t="n"/>
      <c r="AE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  <c r="AA328" s="52" t="n"/>
      <c r="AB328" s="52" t="n"/>
      <c r="AC328" s="52" t="n"/>
      <c r="AD328" s="52" t="n"/>
      <c r="AE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  <c r="AA329" s="52" t="n"/>
      <c r="AB329" s="52" t="n"/>
      <c r="AC329" s="52" t="n"/>
      <c r="AD329" s="52" t="n"/>
      <c r="AE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  <c r="AA330" s="52" t="n"/>
      <c r="AB330" s="52" t="n"/>
      <c r="AC330" s="52" t="n"/>
      <c r="AD330" s="52" t="n"/>
      <c r="AE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  <c r="AA331" s="52" t="n"/>
      <c r="AB331" s="52" t="n"/>
      <c r="AC331" s="52" t="n"/>
      <c r="AD331" s="52" t="n"/>
      <c r="AE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  <c r="AA332" s="52" t="n"/>
      <c r="AB332" s="52" t="n"/>
      <c r="AC332" s="52" t="n"/>
      <c r="AD332" s="52" t="n"/>
      <c r="AE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  <c r="AA333" s="52" t="n"/>
      <c r="AB333" s="52" t="n"/>
      <c r="AC333" s="52" t="n"/>
      <c r="AD333" s="52" t="n"/>
      <c r="AE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  <c r="AA334" s="52" t="n"/>
      <c r="AB334" s="52" t="n"/>
      <c r="AC334" s="52" t="n"/>
      <c r="AD334" s="52" t="n"/>
      <c r="AE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  <c r="AA335" s="52" t="n"/>
      <c r="AB335" s="52" t="n"/>
      <c r="AC335" s="52" t="n"/>
      <c r="AD335" s="52" t="n"/>
      <c r="AE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  <c r="AA336" s="52" t="n"/>
      <c r="AB336" s="52" t="n"/>
      <c r="AC336" s="52" t="n"/>
      <c r="AD336" s="52" t="n"/>
      <c r="AE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  <c r="AA337" s="52" t="n"/>
      <c r="AB337" s="52" t="n"/>
      <c r="AC337" s="52" t="n"/>
      <c r="AD337" s="52" t="n"/>
      <c r="AE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  <c r="AA338" s="52" t="n"/>
      <c r="AB338" s="52" t="n"/>
      <c r="AC338" s="52" t="n"/>
      <c r="AD338" s="52" t="n"/>
      <c r="AE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  <c r="AA339" s="52" t="n"/>
      <c r="AB339" s="52" t="n"/>
      <c r="AC339" s="52" t="n"/>
      <c r="AD339" s="52" t="n"/>
      <c r="AE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  <c r="AA340" s="52" t="n"/>
      <c r="AB340" s="52" t="n"/>
      <c r="AC340" s="52" t="n"/>
      <c r="AD340" s="52" t="n"/>
      <c r="AE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  <c r="AA341" s="52" t="n"/>
      <c r="AB341" s="52" t="n"/>
      <c r="AC341" s="52" t="n"/>
      <c r="AD341" s="52" t="n"/>
      <c r="AE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  <c r="AA342" s="52" t="n"/>
      <c r="AB342" s="52" t="n"/>
      <c r="AC342" s="52" t="n"/>
      <c r="AD342" s="52" t="n"/>
      <c r="AE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  <c r="AA343" s="52" t="n"/>
      <c r="AB343" s="52" t="n"/>
      <c r="AC343" s="52" t="n"/>
      <c r="AD343" s="52" t="n"/>
      <c r="AE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  <c r="AA344" s="52" t="n"/>
      <c r="AB344" s="52" t="n"/>
      <c r="AC344" s="52" t="n"/>
      <c r="AD344" s="52" t="n"/>
      <c r="AE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  <c r="AA345" s="52" t="n"/>
      <c r="AB345" s="52" t="n"/>
      <c r="AC345" s="52" t="n"/>
      <c r="AD345" s="52" t="n"/>
      <c r="AE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  <c r="AA346" s="52" t="n"/>
      <c r="AB346" s="52" t="n"/>
      <c r="AC346" s="52" t="n"/>
      <c r="AD346" s="52" t="n"/>
      <c r="AE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  <c r="AA347" s="52" t="n"/>
      <c r="AB347" s="52" t="n"/>
      <c r="AC347" s="52" t="n"/>
      <c r="AD347" s="52" t="n"/>
      <c r="AE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  <c r="AA348" s="52" t="n"/>
      <c r="AB348" s="52" t="n"/>
      <c r="AC348" s="52" t="n"/>
      <c r="AD348" s="52" t="n"/>
      <c r="AE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  <c r="AA349" s="52" t="n"/>
      <c r="AB349" s="52" t="n"/>
      <c r="AC349" s="52" t="n"/>
      <c r="AD349" s="52" t="n"/>
      <c r="AE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  <c r="AA350" s="52" t="n"/>
      <c r="AB350" s="52" t="n"/>
      <c r="AC350" s="52" t="n"/>
      <c r="AD350" s="52" t="n"/>
      <c r="AE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  <c r="AA351" s="52" t="n"/>
      <c r="AB351" s="52" t="n"/>
      <c r="AC351" s="52" t="n"/>
      <c r="AD351" s="52" t="n"/>
      <c r="AE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  <c r="AA352" s="52" t="n"/>
      <c r="AB352" s="52" t="n"/>
      <c r="AC352" s="52" t="n"/>
      <c r="AD352" s="52" t="n"/>
      <c r="AE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  <c r="AA353" s="52" t="n"/>
      <c r="AB353" s="52" t="n"/>
      <c r="AC353" s="52" t="n"/>
      <c r="AD353" s="52" t="n"/>
      <c r="AE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  <c r="AA354" s="52" t="n"/>
      <c r="AB354" s="52" t="n"/>
      <c r="AC354" s="52" t="n"/>
      <c r="AD354" s="52" t="n"/>
      <c r="AE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  <c r="AA355" s="52" t="n"/>
      <c r="AB355" s="52" t="n"/>
      <c r="AC355" s="52" t="n"/>
      <c r="AD355" s="52" t="n"/>
      <c r="AE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  <c r="AA356" s="52" t="n"/>
      <c r="AB356" s="52" t="n"/>
      <c r="AC356" s="52" t="n"/>
      <c r="AD356" s="52" t="n"/>
      <c r="AE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  <c r="AA357" s="52" t="n"/>
      <c r="AB357" s="52" t="n"/>
      <c r="AC357" s="52" t="n"/>
      <c r="AD357" s="52" t="n"/>
      <c r="AE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  <c r="AA358" s="52" t="n"/>
      <c r="AB358" s="52" t="n"/>
      <c r="AC358" s="52" t="n"/>
      <c r="AD358" s="52" t="n"/>
      <c r="AE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  <c r="AA359" s="52" t="n"/>
      <c r="AB359" s="52" t="n"/>
      <c r="AC359" s="52" t="n"/>
      <c r="AD359" s="52" t="n"/>
      <c r="AE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  <c r="AA360" s="52" t="n"/>
      <c r="AB360" s="52" t="n"/>
      <c r="AC360" s="52" t="n"/>
      <c r="AD360" s="52" t="n"/>
      <c r="AE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  <c r="AA361" s="52" t="n"/>
      <c r="AB361" s="52" t="n"/>
      <c r="AC361" s="52" t="n"/>
      <c r="AD361" s="52" t="n"/>
      <c r="AE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  <c r="AA362" s="52" t="n"/>
      <c r="AB362" s="52" t="n"/>
      <c r="AC362" s="52" t="n"/>
      <c r="AD362" s="52" t="n"/>
      <c r="AE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  <c r="AA363" s="52" t="n"/>
      <c r="AB363" s="52" t="n"/>
      <c r="AC363" s="52" t="n"/>
      <c r="AD363" s="52" t="n"/>
      <c r="AE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  <c r="AA364" s="52" t="n"/>
      <c r="AB364" s="52" t="n"/>
      <c r="AC364" s="52" t="n"/>
      <c r="AD364" s="52" t="n"/>
      <c r="AE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  <c r="AA365" s="52" t="n"/>
      <c r="AB365" s="52" t="n"/>
      <c r="AC365" s="52" t="n"/>
      <c r="AD365" s="52" t="n"/>
      <c r="AE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  <c r="AA366" s="52" t="n"/>
      <c r="AB366" s="52" t="n"/>
      <c r="AC366" s="52" t="n"/>
      <c r="AD366" s="52" t="n"/>
      <c r="AE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  <c r="AA367" s="52" t="n"/>
      <c r="AB367" s="52" t="n"/>
      <c r="AC367" s="52" t="n"/>
      <c r="AD367" s="52" t="n"/>
      <c r="AE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  <c r="AA368" s="52" t="n"/>
      <c r="AB368" s="52" t="n"/>
      <c r="AC368" s="52" t="n"/>
      <c r="AD368" s="52" t="n"/>
      <c r="AE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  <c r="AA369" s="52" t="n"/>
      <c r="AB369" s="52" t="n"/>
      <c r="AC369" s="52" t="n"/>
      <c r="AD369" s="52" t="n"/>
      <c r="AE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  <c r="AA370" s="52" t="n"/>
      <c r="AB370" s="52" t="n"/>
      <c r="AC370" s="52" t="n"/>
      <c r="AD370" s="52" t="n"/>
      <c r="AE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  <c r="AA371" s="52" t="n"/>
      <c r="AB371" s="52" t="n"/>
      <c r="AC371" s="52" t="n"/>
      <c r="AD371" s="52" t="n"/>
      <c r="AE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  <c r="AA372" s="52" t="n"/>
      <c r="AB372" s="52" t="n"/>
      <c r="AC372" s="52" t="n"/>
      <c r="AD372" s="52" t="n"/>
      <c r="AE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  <c r="AA373" s="52" t="n"/>
      <c r="AB373" s="52" t="n"/>
      <c r="AC373" s="52" t="n"/>
      <c r="AD373" s="52" t="n"/>
      <c r="AE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  <c r="AA374" s="52" t="n"/>
      <c r="AB374" s="52" t="n"/>
      <c r="AC374" s="52" t="n"/>
      <c r="AD374" s="52" t="n"/>
      <c r="AE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  <c r="AA375" s="52" t="n"/>
      <c r="AB375" s="52" t="n"/>
      <c r="AC375" s="52" t="n"/>
      <c r="AD375" s="52" t="n"/>
      <c r="AE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  <c r="AA376" s="52" t="n"/>
      <c r="AB376" s="52" t="n"/>
      <c r="AC376" s="52" t="n"/>
      <c r="AD376" s="52" t="n"/>
      <c r="AE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  <c r="AA377" s="52" t="n"/>
      <c r="AB377" s="52" t="n"/>
      <c r="AC377" s="52" t="n"/>
      <c r="AD377" s="52" t="n"/>
      <c r="AE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  <c r="AA378" s="52" t="n"/>
      <c r="AB378" s="52" t="n"/>
      <c r="AC378" s="52" t="n"/>
      <c r="AD378" s="52" t="n"/>
      <c r="AE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  <c r="AA379" s="52" t="n"/>
      <c r="AB379" s="52" t="n"/>
      <c r="AC379" s="52" t="n"/>
      <c r="AD379" s="52" t="n"/>
      <c r="AE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  <c r="AA380" s="52" t="n"/>
      <c r="AB380" s="52" t="n"/>
      <c r="AC380" s="52" t="n"/>
      <c r="AD380" s="52" t="n"/>
      <c r="AE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  <c r="AA381" s="52" t="n"/>
      <c r="AB381" s="52" t="n"/>
      <c r="AC381" s="52" t="n"/>
      <c r="AD381" s="52" t="n"/>
      <c r="AE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  <c r="AA382" s="52" t="n"/>
      <c r="AB382" s="52" t="n"/>
      <c r="AC382" s="52" t="n"/>
      <c r="AD382" s="52" t="n"/>
      <c r="AE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  <c r="AA383" s="52" t="n"/>
      <c r="AB383" s="52" t="n"/>
      <c r="AC383" s="52" t="n"/>
      <c r="AD383" s="52" t="n"/>
      <c r="AE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  <c r="AA384" s="52" t="n"/>
      <c r="AB384" s="52" t="n"/>
      <c r="AC384" s="52" t="n"/>
      <c r="AD384" s="52" t="n"/>
      <c r="AE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  <c r="AA385" s="52" t="n"/>
      <c r="AB385" s="52" t="n"/>
      <c r="AC385" s="52" t="n"/>
      <c r="AD385" s="52" t="n"/>
      <c r="AE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  <c r="AA386" s="52" t="n"/>
      <c r="AB386" s="52" t="n"/>
      <c r="AC386" s="52" t="n"/>
      <c r="AD386" s="52" t="n"/>
      <c r="AE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  <c r="AA387" s="52" t="n"/>
      <c r="AB387" s="52" t="n"/>
      <c r="AC387" s="52" t="n"/>
      <c r="AD387" s="52" t="n"/>
      <c r="AE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  <c r="AA388" s="52" t="n"/>
      <c r="AB388" s="52" t="n"/>
      <c r="AC388" s="52" t="n"/>
      <c r="AD388" s="52" t="n"/>
      <c r="AE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  <c r="AA389" s="52" t="n"/>
      <c r="AB389" s="52" t="n"/>
      <c r="AC389" s="52" t="n"/>
      <c r="AD389" s="52" t="n"/>
      <c r="AE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  <c r="AA390" s="52" t="n"/>
      <c r="AB390" s="52" t="n"/>
      <c r="AC390" s="52" t="n"/>
      <c r="AD390" s="52" t="n"/>
      <c r="AE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  <c r="AA391" s="52" t="n"/>
      <c r="AB391" s="52" t="n"/>
      <c r="AC391" s="52" t="n"/>
      <c r="AD391" s="52" t="n"/>
      <c r="AE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  <c r="AA392" s="52" t="n"/>
      <c r="AB392" s="52" t="n"/>
      <c r="AC392" s="52" t="n"/>
      <c r="AD392" s="52" t="n"/>
      <c r="AE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  <c r="AA393" s="52" t="n"/>
      <c r="AB393" s="52" t="n"/>
      <c r="AC393" s="52" t="n"/>
      <c r="AD393" s="52" t="n"/>
      <c r="AE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  <c r="AA394" s="52" t="n"/>
      <c r="AB394" s="52" t="n"/>
      <c r="AC394" s="52" t="n"/>
      <c r="AD394" s="52" t="n"/>
      <c r="AE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  <c r="AA395" s="52" t="n"/>
      <c r="AB395" s="52" t="n"/>
      <c r="AC395" s="52" t="n"/>
      <c r="AD395" s="52" t="n"/>
      <c r="AE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  <c r="AA396" s="52" t="n"/>
      <c r="AB396" s="52" t="n"/>
      <c r="AC396" s="52" t="n"/>
      <c r="AD396" s="52" t="n"/>
      <c r="AE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  <c r="AA397" s="52" t="n"/>
      <c r="AB397" s="52" t="n"/>
      <c r="AC397" s="52" t="n"/>
      <c r="AD397" s="52" t="n"/>
      <c r="AE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  <c r="AA398" s="52" t="n"/>
      <c r="AB398" s="52" t="n"/>
      <c r="AC398" s="52" t="n"/>
      <c r="AD398" s="52" t="n"/>
      <c r="AE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  <c r="AA399" s="52" t="n"/>
      <c r="AB399" s="52" t="n"/>
      <c r="AC399" s="52" t="n"/>
      <c r="AD399" s="52" t="n"/>
      <c r="AE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  <c r="AA400" s="52" t="n"/>
      <c r="AB400" s="52" t="n"/>
      <c r="AC400" s="52" t="n"/>
      <c r="AD400" s="52" t="n"/>
      <c r="AE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  <c r="AA401" s="52" t="n"/>
      <c r="AB401" s="52" t="n"/>
      <c r="AC401" s="52" t="n"/>
      <c r="AD401" s="52" t="n"/>
      <c r="AE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  <c r="AA402" s="52" t="n"/>
      <c r="AB402" s="52" t="n"/>
      <c r="AC402" s="52" t="n"/>
      <c r="AD402" s="52" t="n"/>
      <c r="AE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  <c r="AA403" s="52" t="n"/>
      <c r="AB403" s="52" t="n"/>
      <c r="AC403" s="52" t="n"/>
      <c r="AD403" s="52" t="n"/>
      <c r="AE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  <c r="AA404" s="52" t="n"/>
      <c r="AB404" s="52" t="n"/>
      <c r="AC404" s="52" t="n"/>
      <c r="AD404" s="52" t="n"/>
      <c r="AE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  <c r="AA405" s="52" t="n"/>
      <c r="AB405" s="52" t="n"/>
      <c r="AC405" s="52" t="n"/>
      <c r="AD405" s="52" t="n"/>
      <c r="AE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  <c r="AA406" s="52" t="n"/>
      <c r="AB406" s="52" t="n"/>
      <c r="AC406" s="52" t="n"/>
      <c r="AD406" s="52" t="n"/>
      <c r="AE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  <c r="AA407" s="52" t="n"/>
      <c r="AB407" s="52" t="n"/>
      <c r="AC407" s="52" t="n"/>
      <c r="AD407" s="52" t="n"/>
      <c r="AE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  <c r="AA408" s="52" t="n"/>
      <c r="AB408" s="52" t="n"/>
      <c r="AC408" s="52" t="n"/>
      <c r="AD408" s="52" t="n"/>
      <c r="AE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  <c r="AA409" s="52" t="n"/>
      <c r="AB409" s="52" t="n"/>
      <c r="AC409" s="52" t="n"/>
      <c r="AD409" s="52" t="n"/>
      <c r="AE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  <c r="AA410" s="52" t="n"/>
      <c r="AB410" s="52" t="n"/>
      <c r="AC410" s="52" t="n"/>
      <c r="AD410" s="52" t="n"/>
      <c r="AE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  <c r="AA411" s="52" t="n"/>
      <c r="AB411" s="52" t="n"/>
      <c r="AC411" s="52" t="n"/>
      <c r="AD411" s="52" t="n"/>
      <c r="AE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  <c r="AA412" s="52" t="n"/>
      <c r="AB412" s="52" t="n"/>
      <c r="AC412" s="52" t="n"/>
      <c r="AD412" s="52" t="n"/>
      <c r="AE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  <c r="AA413" s="52" t="n"/>
      <c r="AB413" s="52" t="n"/>
      <c r="AC413" s="52" t="n"/>
      <c r="AD413" s="52" t="n"/>
      <c r="AE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  <c r="AA414" s="52" t="n"/>
      <c r="AB414" s="52" t="n"/>
      <c r="AC414" s="52" t="n"/>
      <c r="AD414" s="52" t="n"/>
      <c r="AE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  <c r="AA415" s="52" t="n"/>
      <c r="AB415" s="52" t="n"/>
      <c r="AC415" s="52" t="n"/>
      <c r="AD415" s="52" t="n"/>
      <c r="AE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  <c r="AA416" s="52" t="n"/>
      <c r="AB416" s="52" t="n"/>
      <c r="AC416" s="52" t="n"/>
      <c r="AD416" s="52" t="n"/>
      <c r="AE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  <c r="AA417" s="52" t="n"/>
      <c r="AB417" s="52" t="n"/>
      <c r="AC417" s="52" t="n"/>
      <c r="AD417" s="52" t="n"/>
      <c r="AE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  <c r="AA418" s="52" t="n"/>
      <c r="AB418" s="52" t="n"/>
      <c r="AC418" s="52" t="n"/>
      <c r="AD418" s="52" t="n"/>
      <c r="AE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  <c r="AA419" s="52" t="n"/>
      <c r="AB419" s="52" t="n"/>
      <c r="AC419" s="52" t="n"/>
      <c r="AD419" s="52" t="n"/>
      <c r="AE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  <c r="AA420" s="52" t="n"/>
      <c r="AB420" s="52" t="n"/>
      <c r="AC420" s="52" t="n"/>
      <c r="AD420" s="52" t="n"/>
      <c r="AE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  <c r="AA421" s="52" t="n"/>
      <c r="AB421" s="52" t="n"/>
      <c r="AC421" s="52" t="n"/>
      <c r="AD421" s="52" t="n"/>
      <c r="AE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  <c r="AA422" s="52" t="n"/>
      <c r="AB422" s="52" t="n"/>
      <c r="AC422" s="52" t="n"/>
      <c r="AD422" s="52" t="n"/>
      <c r="AE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  <c r="AA423" s="52" t="n"/>
      <c r="AB423" s="52" t="n"/>
      <c r="AC423" s="52" t="n"/>
      <c r="AD423" s="52" t="n"/>
      <c r="AE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  <c r="AA424" s="52" t="n"/>
      <c r="AB424" s="52" t="n"/>
      <c r="AC424" s="52" t="n"/>
      <c r="AD424" s="52" t="n"/>
      <c r="AE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  <c r="AA425" s="52" t="n"/>
      <c r="AB425" s="52" t="n"/>
      <c r="AC425" s="52" t="n"/>
      <c r="AD425" s="52" t="n"/>
      <c r="AE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  <c r="AA426" s="52" t="n"/>
      <c r="AB426" s="52" t="n"/>
      <c r="AC426" s="52" t="n"/>
      <c r="AD426" s="52" t="n"/>
      <c r="AE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  <c r="AA427" s="52" t="n"/>
      <c r="AB427" s="52" t="n"/>
      <c r="AC427" s="52" t="n"/>
      <c r="AD427" s="52" t="n"/>
      <c r="AE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  <c r="AA428" s="52" t="n"/>
      <c r="AB428" s="52" t="n"/>
      <c r="AC428" s="52" t="n"/>
      <c r="AD428" s="52" t="n"/>
      <c r="AE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  <c r="AA429" s="52" t="n"/>
      <c r="AB429" s="52" t="n"/>
      <c r="AC429" s="52" t="n"/>
      <c r="AD429" s="52" t="n"/>
      <c r="AE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  <c r="AA430" s="52" t="n"/>
      <c r="AB430" s="52" t="n"/>
      <c r="AC430" s="52" t="n"/>
      <c r="AD430" s="52" t="n"/>
      <c r="AE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  <c r="AA431" s="52" t="n"/>
      <c r="AB431" s="52" t="n"/>
      <c r="AC431" s="52" t="n"/>
      <c r="AD431" s="52" t="n"/>
      <c r="AE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  <c r="AA432" s="52" t="n"/>
      <c r="AB432" s="52" t="n"/>
      <c r="AC432" s="52" t="n"/>
      <c r="AD432" s="52" t="n"/>
      <c r="AE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  <c r="AA433" s="52" t="n"/>
      <c r="AB433" s="52" t="n"/>
      <c r="AC433" s="52" t="n"/>
      <c r="AD433" s="52" t="n"/>
      <c r="AE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  <c r="AA434" s="52" t="n"/>
      <c r="AB434" s="52" t="n"/>
      <c r="AC434" s="52" t="n"/>
      <c r="AD434" s="52" t="n"/>
      <c r="AE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  <c r="AA435" s="52" t="n"/>
      <c r="AB435" s="52" t="n"/>
      <c r="AC435" s="52" t="n"/>
      <c r="AD435" s="52" t="n"/>
      <c r="AE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  <c r="AA436" s="52" t="n"/>
      <c r="AB436" s="52" t="n"/>
      <c r="AC436" s="52" t="n"/>
      <c r="AD436" s="52" t="n"/>
      <c r="AE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  <c r="AA437" s="52" t="n"/>
      <c r="AB437" s="52" t="n"/>
      <c r="AC437" s="52" t="n"/>
      <c r="AD437" s="52" t="n"/>
      <c r="AE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  <c r="AA438" s="52" t="n"/>
      <c r="AB438" s="52" t="n"/>
      <c r="AC438" s="52" t="n"/>
      <c r="AD438" s="52" t="n"/>
      <c r="AE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  <c r="AA439" s="52" t="n"/>
      <c r="AB439" s="52" t="n"/>
      <c r="AC439" s="52" t="n"/>
      <c r="AD439" s="52" t="n"/>
      <c r="AE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  <c r="AA440" s="52" t="n"/>
      <c r="AB440" s="52" t="n"/>
      <c r="AC440" s="52" t="n"/>
      <c r="AD440" s="52" t="n"/>
      <c r="AE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  <c r="AA441" s="52" t="n"/>
      <c r="AB441" s="52" t="n"/>
      <c r="AC441" s="52" t="n"/>
      <c r="AD441" s="52" t="n"/>
      <c r="AE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  <c r="AA442" s="52" t="n"/>
      <c r="AB442" s="52" t="n"/>
      <c r="AC442" s="52" t="n"/>
      <c r="AD442" s="52" t="n"/>
      <c r="AE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  <c r="AA443" s="52" t="n"/>
      <c r="AB443" s="52" t="n"/>
      <c r="AC443" s="52" t="n"/>
      <c r="AD443" s="52" t="n"/>
      <c r="AE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  <c r="AA444" s="52" t="n"/>
      <c r="AB444" s="52" t="n"/>
      <c r="AC444" s="52" t="n"/>
      <c r="AD444" s="52" t="n"/>
      <c r="AE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  <c r="AA445" s="52" t="n"/>
      <c r="AB445" s="52" t="n"/>
      <c r="AC445" s="52" t="n"/>
      <c r="AD445" s="52" t="n"/>
      <c r="AE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  <c r="AA446" s="52" t="n"/>
      <c r="AB446" s="52" t="n"/>
      <c r="AC446" s="52" t="n"/>
      <c r="AD446" s="52" t="n"/>
      <c r="AE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  <c r="AA447" s="52" t="n"/>
      <c r="AB447" s="52" t="n"/>
      <c r="AC447" s="52" t="n"/>
      <c r="AD447" s="52" t="n"/>
      <c r="AE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  <c r="AA448" s="52" t="n"/>
      <c r="AB448" s="52" t="n"/>
      <c r="AC448" s="52" t="n"/>
      <c r="AD448" s="52" t="n"/>
      <c r="AE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  <c r="AA449" s="52" t="n"/>
      <c r="AB449" s="52" t="n"/>
      <c r="AC449" s="52" t="n"/>
      <c r="AD449" s="52" t="n"/>
      <c r="AE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  <c r="AA450" s="52" t="n"/>
      <c r="AB450" s="52" t="n"/>
      <c r="AC450" s="52" t="n"/>
      <c r="AD450" s="52" t="n"/>
      <c r="AE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  <c r="AA451" s="52" t="n"/>
      <c r="AB451" s="52" t="n"/>
      <c r="AC451" s="52" t="n"/>
      <c r="AD451" s="52" t="n"/>
      <c r="AE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  <c r="AA452" s="52" t="n"/>
      <c r="AB452" s="52" t="n"/>
      <c r="AC452" s="52" t="n"/>
      <c r="AD452" s="52" t="n"/>
      <c r="AE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  <c r="AA453" s="52" t="n"/>
      <c r="AB453" s="52" t="n"/>
      <c r="AC453" s="52" t="n"/>
      <c r="AD453" s="52" t="n"/>
      <c r="AE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  <c r="AA454" s="52" t="n"/>
      <c r="AB454" s="52" t="n"/>
      <c r="AC454" s="52" t="n"/>
      <c r="AD454" s="52" t="n"/>
      <c r="AE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  <c r="AA455" s="52" t="n"/>
      <c r="AB455" s="52" t="n"/>
      <c r="AC455" s="52" t="n"/>
      <c r="AD455" s="52" t="n"/>
      <c r="AE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  <c r="AA456" s="52" t="n"/>
      <c r="AB456" s="52" t="n"/>
      <c r="AC456" s="52" t="n"/>
      <c r="AD456" s="52" t="n"/>
      <c r="AE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  <c r="AA457" s="52" t="n"/>
      <c r="AB457" s="52" t="n"/>
      <c r="AC457" s="52" t="n"/>
      <c r="AD457" s="52" t="n"/>
      <c r="AE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  <c r="AA458" s="52" t="n"/>
      <c r="AB458" s="52" t="n"/>
      <c r="AC458" s="52" t="n"/>
      <c r="AD458" s="52" t="n"/>
      <c r="AE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  <c r="AA459" s="52" t="n"/>
      <c r="AB459" s="52" t="n"/>
      <c r="AC459" s="52" t="n"/>
      <c r="AD459" s="52" t="n"/>
      <c r="AE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  <c r="AA460" s="52" t="n"/>
      <c r="AB460" s="52" t="n"/>
      <c r="AC460" s="52" t="n"/>
      <c r="AD460" s="52" t="n"/>
      <c r="AE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  <c r="AA461" s="52" t="n"/>
      <c r="AB461" s="52" t="n"/>
      <c r="AC461" s="52" t="n"/>
      <c r="AD461" s="52" t="n"/>
      <c r="AE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  <c r="AA462" s="52" t="n"/>
      <c r="AB462" s="52" t="n"/>
      <c r="AC462" s="52" t="n"/>
      <c r="AD462" s="52" t="n"/>
      <c r="AE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  <c r="AA463" s="52" t="n"/>
      <c r="AB463" s="52" t="n"/>
      <c r="AC463" s="52" t="n"/>
      <c r="AD463" s="52" t="n"/>
      <c r="AE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  <c r="AA464" s="52" t="n"/>
      <c r="AB464" s="52" t="n"/>
      <c r="AC464" s="52" t="n"/>
      <c r="AD464" s="52" t="n"/>
      <c r="AE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  <c r="AA465" s="52" t="n"/>
      <c r="AB465" s="52" t="n"/>
      <c r="AC465" s="52" t="n"/>
      <c r="AD465" s="52" t="n"/>
      <c r="AE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  <c r="AA466" s="52" t="n"/>
      <c r="AB466" s="52" t="n"/>
      <c r="AC466" s="52" t="n"/>
      <c r="AD466" s="52" t="n"/>
      <c r="AE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  <c r="AA467" s="52" t="n"/>
      <c r="AB467" s="52" t="n"/>
      <c r="AC467" s="52" t="n"/>
      <c r="AD467" s="52" t="n"/>
      <c r="AE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  <c r="AA468" s="52" t="n"/>
      <c r="AB468" s="52" t="n"/>
      <c r="AC468" s="52" t="n"/>
      <c r="AD468" s="52" t="n"/>
      <c r="AE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  <c r="AA469" s="52" t="n"/>
      <c r="AB469" s="52" t="n"/>
      <c r="AC469" s="52" t="n"/>
      <c r="AD469" s="52" t="n"/>
      <c r="AE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  <c r="AA470" s="52" t="n"/>
      <c r="AB470" s="52" t="n"/>
      <c r="AC470" s="52" t="n"/>
      <c r="AD470" s="52" t="n"/>
      <c r="AE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  <c r="AA471" s="52" t="n"/>
      <c r="AB471" s="52" t="n"/>
      <c r="AC471" s="52" t="n"/>
      <c r="AD471" s="52" t="n"/>
      <c r="AE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  <c r="AA472" s="52" t="n"/>
      <c r="AB472" s="52" t="n"/>
      <c r="AC472" s="52" t="n"/>
      <c r="AD472" s="52" t="n"/>
      <c r="AE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  <c r="AA473" s="52" t="n"/>
      <c r="AB473" s="52" t="n"/>
      <c r="AC473" s="52" t="n"/>
      <c r="AD473" s="52" t="n"/>
      <c r="AE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  <c r="AA474" s="52" t="n"/>
      <c r="AB474" s="52" t="n"/>
      <c r="AC474" s="52" t="n"/>
      <c r="AD474" s="52" t="n"/>
      <c r="AE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  <c r="AA475" s="52" t="n"/>
      <c r="AB475" s="52" t="n"/>
      <c r="AC475" s="52" t="n"/>
      <c r="AD475" s="52" t="n"/>
      <c r="AE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  <c r="AA476" s="52" t="n"/>
      <c r="AB476" s="52" t="n"/>
      <c r="AC476" s="52" t="n"/>
      <c r="AD476" s="52" t="n"/>
      <c r="AE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  <c r="AA477" s="52" t="n"/>
      <c r="AB477" s="52" t="n"/>
      <c r="AC477" s="52" t="n"/>
      <c r="AD477" s="52" t="n"/>
      <c r="AE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  <c r="AA478" s="52" t="n"/>
      <c r="AB478" s="52" t="n"/>
      <c r="AC478" s="52" t="n"/>
      <c r="AD478" s="52" t="n"/>
      <c r="AE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  <c r="AA479" s="52" t="n"/>
      <c r="AB479" s="52" t="n"/>
      <c r="AC479" s="52" t="n"/>
      <c r="AD479" s="52" t="n"/>
      <c r="AE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  <c r="AA480" s="52" t="n"/>
      <c r="AB480" s="52" t="n"/>
      <c r="AC480" s="52" t="n"/>
      <c r="AD480" s="52" t="n"/>
      <c r="AE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  <c r="AA481" s="52" t="n"/>
      <c r="AB481" s="52" t="n"/>
      <c r="AC481" s="52" t="n"/>
      <c r="AD481" s="52" t="n"/>
      <c r="AE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  <c r="AA482" s="52" t="n"/>
      <c r="AB482" s="52" t="n"/>
      <c r="AC482" s="52" t="n"/>
      <c r="AD482" s="52" t="n"/>
      <c r="AE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  <c r="AA483" s="52" t="n"/>
      <c r="AB483" s="52" t="n"/>
      <c r="AC483" s="52" t="n"/>
      <c r="AD483" s="52" t="n"/>
      <c r="AE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  <c r="AA484" s="52" t="n"/>
      <c r="AB484" s="52" t="n"/>
      <c r="AC484" s="52" t="n"/>
      <c r="AD484" s="52" t="n"/>
      <c r="AE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  <c r="AA485" s="52" t="n"/>
      <c r="AB485" s="52" t="n"/>
      <c r="AC485" s="52" t="n"/>
      <c r="AD485" s="52" t="n"/>
      <c r="AE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  <c r="AA486" s="52" t="n"/>
      <c r="AB486" s="52" t="n"/>
      <c r="AC486" s="52" t="n"/>
      <c r="AD486" s="52" t="n"/>
      <c r="AE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  <c r="AA487" s="52" t="n"/>
      <c r="AB487" s="52" t="n"/>
      <c r="AC487" s="52" t="n"/>
      <c r="AD487" s="52" t="n"/>
      <c r="AE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  <c r="AA488" s="52" t="n"/>
      <c r="AB488" s="52" t="n"/>
      <c r="AC488" s="52" t="n"/>
      <c r="AD488" s="52" t="n"/>
      <c r="AE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  <c r="AA489" s="52" t="n"/>
      <c r="AB489" s="52" t="n"/>
      <c r="AC489" s="52" t="n"/>
      <c r="AD489" s="52" t="n"/>
      <c r="AE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  <c r="AA490" s="52" t="n"/>
      <c r="AB490" s="52" t="n"/>
      <c r="AC490" s="52" t="n"/>
      <c r="AD490" s="52" t="n"/>
      <c r="AE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  <c r="AA491" s="52" t="n"/>
      <c r="AB491" s="52" t="n"/>
      <c r="AC491" s="52" t="n"/>
      <c r="AD491" s="52" t="n"/>
      <c r="AE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  <c r="AA492" s="52" t="n"/>
      <c r="AB492" s="52" t="n"/>
      <c r="AC492" s="52" t="n"/>
      <c r="AD492" s="52" t="n"/>
      <c r="AE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  <c r="AA493" s="52" t="n"/>
      <c r="AB493" s="52" t="n"/>
      <c r="AC493" s="52" t="n"/>
      <c r="AD493" s="52" t="n"/>
      <c r="AE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  <c r="AA494" s="52" t="n"/>
      <c r="AB494" s="52" t="n"/>
      <c r="AC494" s="52" t="n"/>
      <c r="AD494" s="52" t="n"/>
      <c r="AE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  <c r="AA495" s="52" t="n"/>
      <c r="AB495" s="52" t="n"/>
      <c r="AC495" s="52" t="n"/>
      <c r="AD495" s="52" t="n"/>
      <c r="AE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  <c r="AA496" s="52" t="n"/>
      <c r="AB496" s="52" t="n"/>
      <c r="AC496" s="52" t="n"/>
      <c r="AD496" s="52" t="n"/>
      <c r="AE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  <c r="AA497" s="52" t="n"/>
      <c r="AB497" s="52" t="n"/>
      <c r="AC497" s="52" t="n"/>
      <c r="AD497" s="52" t="n"/>
      <c r="AE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  <c r="AA498" s="52" t="n"/>
      <c r="AB498" s="52" t="n"/>
      <c r="AC498" s="52" t="n"/>
      <c r="AD498" s="52" t="n"/>
      <c r="AE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  <c r="AA499" s="52" t="n"/>
      <c r="AB499" s="52" t="n"/>
      <c r="AC499" s="52" t="n"/>
      <c r="AD499" s="52" t="n"/>
      <c r="AE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  <c r="AA500" s="52" t="n"/>
      <c r="AB500" s="52" t="n"/>
      <c r="AC500" s="52" t="n"/>
      <c r="AD500" s="52" t="n"/>
      <c r="AE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  <c r="AA501" s="52" t="n"/>
      <c r="AB501" s="52" t="n"/>
      <c r="AC501" s="52" t="n"/>
      <c r="AD501" s="52" t="n"/>
      <c r="AE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  <c r="AA502" s="52" t="n"/>
      <c r="AB502" s="52" t="n"/>
      <c r="AC502" s="52" t="n"/>
      <c r="AD502" s="52" t="n"/>
      <c r="AE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  <c r="AA503" s="52" t="n"/>
      <c r="AB503" s="52" t="n"/>
      <c r="AC503" s="52" t="n"/>
      <c r="AD503" s="52" t="n"/>
      <c r="AE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  <c r="AA504" s="52" t="n"/>
      <c r="AB504" s="52" t="n"/>
      <c r="AC504" s="52" t="n"/>
      <c r="AD504" s="52" t="n"/>
      <c r="AE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  <c r="AA505" s="52" t="n"/>
      <c r="AB505" s="52" t="n"/>
      <c r="AC505" s="52" t="n"/>
      <c r="AD505" s="52" t="n"/>
      <c r="AE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  <c r="AA506" s="52" t="n"/>
      <c r="AB506" s="52" t="n"/>
      <c r="AC506" s="52" t="n"/>
      <c r="AD506" s="52" t="n"/>
      <c r="AE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  <c r="AA507" s="52" t="n"/>
      <c r="AB507" s="52" t="n"/>
      <c r="AC507" s="52" t="n"/>
      <c r="AD507" s="52" t="n"/>
      <c r="AE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  <c r="AA508" s="52" t="n"/>
      <c r="AB508" s="52" t="n"/>
      <c r="AC508" s="52" t="n"/>
      <c r="AD508" s="52" t="n"/>
      <c r="AE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  <c r="AA509" s="52" t="n"/>
      <c r="AB509" s="52" t="n"/>
      <c r="AC509" s="52" t="n"/>
      <c r="AD509" s="52" t="n"/>
      <c r="AE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  <c r="AA510" s="52" t="n"/>
      <c r="AB510" s="52" t="n"/>
      <c r="AC510" s="52" t="n"/>
      <c r="AD510" s="52" t="n"/>
      <c r="AE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  <c r="AA511" s="52" t="n"/>
      <c r="AB511" s="52" t="n"/>
      <c r="AC511" s="52" t="n"/>
      <c r="AD511" s="52" t="n"/>
      <c r="AE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  <c r="AA512" s="52" t="n"/>
      <c r="AB512" s="52" t="n"/>
      <c r="AC512" s="52" t="n"/>
      <c r="AD512" s="52" t="n"/>
      <c r="AE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  <c r="AA513" s="52" t="n"/>
      <c r="AB513" s="52" t="n"/>
      <c r="AC513" s="52" t="n"/>
      <c r="AD513" s="52" t="n"/>
      <c r="AE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  <c r="AA514" s="52" t="n"/>
      <c r="AB514" s="52" t="n"/>
      <c r="AC514" s="52" t="n"/>
      <c r="AD514" s="52" t="n"/>
      <c r="AE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  <c r="AA515" s="52" t="n"/>
      <c r="AB515" s="52" t="n"/>
      <c r="AC515" s="52" t="n"/>
      <c r="AD515" s="52" t="n"/>
      <c r="AE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  <c r="AA516" s="52" t="n"/>
      <c r="AB516" s="52" t="n"/>
      <c r="AC516" s="52" t="n"/>
      <c r="AD516" s="52" t="n"/>
      <c r="AE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  <c r="AA517" s="52" t="n"/>
      <c r="AB517" s="52" t="n"/>
      <c r="AC517" s="52" t="n"/>
      <c r="AD517" s="52" t="n"/>
      <c r="AE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  <c r="AA518" s="52" t="n"/>
      <c r="AB518" s="52" t="n"/>
      <c r="AC518" s="52" t="n"/>
      <c r="AD518" s="52" t="n"/>
      <c r="AE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  <c r="AA519" s="52" t="n"/>
      <c r="AB519" s="52" t="n"/>
      <c r="AC519" s="52" t="n"/>
      <c r="AD519" s="52" t="n"/>
      <c r="AE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  <c r="AA520" s="52" t="n"/>
      <c r="AB520" s="52" t="n"/>
      <c r="AC520" s="52" t="n"/>
      <c r="AD520" s="52" t="n"/>
      <c r="AE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  <c r="AA521" s="52" t="n"/>
      <c r="AB521" s="52" t="n"/>
      <c r="AC521" s="52" t="n"/>
      <c r="AD521" s="52" t="n"/>
      <c r="AE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  <c r="AA522" s="52" t="n"/>
      <c r="AB522" s="52" t="n"/>
      <c r="AC522" s="52" t="n"/>
      <c r="AD522" s="52" t="n"/>
      <c r="AE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  <c r="AA523" s="52" t="n"/>
      <c r="AB523" s="52" t="n"/>
      <c r="AC523" s="52" t="n"/>
      <c r="AD523" s="52" t="n"/>
      <c r="AE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  <c r="AA524" s="52" t="n"/>
      <c r="AB524" s="52" t="n"/>
      <c r="AC524" s="52" t="n"/>
      <c r="AD524" s="52" t="n"/>
      <c r="AE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  <c r="AA525" s="52" t="n"/>
      <c r="AB525" s="52" t="n"/>
      <c r="AC525" s="52" t="n"/>
      <c r="AD525" s="52" t="n"/>
      <c r="AE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  <c r="AA526" s="52" t="n"/>
      <c r="AB526" s="52" t="n"/>
      <c r="AC526" s="52" t="n"/>
      <c r="AD526" s="52" t="n"/>
      <c r="AE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  <c r="AA527" s="52" t="n"/>
      <c r="AB527" s="52" t="n"/>
      <c r="AC527" s="52" t="n"/>
      <c r="AD527" s="52" t="n"/>
      <c r="AE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  <c r="AA528" s="52" t="n"/>
      <c r="AB528" s="52" t="n"/>
      <c r="AC528" s="52" t="n"/>
      <c r="AD528" s="52" t="n"/>
      <c r="AE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  <c r="AA529" s="52" t="n"/>
      <c r="AB529" s="52" t="n"/>
      <c r="AC529" s="52" t="n"/>
      <c r="AD529" s="52" t="n"/>
      <c r="AE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  <c r="AA530" s="52" t="n"/>
      <c r="AB530" s="52" t="n"/>
      <c r="AC530" s="52" t="n"/>
      <c r="AD530" s="52" t="n"/>
      <c r="AE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  <c r="AA531" s="52" t="n"/>
      <c r="AB531" s="52" t="n"/>
      <c r="AC531" s="52" t="n"/>
      <c r="AD531" s="52" t="n"/>
      <c r="AE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  <c r="AA532" s="52" t="n"/>
      <c r="AB532" s="52" t="n"/>
      <c r="AC532" s="52" t="n"/>
      <c r="AD532" s="52" t="n"/>
      <c r="AE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  <c r="AA533" s="52" t="n"/>
      <c r="AB533" s="52" t="n"/>
      <c r="AC533" s="52" t="n"/>
      <c r="AD533" s="52" t="n"/>
      <c r="AE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  <c r="AA534" s="52" t="n"/>
      <c r="AB534" s="52" t="n"/>
      <c r="AC534" s="52" t="n"/>
      <c r="AD534" s="52" t="n"/>
      <c r="AE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  <c r="AA535" s="52" t="n"/>
      <c r="AB535" s="52" t="n"/>
      <c r="AC535" s="52" t="n"/>
      <c r="AD535" s="52" t="n"/>
      <c r="AE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  <c r="AA536" s="52" t="n"/>
      <c r="AB536" s="52" t="n"/>
      <c r="AC536" s="52" t="n"/>
      <c r="AD536" s="52" t="n"/>
      <c r="AE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  <c r="AA537" s="52" t="n"/>
      <c r="AB537" s="52" t="n"/>
      <c r="AC537" s="52" t="n"/>
      <c r="AD537" s="52" t="n"/>
      <c r="AE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  <c r="AA538" s="52" t="n"/>
      <c r="AB538" s="52" t="n"/>
      <c r="AC538" s="52" t="n"/>
      <c r="AD538" s="52" t="n"/>
      <c r="AE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  <c r="AA539" s="52" t="n"/>
      <c r="AB539" s="52" t="n"/>
      <c r="AC539" s="52" t="n"/>
      <c r="AD539" s="52" t="n"/>
      <c r="AE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  <c r="AA540" s="52" t="n"/>
      <c r="AB540" s="52" t="n"/>
      <c r="AC540" s="52" t="n"/>
      <c r="AD540" s="52" t="n"/>
      <c r="AE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  <c r="AA541" s="52" t="n"/>
      <c r="AB541" s="52" t="n"/>
      <c r="AC541" s="52" t="n"/>
      <c r="AD541" s="52" t="n"/>
      <c r="AE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  <c r="AA542" s="52" t="n"/>
      <c r="AB542" s="52" t="n"/>
      <c r="AC542" s="52" t="n"/>
      <c r="AD542" s="52" t="n"/>
      <c r="AE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  <c r="AA543" s="52" t="n"/>
      <c r="AB543" s="52" t="n"/>
      <c r="AC543" s="52" t="n"/>
      <c r="AD543" s="52" t="n"/>
      <c r="AE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  <c r="AA544" s="52" t="n"/>
      <c r="AB544" s="52" t="n"/>
      <c r="AC544" s="52" t="n"/>
      <c r="AD544" s="52" t="n"/>
      <c r="AE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  <c r="AA545" s="52" t="n"/>
      <c r="AB545" s="52" t="n"/>
      <c r="AC545" s="52" t="n"/>
      <c r="AD545" s="52" t="n"/>
      <c r="AE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  <c r="AA546" s="52" t="n"/>
      <c r="AB546" s="52" t="n"/>
      <c r="AC546" s="52" t="n"/>
      <c r="AD546" s="52" t="n"/>
      <c r="AE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  <c r="AA547" s="52" t="n"/>
      <c r="AB547" s="52" t="n"/>
      <c r="AC547" s="52" t="n"/>
      <c r="AD547" s="52" t="n"/>
      <c r="AE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  <c r="AA548" s="52" t="n"/>
      <c r="AB548" s="52" t="n"/>
      <c r="AC548" s="52" t="n"/>
      <c r="AD548" s="52" t="n"/>
      <c r="AE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  <c r="AA549" s="52" t="n"/>
      <c r="AB549" s="52" t="n"/>
      <c r="AC549" s="52" t="n"/>
      <c r="AD549" s="52" t="n"/>
      <c r="AE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  <c r="AA550" s="52" t="n"/>
      <c r="AB550" s="52" t="n"/>
      <c r="AC550" s="52" t="n"/>
      <c r="AD550" s="52" t="n"/>
      <c r="AE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  <c r="AA551" s="52" t="n"/>
      <c r="AB551" s="52" t="n"/>
      <c r="AC551" s="52" t="n"/>
      <c r="AD551" s="52" t="n"/>
      <c r="AE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  <c r="AA552" s="52" t="n"/>
      <c r="AB552" s="52" t="n"/>
      <c r="AC552" s="52" t="n"/>
      <c r="AD552" s="52" t="n"/>
      <c r="AE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  <c r="AA553" s="52" t="n"/>
      <c r="AB553" s="52" t="n"/>
      <c r="AC553" s="52" t="n"/>
      <c r="AD553" s="52" t="n"/>
      <c r="AE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  <c r="AA554" s="52" t="n"/>
      <c r="AB554" s="52" t="n"/>
      <c r="AC554" s="52" t="n"/>
      <c r="AD554" s="52" t="n"/>
      <c r="AE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  <c r="AA555" s="52" t="n"/>
      <c r="AB555" s="52" t="n"/>
      <c r="AC555" s="52" t="n"/>
      <c r="AD555" s="52" t="n"/>
      <c r="AE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  <c r="AA556" s="52" t="n"/>
      <c r="AB556" s="52" t="n"/>
      <c r="AC556" s="52" t="n"/>
      <c r="AD556" s="52" t="n"/>
      <c r="AE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  <c r="AA557" s="52" t="n"/>
      <c r="AB557" s="52" t="n"/>
      <c r="AC557" s="52" t="n"/>
      <c r="AD557" s="52" t="n"/>
      <c r="AE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  <c r="AA558" s="52" t="n"/>
      <c r="AB558" s="52" t="n"/>
      <c r="AC558" s="52" t="n"/>
      <c r="AD558" s="52" t="n"/>
      <c r="AE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  <c r="AA559" s="52" t="n"/>
      <c r="AB559" s="52" t="n"/>
      <c r="AC559" s="52" t="n"/>
      <c r="AD559" s="52" t="n"/>
      <c r="AE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  <c r="AA560" s="52" t="n"/>
      <c r="AB560" s="52" t="n"/>
      <c r="AC560" s="52" t="n"/>
      <c r="AD560" s="52" t="n"/>
      <c r="AE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  <c r="AA561" s="52" t="n"/>
      <c r="AB561" s="52" t="n"/>
      <c r="AC561" s="52" t="n"/>
      <c r="AD561" s="52" t="n"/>
      <c r="AE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  <c r="AA562" s="52" t="n"/>
      <c r="AB562" s="52" t="n"/>
      <c r="AC562" s="52" t="n"/>
      <c r="AD562" s="52" t="n"/>
      <c r="AE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  <c r="AA563" s="52" t="n"/>
      <c r="AB563" s="52" t="n"/>
      <c r="AC563" s="52" t="n"/>
      <c r="AD563" s="52" t="n"/>
      <c r="AE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  <c r="AA564" s="52" t="n"/>
      <c r="AB564" s="52" t="n"/>
      <c r="AC564" s="52" t="n"/>
      <c r="AD564" s="52" t="n"/>
      <c r="AE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  <c r="AA565" s="52" t="n"/>
      <c r="AB565" s="52" t="n"/>
      <c r="AC565" s="52" t="n"/>
      <c r="AD565" s="52" t="n"/>
      <c r="AE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  <c r="AA566" s="52" t="n"/>
      <c r="AB566" s="52" t="n"/>
      <c r="AC566" s="52" t="n"/>
      <c r="AD566" s="52" t="n"/>
      <c r="AE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  <c r="AA567" s="52" t="n"/>
      <c r="AB567" s="52" t="n"/>
      <c r="AC567" s="52" t="n"/>
      <c r="AD567" s="52" t="n"/>
      <c r="AE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  <c r="AA568" s="52" t="n"/>
      <c r="AB568" s="52" t="n"/>
      <c r="AC568" s="52" t="n"/>
      <c r="AD568" s="52" t="n"/>
      <c r="AE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  <c r="AA569" s="52" t="n"/>
      <c r="AB569" s="52" t="n"/>
      <c r="AC569" s="52" t="n"/>
      <c r="AD569" s="52" t="n"/>
      <c r="AE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  <c r="AA570" s="52" t="n"/>
      <c r="AB570" s="52" t="n"/>
      <c r="AC570" s="52" t="n"/>
      <c r="AD570" s="52" t="n"/>
      <c r="AE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  <c r="AA571" s="52" t="n"/>
      <c r="AB571" s="52" t="n"/>
      <c r="AC571" s="52" t="n"/>
      <c r="AD571" s="52" t="n"/>
      <c r="AE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  <c r="AA572" s="52" t="n"/>
      <c r="AB572" s="52" t="n"/>
      <c r="AC572" s="52" t="n"/>
      <c r="AD572" s="52" t="n"/>
      <c r="AE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  <c r="AA573" s="52" t="n"/>
      <c r="AB573" s="52" t="n"/>
      <c r="AC573" s="52" t="n"/>
      <c r="AD573" s="52" t="n"/>
      <c r="AE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  <c r="AA574" s="52" t="n"/>
      <c r="AB574" s="52" t="n"/>
      <c r="AC574" s="52" t="n"/>
      <c r="AD574" s="52" t="n"/>
      <c r="AE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  <c r="AA575" s="52" t="n"/>
      <c r="AB575" s="52" t="n"/>
      <c r="AC575" s="52" t="n"/>
      <c r="AD575" s="52" t="n"/>
      <c r="AE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  <c r="AA576" s="52" t="n"/>
      <c r="AB576" s="52" t="n"/>
      <c r="AC576" s="52" t="n"/>
      <c r="AD576" s="52" t="n"/>
      <c r="AE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  <c r="AA577" s="52" t="n"/>
      <c r="AB577" s="52" t="n"/>
      <c r="AC577" s="52" t="n"/>
      <c r="AD577" s="52" t="n"/>
      <c r="AE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  <c r="AA578" s="52" t="n"/>
      <c r="AB578" s="52" t="n"/>
      <c r="AC578" s="52" t="n"/>
      <c r="AD578" s="52" t="n"/>
      <c r="AE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  <c r="AA579" s="52" t="n"/>
      <c r="AB579" s="52" t="n"/>
      <c r="AC579" s="52" t="n"/>
      <c r="AD579" s="52" t="n"/>
      <c r="AE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  <c r="AA580" s="52" t="n"/>
      <c r="AB580" s="52" t="n"/>
      <c r="AC580" s="52" t="n"/>
      <c r="AD580" s="52" t="n"/>
      <c r="AE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  <c r="AA581" s="52" t="n"/>
      <c r="AB581" s="52" t="n"/>
      <c r="AC581" s="52" t="n"/>
      <c r="AD581" s="52" t="n"/>
      <c r="AE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  <c r="AA582" s="52" t="n"/>
      <c r="AB582" s="52" t="n"/>
      <c r="AC582" s="52" t="n"/>
      <c r="AD582" s="52" t="n"/>
      <c r="AE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  <c r="AA583" s="52" t="n"/>
      <c r="AB583" s="52" t="n"/>
      <c r="AC583" s="52" t="n"/>
      <c r="AD583" s="52" t="n"/>
      <c r="AE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  <c r="AA584" s="52" t="n"/>
      <c r="AB584" s="52" t="n"/>
      <c r="AC584" s="52" t="n"/>
      <c r="AD584" s="52" t="n"/>
      <c r="AE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  <c r="AA585" s="52" t="n"/>
      <c r="AB585" s="52" t="n"/>
      <c r="AC585" s="52" t="n"/>
      <c r="AD585" s="52" t="n"/>
      <c r="AE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  <c r="AA586" s="52" t="n"/>
      <c r="AB586" s="52" t="n"/>
      <c r="AC586" s="52" t="n"/>
      <c r="AD586" s="52" t="n"/>
      <c r="AE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  <c r="AA587" s="52" t="n"/>
      <c r="AB587" s="52" t="n"/>
      <c r="AC587" s="52" t="n"/>
      <c r="AD587" s="52" t="n"/>
      <c r="AE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  <c r="AA588" s="52" t="n"/>
      <c r="AB588" s="52" t="n"/>
      <c r="AC588" s="52" t="n"/>
      <c r="AD588" s="52" t="n"/>
      <c r="AE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  <c r="AA589" s="52" t="n"/>
      <c r="AB589" s="52" t="n"/>
      <c r="AC589" s="52" t="n"/>
      <c r="AD589" s="52" t="n"/>
      <c r="AE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  <c r="AA590" s="52" t="n"/>
      <c r="AB590" s="52" t="n"/>
      <c r="AC590" s="52" t="n"/>
      <c r="AD590" s="52" t="n"/>
      <c r="AE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  <c r="AA591" s="52" t="n"/>
      <c r="AB591" s="52" t="n"/>
      <c r="AC591" s="52" t="n"/>
      <c r="AD591" s="52" t="n"/>
      <c r="AE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  <c r="AA592" s="52" t="n"/>
      <c r="AB592" s="52" t="n"/>
      <c r="AC592" s="52" t="n"/>
      <c r="AD592" s="52" t="n"/>
      <c r="AE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  <c r="AA593" s="52" t="n"/>
      <c r="AB593" s="52" t="n"/>
      <c r="AC593" s="52" t="n"/>
      <c r="AD593" s="52" t="n"/>
      <c r="AE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  <c r="AA594" s="52" t="n"/>
      <c r="AB594" s="52" t="n"/>
      <c r="AC594" s="52" t="n"/>
      <c r="AD594" s="52" t="n"/>
      <c r="AE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  <c r="AA595" s="52" t="n"/>
      <c r="AB595" s="52" t="n"/>
      <c r="AC595" s="52" t="n"/>
      <c r="AD595" s="52" t="n"/>
      <c r="AE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  <c r="AA596" s="52" t="n"/>
      <c r="AB596" s="52" t="n"/>
      <c r="AC596" s="52" t="n"/>
      <c r="AD596" s="52" t="n"/>
      <c r="AE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  <c r="AA597" s="52" t="n"/>
      <c r="AB597" s="52" t="n"/>
      <c r="AC597" s="52" t="n"/>
      <c r="AD597" s="52" t="n"/>
      <c r="AE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  <c r="AA598" s="52" t="n"/>
      <c r="AB598" s="52" t="n"/>
      <c r="AC598" s="52" t="n"/>
      <c r="AD598" s="52" t="n"/>
      <c r="AE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  <c r="AA599" s="52" t="n"/>
      <c r="AB599" s="52" t="n"/>
      <c r="AC599" s="52" t="n"/>
      <c r="AD599" s="52" t="n"/>
      <c r="AE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  <c r="AA600" s="52" t="n"/>
      <c r="AB600" s="52" t="n"/>
      <c r="AC600" s="52" t="n"/>
      <c r="AD600" s="52" t="n"/>
      <c r="AE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  <c r="AA601" s="52" t="n"/>
      <c r="AB601" s="52" t="n"/>
      <c r="AC601" s="52" t="n"/>
      <c r="AD601" s="52" t="n"/>
      <c r="AE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  <c r="AA602" s="52" t="n"/>
      <c r="AB602" s="52" t="n"/>
      <c r="AC602" s="52" t="n"/>
      <c r="AD602" s="52" t="n"/>
      <c r="AE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  <c r="AA603" s="52" t="n"/>
      <c r="AB603" s="52" t="n"/>
      <c r="AC603" s="52" t="n"/>
      <c r="AD603" s="52" t="n"/>
      <c r="AE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  <c r="AA604" s="52" t="n"/>
      <c r="AB604" s="52" t="n"/>
      <c r="AC604" s="52" t="n"/>
      <c r="AD604" s="52" t="n"/>
      <c r="AE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  <c r="AA605" s="52" t="n"/>
      <c r="AB605" s="52" t="n"/>
      <c r="AC605" s="52" t="n"/>
      <c r="AD605" s="52" t="n"/>
      <c r="AE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  <c r="AA606" s="52" t="n"/>
      <c r="AB606" s="52" t="n"/>
      <c r="AC606" s="52" t="n"/>
      <c r="AD606" s="52" t="n"/>
      <c r="AE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  <c r="AA607" s="52" t="n"/>
      <c r="AB607" s="52" t="n"/>
      <c r="AC607" s="52" t="n"/>
      <c r="AD607" s="52" t="n"/>
      <c r="AE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  <c r="AA608" s="52" t="n"/>
      <c r="AB608" s="52" t="n"/>
      <c r="AC608" s="52" t="n"/>
      <c r="AD608" s="52" t="n"/>
      <c r="AE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  <c r="AA609" s="52" t="n"/>
      <c r="AB609" s="52" t="n"/>
      <c r="AC609" s="52" t="n"/>
      <c r="AD609" s="52" t="n"/>
      <c r="AE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  <c r="AA610" s="52" t="n"/>
      <c r="AB610" s="52" t="n"/>
      <c r="AC610" s="52" t="n"/>
      <c r="AD610" s="52" t="n"/>
      <c r="AE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  <c r="AA611" s="52" t="n"/>
      <c r="AB611" s="52" t="n"/>
      <c r="AC611" s="52" t="n"/>
      <c r="AD611" s="52" t="n"/>
      <c r="AE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  <c r="AA612" s="52" t="n"/>
      <c r="AB612" s="52" t="n"/>
      <c r="AC612" s="52" t="n"/>
      <c r="AD612" s="52" t="n"/>
      <c r="AE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  <c r="AA613" s="52" t="n"/>
      <c r="AB613" s="52" t="n"/>
      <c r="AC613" s="52" t="n"/>
      <c r="AD613" s="52" t="n"/>
      <c r="AE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  <c r="AA614" s="52" t="n"/>
      <c r="AB614" s="52" t="n"/>
      <c r="AC614" s="52" t="n"/>
      <c r="AD614" s="52" t="n"/>
      <c r="AE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  <c r="AA615" s="52" t="n"/>
      <c r="AB615" s="52" t="n"/>
      <c r="AC615" s="52" t="n"/>
      <c r="AD615" s="52" t="n"/>
      <c r="AE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  <c r="AA616" s="52" t="n"/>
      <c r="AB616" s="52" t="n"/>
      <c r="AC616" s="52" t="n"/>
      <c r="AD616" s="52" t="n"/>
      <c r="AE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  <c r="AA617" s="52" t="n"/>
      <c r="AB617" s="52" t="n"/>
      <c r="AC617" s="52" t="n"/>
      <c r="AD617" s="52" t="n"/>
      <c r="AE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  <c r="AA618" s="52" t="n"/>
      <c r="AB618" s="52" t="n"/>
      <c r="AC618" s="52" t="n"/>
      <c r="AD618" s="52" t="n"/>
      <c r="AE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  <c r="AA619" s="52" t="n"/>
      <c r="AB619" s="52" t="n"/>
      <c r="AC619" s="52" t="n"/>
      <c r="AD619" s="52" t="n"/>
      <c r="AE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  <c r="AA620" s="52" t="n"/>
      <c r="AB620" s="52" t="n"/>
      <c r="AC620" s="52" t="n"/>
      <c r="AD620" s="52" t="n"/>
      <c r="AE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  <c r="AA621" s="52" t="n"/>
      <c r="AB621" s="52" t="n"/>
      <c r="AC621" s="52" t="n"/>
      <c r="AD621" s="52" t="n"/>
      <c r="AE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  <c r="AA622" s="52" t="n"/>
      <c r="AB622" s="52" t="n"/>
      <c r="AC622" s="52" t="n"/>
      <c r="AD622" s="52" t="n"/>
      <c r="AE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  <c r="AA623" s="52" t="n"/>
      <c r="AB623" s="52" t="n"/>
      <c r="AC623" s="52" t="n"/>
      <c r="AD623" s="52" t="n"/>
      <c r="AE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  <c r="AA624" s="52" t="n"/>
      <c r="AB624" s="52" t="n"/>
      <c r="AC624" s="52" t="n"/>
      <c r="AD624" s="52" t="n"/>
      <c r="AE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  <c r="AA625" s="52" t="n"/>
      <c r="AB625" s="52" t="n"/>
      <c r="AC625" s="52" t="n"/>
      <c r="AD625" s="52" t="n"/>
      <c r="AE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  <c r="AA626" s="52" t="n"/>
      <c r="AB626" s="52" t="n"/>
      <c r="AC626" s="52" t="n"/>
      <c r="AD626" s="52" t="n"/>
      <c r="AE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  <c r="AA627" s="52" t="n"/>
      <c r="AB627" s="52" t="n"/>
      <c r="AC627" s="52" t="n"/>
      <c r="AD627" s="52" t="n"/>
      <c r="AE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  <c r="AA628" s="52" t="n"/>
      <c r="AB628" s="52" t="n"/>
      <c r="AC628" s="52" t="n"/>
      <c r="AD628" s="52" t="n"/>
      <c r="AE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  <c r="AA629" s="52" t="n"/>
      <c r="AB629" s="52" t="n"/>
      <c r="AC629" s="52" t="n"/>
      <c r="AD629" s="52" t="n"/>
      <c r="AE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  <c r="AA630" s="52" t="n"/>
      <c r="AB630" s="52" t="n"/>
      <c r="AC630" s="52" t="n"/>
      <c r="AD630" s="52" t="n"/>
      <c r="AE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  <c r="AA631" s="52" t="n"/>
      <c r="AB631" s="52" t="n"/>
      <c r="AC631" s="52" t="n"/>
      <c r="AD631" s="52" t="n"/>
      <c r="AE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  <c r="AA632" s="52" t="n"/>
      <c r="AB632" s="52" t="n"/>
      <c r="AC632" s="52" t="n"/>
      <c r="AD632" s="52" t="n"/>
      <c r="AE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  <c r="AA633" s="52" t="n"/>
      <c r="AB633" s="52" t="n"/>
      <c r="AC633" s="52" t="n"/>
      <c r="AD633" s="52" t="n"/>
      <c r="AE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  <c r="AA634" s="52" t="n"/>
      <c r="AB634" s="52" t="n"/>
      <c r="AC634" s="52" t="n"/>
      <c r="AD634" s="52" t="n"/>
      <c r="AE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  <c r="AA635" s="52" t="n"/>
      <c r="AB635" s="52" t="n"/>
      <c r="AC635" s="52" t="n"/>
      <c r="AD635" s="52" t="n"/>
      <c r="AE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  <c r="AA636" s="52" t="n"/>
      <c r="AB636" s="52" t="n"/>
      <c r="AC636" s="52" t="n"/>
      <c r="AD636" s="52" t="n"/>
      <c r="AE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  <c r="AA637" s="52" t="n"/>
      <c r="AB637" s="52" t="n"/>
      <c r="AC637" s="52" t="n"/>
      <c r="AD637" s="52" t="n"/>
      <c r="AE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  <c r="AA638" s="52" t="n"/>
      <c r="AB638" s="52" t="n"/>
      <c r="AC638" s="52" t="n"/>
      <c r="AD638" s="52" t="n"/>
      <c r="AE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  <c r="AA639" s="52" t="n"/>
      <c r="AB639" s="52" t="n"/>
      <c r="AC639" s="52" t="n"/>
      <c r="AD639" s="52" t="n"/>
      <c r="AE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  <c r="AA640" s="52" t="n"/>
      <c r="AB640" s="52" t="n"/>
      <c r="AC640" s="52" t="n"/>
      <c r="AD640" s="52" t="n"/>
      <c r="AE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  <c r="AA641" s="52" t="n"/>
      <c r="AB641" s="52" t="n"/>
      <c r="AC641" s="52" t="n"/>
      <c r="AD641" s="52" t="n"/>
      <c r="AE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  <c r="AA642" s="52" t="n"/>
      <c r="AB642" s="52" t="n"/>
      <c r="AC642" s="52" t="n"/>
      <c r="AD642" s="52" t="n"/>
      <c r="AE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  <c r="AA643" s="52" t="n"/>
      <c r="AB643" s="52" t="n"/>
      <c r="AC643" s="52" t="n"/>
      <c r="AD643" s="52" t="n"/>
      <c r="AE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  <c r="AA644" s="52" t="n"/>
      <c r="AB644" s="52" t="n"/>
      <c r="AC644" s="52" t="n"/>
      <c r="AD644" s="52" t="n"/>
      <c r="AE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  <c r="AA645" s="52" t="n"/>
      <c r="AB645" s="52" t="n"/>
      <c r="AC645" s="52" t="n"/>
      <c r="AD645" s="52" t="n"/>
      <c r="AE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  <c r="AA646" s="52" t="n"/>
      <c r="AB646" s="52" t="n"/>
      <c r="AC646" s="52" t="n"/>
      <c r="AD646" s="52" t="n"/>
      <c r="AE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  <c r="AA647" s="52" t="n"/>
      <c r="AB647" s="52" t="n"/>
      <c r="AC647" s="52" t="n"/>
      <c r="AD647" s="52" t="n"/>
      <c r="AE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  <c r="AA648" s="52" t="n"/>
      <c r="AB648" s="52" t="n"/>
      <c r="AC648" s="52" t="n"/>
      <c r="AD648" s="52" t="n"/>
      <c r="AE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  <c r="AA649" s="52" t="n"/>
      <c r="AB649" s="52" t="n"/>
      <c r="AC649" s="52" t="n"/>
      <c r="AD649" s="52" t="n"/>
      <c r="AE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  <c r="AA650" s="52" t="n"/>
      <c r="AB650" s="52" t="n"/>
      <c r="AC650" s="52" t="n"/>
      <c r="AD650" s="52" t="n"/>
      <c r="AE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  <c r="AA651" s="52" t="n"/>
      <c r="AB651" s="52" t="n"/>
      <c r="AC651" s="52" t="n"/>
      <c r="AD651" s="52" t="n"/>
      <c r="AE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  <c r="AA652" s="52" t="n"/>
      <c r="AB652" s="52" t="n"/>
      <c r="AC652" s="52" t="n"/>
      <c r="AD652" s="52" t="n"/>
      <c r="AE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  <c r="AA653" s="52" t="n"/>
      <c r="AB653" s="52" t="n"/>
      <c r="AC653" s="52" t="n"/>
      <c r="AD653" s="52" t="n"/>
      <c r="AE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  <c r="AA654" s="52" t="n"/>
      <c r="AB654" s="52" t="n"/>
      <c r="AC654" s="52" t="n"/>
      <c r="AD654" s="52" t="n"/>
      <c r="AE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  <c r="AA655" s="52" t="n"/>
      <c r="AB655" s="52" t="n"/>
      <c r="AC655" s="52" t="n"/>
      <c r="AD655" s="52" t="n"/>
      <c r="AE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  <c r="AA656" s="52" t="n"/>
      <c r="AB656" s="52" t="n"/>
      <c r="AC656" s="52" t="n"/>
      <c r="AD656" s="52" t="n"/>
      <c r="AE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  <c r="AA657" s="52" t="n"/>
      <c r="AB657" s="52" t="n"/>
      <c r="AC657" s="52" t="n"/>
      <c r="AD657" s="52" t="n"/>
      <c r="AE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  <c r="AA658" s="52" t="n"/>
      <c r="AB658" s="52" t="n"/>
      <c r="AC658" s="52" t="n"/>
      <c r="AD658" s="52" t="n"/>
      <c r="AE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  <c r="AA659" s="52" t="n"/>
      <c r="AB659" s="52" t="n"/>
      <c r="AC659" s="52" t="n"/>
      <c r="AD659" s="52" t="n"/>
      <c r="AE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  <c r="AA660" s="52" t="n"/>
      <c r="AB660" s="52" t="n"/>
      <c r="AC660" s="52" t="n"/>
      <c r="AD660" s="52" t="n"/>
      <c r="AE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  <c r="AA661" s="52" t="n"/>
      <c r="AB661" s="52" t="n"/>
      <c r="AC661" s="52" t="n"/>
      <c r="AD661" s="52" t="n"/>
      <c r="AE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  <c r="AA662" s="52" t="n"/>
      <c r="AB662" s="52" t="n"/>
      <c r="AC662" s="52" t="n"/>
      <c r="AD662" s="52" t="n"/>
      <c r="AE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  <c r="AA663" s="52" t="n"/>
      <c r="AB663" s="52" t="n"/>
      <c r="AC663" s="52" t="n"/>
      <c r="AD663" s="52" t="n"/>
      <c r="AE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  <c r="AA664" s="52" t="n"/>
      <c r="AB664" s="52" t="n"/>
      <c r="AC664" s="52" t="n"/>
      <c r="AD664" s="52" t="n"/>
      <c r="AE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  <c r="AA665" s="52" t="n"/>
      <c r="AB665" s="52" t="n"/>
      <c r="AC665" s="52" t="n"/>
      <c r="AD665" s="52" t="n"/>
      <c r="AE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  <c r="AA666" s="52" t="n"/>
      <c r="AB666" s="52" t="n"/>
      <c r="AC666" s="52" t="n"/>
      <c r="AD666" s="52" t="n"/>
      <c r="AE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  <c r="AA667" s="52" t="n"/>
      <c r="AB667" s="52" t="n"/>
      <c r="AC667" s="52" t="n"/>
      <c r="AD667" s="52" t="n"/>
      <c r="AE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  <c r="AA668" s="52" t="n"/>
      <c r="AB668" s="52" t="n"/>
      <c r="AC668" s="52" t="n"/>
      <c r="AD668" s="52" t="n"/>
      <c r="AE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  <c r="AA669" s="52" t="n"/>
      <c r="AB669" s="52" t="n"/>
      <c r="AC669" s="52" t="n"/>
      <c r="AD669" s="52" t="n"/>
      <c r="AE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  <c r="AA670" s="52" t="n"/>
      <c r="AB670" s="52" t="n"/>
      <c r="AC670" s="52" t="n"/>
      <c r="AD670" s="52" t="n"/>
      <c r="AE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  <c r="AA671" s="52" t="n"/>
      <c r="AB671" s="52" t="n"/>
      <c r="AC671" s="52" t="n"/>
      <c r="AD671" s="52" t="n"/>
      <c r="AE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  <c r="AA672" s="52" t="n"/>
      <c r="AB672" s="52" t="n"/>
      <c r="AC672" s="52" t="n"/>
      <c r="AD672" s="52" t="n"/>
      <c r="AE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  <c r="AA673" s="52" t="n"/>
      <c r="AB673" s="52" t="n"/>
      <c r="AC673" s="52" t="n"/>
      <c r="AD673" s="52" t="n"/>
      <c r="AE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  <c r="AA674" s="52" t="n"/>
      <c r="AB674" s="52" t="n"/>
      <c r="AC674" s="52" t="n"/>
      <c r="AD674" s="52" t="n"/>
      <c r="AE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  <c r="AA675" s="52" t="n"/>
      <c r="AB675" s="52" t="n"/>
      <c r="AC675" s="52" t="n"/>
      <c r="AD675" s="52" t="n"/>
      <c r="AE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  <c r="AA676" s="52" t="n"/>
      <c r="AB676" s="52" t="n"/>
      <c r="AC676" s="52" t="n"/>
      <c r="AD676" s="52" t="n"/>
      <c r="AE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  <c r="AA677" s="52" t="n"/>
      <c r="AB677" s="52" t="n"/>
      <c r="AC677" s="52" t="n"/>
      <c r="AD677" s="52" t="n"/>
      <c r="AE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  <c r="AA678" s="52" t="n"/>
      <c r="AB678" s="52" t="n"/>
      <c r="AC678" s="52" t="n"/>
      <c r="AD678" s="52" t="n"/>
      <c r="AE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  <c r="AA679" s="52" t="n"/>
      <c r="AB679" s="52" t="n"/>
      <c r="AC679" s="52" t="n"/>
      <c r="AD679" s="52" t="n"/>
      <c r="AE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  <c r="AA680" s="52" t="n"/>
      <c r="AB680" s="52" t="n"/>
      <c r="AC680" s="52" t="n"/>
      <c r="AD680" s="52" t="n"/>
      <c r="AE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  <c r="AA681" s="52" t="n"/>
      <c r="AB681" s="52" t="n"/>
      <c r="AC681" s="52" t="n"/>
      <c r="AD681" s="52" t="n"/>
      <c r="AE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  <c r="AA682" s="52" t="n"/>
      <c r="AB682" s="52" t="n"/>
      <c r="AC682" s="52" t="n"/>
      <c r="AD682" s="52" t="n"/>
      <c r="AE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  <c r="AA683" s="52" t="n"/>
      <c r="AB683" s="52" t="n"/>
      <c r="AC683" s="52" t="n"/>
      <c r="AD683" s="52" t="n"/>
      <c r="AE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  <c r="AA684" s="52" t="n"/>
      <c r="AB684" s="52" t="n"/>
      <c r="AC684" s="52" t="n"/>
      <c r="AD684" s="52" t="n"/>
      <c r="AE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  <c r="AA685" s="52" t="n"/>
      <c r="AB685" s="52" t="n"/>
      <c r="AC685" s="52" t="n"/>
      <c r="AD685" s="52" t="n"/>
      <c r="AE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  <c r="AA686" s="52" t="n"/>
      <c r="AB686" s="52" t="n"/>
      <c r="AC686" s="52" t="n"/>
      <c r="AD686" s="52" t="n"/>
      <c r="AE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  <c r="AA687" s="52" t="n"/>
      <c r="AB687" s="52" t="n"/>
      <c r="AC687" s="52" t="n"/>
      <c r="AD687" s="52" t="n"/>
      <c r="AE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  <c r="AA688" s="52" t="n"/>
      <c r="AB688" s="52" t="n"/>
      <c r="AC688" s="52" t="n"/>
      <c r="AD688" s="52" t="n"/>
      <c r="AE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  <c r="AA689" s="52" t="n"/>
      <c r="AB689" s="52" t="n"/>
      <c r="AC689" s="52" t="n"/>
      <c r="AD689" s="52" t="n"/>
      <c r="AE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  <c r="AA690" s="52" t="n"/>
      <c r="AB690" s="52" t="n"/>
      <c r="AC690" s="52" t="n"/>
      <c r="AD690" s="52" t="n"/>
      <c r="AE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  <c r="AA691" s="52" t="n"/>
      <c r="AB691" s="52" t="n"/>
      <c r="AC691" s="52" t="n"/>
      <c r="AD691" s="52" t="n"/>
      <c r="AE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  <c r="AA692" s="52" t="n"/>
      <c r="AB692" s="52" t="n"/>
      <c r="AC692" s="52" t="n"/>
      <c r="AD692" s="52" t="n"/>
      <c r="AE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  <c r="AA693" s="52" t="n"/>
      <c r="AB693" s="52" t="n"/>
      <c r="AC693" s="52" t="n"/>
      <c r="AD693" s="52" t="n"/>
      <c r="AE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  <c r="AA694" s="52" t="n"/>
      <c r="AB694" s="52" t="n"/>
      <c r="AC694" s="52" t="n"/>
      <c r="AD694" s="52" t="n"/>
      <c r="AE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  <c r="AA695" s="52" t="n"/>
      <c r="AB695" s="52" t="n"/>
      <c r="AC695" s="52" t="n"/>
      <c r="AD695" s="52" t="n"/>
      <c r="AE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  <c r="AA696" s="52" t="n"/>
      <c r="AB696" s="52" t="n"/>
      <c r="AC696" s="52" t="n"/>
      <c r="AD696" s="52" t="n"/>
      <c r="AE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  <c r="AA697" s="52" t="n"/>
      <c r="AB697" s="52" t="n"/>
      <c r="AC697" s="52" t="n"/>
      <c r="AD697" s="52" t="n"/>
      <c r="AE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  <c r="AA698" s="52" t="n"/>
      <c r="AB698" s="52" t="n"/>
      <c r="AC698" s="52" t="n"/>
      <c r="AD698" s="52" t="n"/>
      <c r="AE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  <c r="AA699" s="52" t="n"/>
      <c r="AB699" s="52" t="n"/>
      <c r="AC699" s="52" t="n"/>
      <c r="AD699" s="52" t="n"/>
      <c r="AE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  <c r="AA700" s="52" t="n"/>
      <c r="AB700" s="52" t="n"/>
      <c r="AC700" s="52" t="n"/>
      <c r="AD700" s="52" t="n"/>
      <c r="AE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  <c r="AA701" s="52" t="n"/>
      <c r="AB701" s="52" t="n"/>
      <c r="AC701" s="52" t="n"/>
      <c r="AD701" s="52" t="n"/>
      <c r="AE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  <c r="AA702" s="52" t="n"/>
      <c r="AB702" s="52" t="n"/>
      <c r="AC702" s="52" t="n"/>
      <c r="AD702" s="52" t="n"/>
      <c r="AE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  <c r="AA703" s="52" t="n"/>
      <c r="AB703" s="52" t="n"/>
      <c r="AC703" s="52" t="n"/>
      <c r="AD703" s="52" t="n"/>
      <c r="AE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  <c r="AA704" s="52" t="n"/>
      <c r="AB704" s="52" t="n"/>
      <c r="AC704" s="52" t="n"/>
      <c r="AD704" s="52" t="n"/>
      <c r="AE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  <c r="AA705" s="52" t="n"/>
      <c r="AB705" s="52" t="n"/>
      <c r="AC705" s="52" t="n"/>
      <c r="AD705" s="52" t="n"/>
      <c r="AE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  <c r="AA706" s="52" t="n"/>
      <c r="AB706" s="52" t="n"/>
      <c r="AC706" s="52" t="n"/>
      <c r="AD706" s="52" t="n"/>
      <c r="AE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  <c r="AA707" s="52" t="n"/>
      <c r="AB707" s="52" t="n"/>
      <c r="AC707" s="52" t="n"/>
      <c r="AD707" s="52" t="n"/>
      <c r="AE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  <c r="AA708" s="52" t="n"/>
      <c r="AB708" s="52" t="n"/>
      <c r="AC708" s="52" t="n"/>
      <c r="AD708" s="52" t="n"/>
      <c r="AE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  <c r="AA709" s="52" t="n"/>
      <c r="AB709" s="52" t="n"/>
      <c r="AC709" s="52" t="n"/>
      <c r="AD709" s="52" t="n"/>
      <c r="AE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  <c r="AA710" s="52" t="n"/>
      <c r="AB710" s="52" t="n"/>
      <c r="AC710" s="52" t="n"/>
      <c r="AD710" s="52" t="n"/>
      <c r="AE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  <c r="AA711" s="52" t="n"/>
      <c r="AB711" s="52" t="n"/>
      <c r="AC711" s="52" t="n"/>
      <c r="AD711" s="52" t="n"/>
      <c r="AE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  <c r="AA712" s="52" t="n"/>
      <c r="AB712" s="52" t="n"/>
      <c r="AC712" s="52" t="n"/>
      <c r="AD712" s="52" t="n"/>
      <c r="AE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  <c r="AA713" s="52" t="n"/>
      <c r="AB713" s="52" t="n"/>
      <c r="AC713" s="52" t="n"/>
      <c r="AD713" s="52" t="n"/>
      <c r="AE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  <c r="AA714" s="52" t="n"/>
      <c r="AB714" s="52" t="n"/>
      <c r="AC714" s="52" t="n"/>
      <c r="AD714" s="52" t="n"/>
      <c r="AE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  <c r="AA715" s="52" t="n"/>
      <c r="AB715" s="52" t="n"/>
      <c r="AC715" s="52" t="n"/>
      <c r="AD715" s="52" t="n"/>
      <c r="AE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  <c r="AA716" s="52" t="n"/>
      <c r="AB716" s="52" t="n"/>
      <c r="AC716" s="52" t="n"/>
      <c r="AD716" s="52" t="n"/>
      <c r="AE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  <c r="AA717" s="52" t="n"/>
      <c r="AB717" s="52" t="n"/>
      <c r="AC717" s="52" t="n"/>
      <c r="AD717" s="52" t="n"/>
      <c r="AE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  <c r="AA718" s="52" t="n"/>
      <c r="AB718" s="52" t="n"/>
      <c r="AC718" s="52" t="n"/>
      <c r="AD718" s="52" t="n"/>
      <c r="AE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  <c r="AA719" s="52" t="n"/>
      <c r="AB719" s="52" t="n"/>
      <c r="AC719" s="52" t="n"/>
      <c r="AD719" s="52" t="n"/>
      <c r="AE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  <c r="AA720" s="52" t="n"/>
      <c r="AB720" s="52" t="n"/>
      <c r="AC720" s="52" t="n"/>
      <c r="AD720" s="52" t="n"/>
      <c r="AE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  <c r="AA721" s="52" t="n"/>
      <c r="AB721" s="52" t="n"/>
      <c r="AC721" s="52" t="n"/>
      <c r="AD721" s="52" t="n"/>
      <c r="AE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  <c r="AA722" s="52" t="n"/>
      <c r="AB722" s="52" t="n"/>
      <c r="AC722" s="52" t="n"/>
      <c r="AD722" s="52" t="n"/>
      <c r="AE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  <c r="AA723" s="52" t="n"/>
      <c r="AB723" s="52" t="n"/>
      <c r="AC723" s="52" t="n"/>
      <c r="AD723" s="52" t="n"/>
      <c r="AE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  <c r="AA724" s="52" t="n"/>
      <c r="AB724" s="52" t="n"/>
      <c r="AC724" s="52" t="n"/>
      <c r="AD724" s="52" t="n"/>
      <c r="AE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  <c r="AA725" s="52" t="n"/>
      <c r="AB725" s="52" t="n"/>
      <c r="AC725" s="52" t="n"/>
      <c r="AD725" s="52" t="n"/>
      <c r="AE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  <c r="AA726" s="52" t="n"/>
      <c r="AB726" s="52" t="n"/>
      <c r="AC726" s="52" t="n"/>
      <c r="AD726" s="52" t="n"/>
      <c r="AE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  <c r="AA727" s="52" t="n"/>
      <c r="AB727" s="52" t="n"/>
      <c r="AC727" s="52" t="n"/>
      <c r="AD727" s="52" t="n"/>
      <c r="AE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  <c r="AA728" s="52" t="n"/>
      <c r="AB728" s="52" t="n"/>
      <c r="AC728" s="52" t="n"/>
      <c r="AD728" s="52" t="n"/>
      <c r="AE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  <c r="AA729" s="52" t="n"/>
      <c r="AB729" s="52" t="n"/>
      <c r="AC729" s="52" t="n"/>
      <c r="AD729" s="52" t="n"/>
      <c r="AE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  <c r="AA730" s="52" t="n"/>
      <c r="AB730" s="52" t="n"/>
      <c r="AC730" s="52" t="n"/>
      <c r="AD730" s="52" t="n"/>
      <c r="AE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  <c r="AA731" s="52" t="n"/>
      <c r="AB731" s="52" t="n"/>
      <c r="AC731" s="52" t="n"/>
      <c r="AD731" s="52" t="n"/>
      <c r="AE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  <c r="AA732" s="52" t="n"/>
      <c r="AB732" s="52" t="n"/>
      <c r="AC732" s="52" t="n"/>
      <c r="AD732" s="52" t="n"/>
      <c r="AE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  <c r="AA733" s="52" t="n"/>
      <c r="AB733" s="52" t="n"/>
      <c r="AC733" s="52" t="n"/>
      <c r="AD733" s="52" t="n"/>
      <c r="AE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  <c r="AA734" s="52" t="n"/>
      <c r="AB734" s="52" t="n"/>
      <c r="AC734" s="52" t="n"/>
      <c r="AD734" s="52" t="n"/>
      <c r="AE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  <c r="AA735" s="52" t="n"/>
      <c r="AB735" s="52" t="n"/>
      <c r="AC735" s="52" t="n"/>
      <c r="AD735" s="52" t="n"/>
      <c r="AE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  <c r="AA736" s="52" t="n"/>
      <c r="AB736" s="52" t="n"/>
      <c r="AC736" s="52" t="n"/>
      <c r="AD736" s="52" t="n"/>
      <c r="AE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  <c r="AA737" s="52" t="n"/>
      <c r="AB737" s="52" t="n"/>
      <c r="AC737" s="52" t="n"/>
      <c r="AD737" s="52" t="n"/>
      <c r="AE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  <c r="AA738" s="52" t="n"/>
      <c r="AB738" s="52" t="n"/>
      <c r="AC738" s="52" t="n"/>
      <c r="AD738" s="52" t="n"/>
      <c r="AE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  <c r="AA739" s="52" t="n"/>
      <c r="AB739" s="52" t="n"/>
      <c r="AC739" s="52" t="n"/>
      <c r="AD739" s="52" t="n"/>
      <c r="AE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  <c r="AA740" s="52" t="n"/>
      <c r="AB740" s="52" t="n"/>
      <c r="AC740" s="52" t="n"/>
      <c r="AD740" s="52" t="n"/>
      <c r="AE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  <c r="AA741" s="52" t="n"/>
      <c r="AB741" s="52" t="n"/>
      <c r="AC741" s="52" t="n"/>
      <c r="AD741" s="52" t="n"/>
      <c r="AE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  <c r="AA742" s="52" t="n"/>
      <c r="AB742" s="52" t="n"/>
      <c r="AC742" s="52" t="n"/>
      <c r="AD742" s="52" t="n"/>
      <c r="AE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  <c r="AA743" s="52" t="n"/>
      <c r="AB743" s="52" t="n"/>
      <c r="AC743" s="52" t="n"/>
      <c r="AD743" s="52" t="n"/>
      <c r="AE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  <c r="AA744" s="52" t="n"/>
      <c r="AB744" s="52" t="n"/>
      <c r="AC744" s="52" t="n"/>
      <c r="AD744" s="52" t="n"/>
      <c r="AE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  <c r="AA745" s="52" t="n"/>
      <c r="AB745" s="52" t="n"/>
      <c r="AC745" s="52" t="n"/>
      <c r="AD745" s="52" t="n"/>
      <c r="AE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  <c r="AA746" s="52" t="n"/>
      <c r="AB746" s="52" t="n"/>
      <c r="AC746" s="52" t="n"/>
      <c r="AD746" s="52" t="n"/>
      <c r="AE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  <c r="AA747" s="52" t="n"/>
      <c r="AB747" s="52" t="n"/>
      <c r="AC747" s="52" t="n"/>
      <c r="AD747" s="52" t="n"/>
      <c r="AE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  <c r="AA748" s="52" t="n"/>
      <c r="AB748" s="52" t="n"/>
      <c r="AC748" s="52" t="n"/>
      <c r="AD748" s="52" t="n"/>
      <c r="AE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  <c r="AA749" s="52" t="n"/>
      <c r="AB749" s="52" t="n"/>
      <c r="AC749" s="52" t="n"/>
      <c r="AD749" s="52" t="n"/>
      <c r="AE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  <c r="AA750" s="52" t="n"/>
      <c r="AB750" s="52" t="n"/>
      <c r="AC750" s="52" t="n"/>
      <c r="AD750" s="52" t="n"/>
      <c r="AE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  <c r="AA751" s="52" t="n"/>
      <c r="AB751" s="52" t="n"/>
      <c r="AC751" s="52" t="n"/>
      <c r="AD751" s="52" t="n"/>
      <c r="AE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  <c r="AA752" s="52" t="n"/>
      <c r="AB752" s="52" t="n"/>
      <c r="AC752" s="52" t="n"/>
      <c r="AD752" s="52" t="n"/>
      <c r="AE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  <c r="AA753" s="52" t="n"/>
      <c r="AB753" s="52" t="n"/>
      <c r="AC753" s="52" t="n"/>
      <c r="AD753" s="52" t="n"/>
      <c r="AE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  <c r="AA754" s="52" t="n"/>
      <c r="AB754" s="52" t="n"/>
      <c r="AC754" s="52" t="n"/>
      <c r="AD754" s="52" t="n"/>
      <c r="AE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  <c r="AA755" s="52" t="n"/>
      <c r="AB755" s="52" t="n"/>
      <c r="AC755" s="52" t="n"/>
      <c r="AD755" s="52" t="n"/>
      <c r="AE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  <c r="AA756" s="52" t="n"/>
      <c r="AB756" s="52" t="n"/>
      <c r="AC756" s="52" t="n"/>
      <c r="AD756" s="52" t="n"/>
      <c r="AE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  <c r="AA757" s="52" t="n"/>
      <c r="AB757" s="52" t="n"/>
      <c r="AC757" s="52" t="n"/>
      <c r="AD757" s="52" t="n"/>
      <c r="AE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  <c r="AA758" s="52" t="n"/>
      <c r="AB758" s="52" t="n"/>
      <c r="AC758" s="52" t="n"/>
      <c r="AD758" s="52" t="n"/>
      <c r="AE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  <c r="AA759" s="52" t="n"/>
      <c r="AB759" s="52" t="n"/>
      <c r="AC759" s="52" t="n"/>
      <c r="AD759" s="52" t="n"/>
      <c r="AE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  <c r="AA760" s="52" t="n"/>
      <c r="AB760" s="52" t="n"/>
      <c r="AC760" s="52" t="n"/>
      <c r="AD760" s="52" t="n"/>
      <c r="AE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  <c r="AA761" s="52" t="n"/>
      <c r="AB761" s="52" t="n"/>
      <c r="AC761" s="52" t="n"/>
      <c r="AD761" s="52" t="n"/>
      <c r="AE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  <c r="AA762" s="52" t="n"/>
      <c r="AB762" s="52" t="n"/>
      <c r="AC762" s="52" t="n"/>
      <c r="AD762" s="52" t="n"/>
      <c r="AE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  <c r="AA763" s="52" t="n"/>
      <c r="AB763" s="52" t="n"/>
      <c r="AC763" s="52" t="n"/>
      <c r="AD763" s="52" t="n"/>
      <c r="AE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  <c r="AA764" s="52" t="n"/>
      <c r="AB764" s="52" t="n"/>
      <c r="AC764" s="52" t="n"/>
      <c r="AD764" s="52" t="n"/>
      <c r="AE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  <c r="AA765" s="52" t="n"/>
      <c r="AB765" s="52" t="n"/>
      <c r="AC765" s="52" t="n"/>
      <c r="AD765" s="52" t="n"/>
      <c r="AE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  <c r="AA766" s="52" t="n"/>
      <c r="AB766" s="52" t="n"/>
      <c r="AC766" s="52" t="n"/>
      <c r="AD766" s="52" t="n"/>
      <c r="AE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  <c r="AA767" s="52" t="n"/>
      <c r="AB767" s="52" t="n"/>
      <c r="AC767" s="52" t="n"/>
      <c r="AD767" s="52" t="n"/>
      <c r="AE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  <c r="AA768" s="52" t="n"/>
      <c r="AB768" s="52" t="n"/>
      <c r="AC768" s="52" t="n"/>
      <c r="AD768" s="52" t="n"/>
      <c r="AE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  <c r="AA769" s="52" t="n"/>
      <c r="AB769" s="52" t="n"/>
      <c r="AC769" s="52" t="n"/>
      <c r="AD769" s="52" t="n"/>
      <c r="AE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  <c r="AA770" s="52" t="n"/>
      <c r="AB770" s="52" t="n"/>
      <c r="AC770" s="52" t="n"/>
      <c r="AD770" s="52" t="n"/>
      <c r="AE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  <c r="AA771" s="52" t="n"/>
      <c r="AB771" s="52" t="n"/>
      <c r="AC771" s="52" t="n"/>
      <c r="AD771" s="52" t="n"/>
      <c r="AE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  <c r="AA772" s="52" t="n"/>
      <c r="AB772" s="52" t="n"/>
      <c r="AC772" s="52" t="n"/>
      <c r="AD772" s="52" t="n"/>
      <c r="AE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  <c r="AA773" s="52" t="n"/>
      <c r="AB773" s="52" t="n"/>
      <c r="AC773" s="52" t="n"/>
      <c r="AD773" s="52" t="n"/>
      <c r="AE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  <c r="AA774" s="52" t="n"/>
      <c r="AB774" s="52" t="n"/>
      <c r="AC774" s="52" t="n"/>
      <c r="AD774" s="52" t="n"/>
      <c r="AE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  <c r="AA775" s="52" t="n"/>
      <c r="AB775" s="52" t="n"/>
      <c r="AC775" s="52" t="n"/>
      <c r="AD775" s="52" t="n"/>
      <c r="AE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  <c r="AA776" s="52" t="n"/>
      <c r="AB776" s="52" t="n"/>
      <c r="AC776" s="52" t="n"/>
      <c r="AD776" s="52" t="n"/>
      <c r="AE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  <c r="AA777" s="52" t="n"/>
      <c r="AB777" s="52" t="n"/>
      <c r="AC777" s="52" t="n"/>
      <c r="AD777" s="52" t="n"/>
      <c r="AE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  <c r="AA778" s="52" t="n"/>
      <c r="AB778" s="52" t="n"/>
      <c r="AC778" s="52" t="n"/>
      <c r="AD778" s="52" t="n"/>
      <c r="AE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  <c r="AA779" s="52" t="n"/>
      <c r="AB779" s="52" t="n"/>
      <c r="AC779" s="52" t="n"/>
      <c r="AD779" s="52" t="n"/>
      <c r="AE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  <c r="AA780" s="52" t="n"/>
      <c r="AB780" s="52" t="n"/>
      <c r="AC780" s="52" t="n"/>
      <c r="AD780" s="52" t="n"/>
      <c r="AE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  <c r="AA781" s="52" t="n"/>
      <c r="AB781" s="52" t="n"/>
      <c r="AC781" s="52" t="n"/>
      <c r="AD781" s="52" t="n"/>
      <c r="AE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  <c r="AA782" s="52" t="n"/>
      <c r="AB782" s="52" t="n"/>
      <c r="AC782" s="52" t="n"/>
      <c r="AD782" s="52" t="n"/>
      <c r="AE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  <c r="AA783" s="52" t="n"/>
      <c r="AB783" s="52" t="n"/>
      <c r="AC783" s="52" t="n"/>
      <c r="AD783" s="52" t="n"/>
      <c r="AE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  <c r="AA784" s="52" t="n"/>
      <c r="AB784" s="52" t="n"/>
      <c r="AC784" s="52" t="n"/>
      <c r="AD784" s="52" t="n"/>
      <c r="AE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  <c r="AA785" s="52" t="n"/>
      <c r="AB785" s="52" t="n"/>
      <c r="AC785" s="52" t="n"/>
      <c r="AD785" s="52" t="n"/>
      <c r="AE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  <c r="AA786" s="52" t="n"/>
      <c r="AB786" s="52" t="n"/>
      <c r="AC786" s="52" t="n"/>
      <c r="AD786" s="52" t="n"/>
      <c r="AE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  <c r="AA787" s="52" t="n"/>
      <c r="AB787" s="52" t="n"/>
      <c r="AC787" s="52" t="n"/>
      <c r="AD787" s="52" t="n"/>
      <c r="AE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  <c r="AA788" s="52" t="n"/>
      <c r="AB788" s="52" t="n"/>
      <c r="AC788" s="52" t="n"/>
      <c r="AD788" s="52" t="n"/>
      <c r="AE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  <c r="AA789" s="52" t="n"/>
      <c r="AB789" s="52" t="n"/>
      <c r="AC789" s="52" t="n"/>
      <c r="AD789" s="52" t="n"/>
      <c r="AE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  <c r="AA790" s="52" t="n"/>
      <c r="AB790" s="52" t="n"/>
      <c r="AC790" s="52" t="n"/>
      <c r="AD790" s="52" t="n"/>
      <c r="AE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  <c r="AA791" s="52" t="n"/>
      <c r="AB791" s="52" t="n"/>
      <c r="AC791" s="52" t="n"/>
      <c r="AD791" s="52" t="n"/>
      <c r="AE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  <c r="AA792" s="52" t="n"/>
      <c r="AB792" s="52" t="n"/>
      <c r="AC792" s="52" t="n"/>
      <c r="AD792" s="52" t="n"/>
      <c r="AE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  <c r="AA793" s="52" t="n"/>
      <c r="AB793" s="52" t="n"/>
      <c r="AC793" s="52" t="n"/>
      <c r="AD793" s="52" t="n"/>
      <c r="AE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  <c r="AA794" s="52" t="n"/>
      <c r="AB794" s="52" t="n"/>
      <c r="AC794" s="52" t="n"/>
      <c r="AD794" s="52" t="n"/>
      <c r="AE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  <c r="AA795" s="52" t="n"/>
      <c r="AB795" s="52" t="n"/>
      <c r="AC795" s="52" t="n"/>
      <c r="AD795" s="52" t="n"/>
      <c r="AE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  <c r="AA796" s="52" t="n"/>
      <c r="AB796" s="52" t="n"/>
      <c r="AC796" s="52" t="n"/>
      <c r="AD796" s="52" t="n"/>
      <c r="AE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  <c r="AA797" s="52" t="n"/>
      <c r="AB797" s="52" t="n"/>
      <c r="AC797" s="52" t="n"/>
      <c r="AD797" s="52" t="n"/>
      <c r="AE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  <c r="AA798" s="52" t="n"/>
      <c r="AB798" s="52" t="n"/>
      <c r="AC798" s="52" t="n"/>
      <c r="AD798" s="52" t="n"/>
      <c r="AE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  <c r="AA799" s="52" t="n"/>
      <c r="AB799" s="52" t="n"/>
      <c r="AC799" s="52" t="n"/>
      <c r="AD799" s="52" t="n"/>
      <c r="AE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  <c r="AA800" s="52" t="n"/>
      <c r="AB800" s="52" t="n"/>
      <c r="AC800" s="52" t="n"/>
      <c r="AD800" s="52" t="n"/>
      <c r="AE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  <c r="AA801" s="52" t="n"/>
      <c r="AB801" s="52" t="n"/>
      <c r="AC801" s="52" t="n"/>
      <c r="AD801" s="52" t="n"/>
      <c r="AE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  <c r="AA802" s="52" t="n"/>
      <c r="AB802" s="52" t="n"/>
      <c r="AC802" s="52" t="n"/>
      <c r="AD802" s="52" t="n"/>
      <c r="AE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  <c r="AA803" s="52" t="n"/>
      <c r="AB803" s="52" t="n"/>
      <c r="AC803" s="52" t="n"/>
      <c r="AD803" s="52" t="n"/>
      <c r="AE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  <c r="AA804" s="52" t="n"/>
      <c r="AB804" s="52" t="n"/>
      <c r="AC804" s="52" t="n"/>
      <c r="AD804" s="52" t="n"/>
      <c r="AE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  <c r="AA805" s="52" t="n"/>
      <c r="AB805" s="52" t="n"/>
      <c r="AC805" s="52" t="n"/>
      <c r="AD805" s="52" t="n"/>
      <c r="AE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  <c r="AA806" s="52" t="n"/>
      <c r="AB806" s="52" t="n"/>
      <c r="AC806" s="52" t="n"/>
      <c r="AD806" s="52" t="n"/>
      <c r="AE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  <c r="AA807" s="52" t="n"/>
      <c r="AB807" s="52" t="n"/>
      <c r="AC807" s="52" t="n"/>
      <c r="AD807" s="52" t="n"/>
      <c r="AE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  <c r="AA808" s="52" t="n"/>
      <c r="AB808" s="52" t="n"/>
      <c r="AC808" s="52" t="n"/>
      <c r="AD808" s="52" t="n"/>
      <c r="AE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  <c r="AA809" s="52" t="n"/>
      <c r="AB809" s="52" t="n"/>
      <c r="AC809" s="52" t="n"/>
      <c r="AD809" s="52" t="n"/>
      <c r="AE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  <c r="AA810" s="52" t="n"/>
      <c r="AB810" s="52" t="n"/>
      <c r="AC810" s="52" t="n"/>
      <c r="AD810" s="52" t="n"/>
      <c r="AE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  <c r="AA811" s="52" t="n"/>
      <c r="AB811" s="52" t="n"/>
      <c r="AC811" s="52" t="n"/>
      <c r="AD811" s="52" t="n"/>
      <c r="AE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  <c r="AA812" s="52" t="n"/>
      <c r="AB812" s="52" t="n"/>
      <c r="AC812" s="52" t="n"/>
      <c r="AD812" s="52" t="n"/>
      <c r="AE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  <c r="AA813" s="52" t="n"/>
      <c r="AB813" s="52" t="n"/>
      <c r="AC813" s="52" t="n"/>
      <c r="AD813" s="52" t="n"/>
      <c r="AE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  <c r="AA814" s="52" t="n"/>
      <c r="AB814" s="52" t="n"/>
      <c r="AC814" s="52" t="n"/>
      <c r="AD814" s="52" t="n"/>
      <c r="AE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  <c r="AA815" s="52" t="n"/>
      <c r="AB815" s="52" t="n"/>
      <c r="AC815" s="52" t="n"/>
      <c r="AD815" s="52" t="n"/>
      <c r="AE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  <c r="AA816" s="52" t="n"/>
      <c r="AB816" s="52" t="n"/>
      <c r="AC816" s="52" t="n"/>
      <c r="AD816" s="52" t="n"/>
      <c r="AE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  <c r="AA817" s="52" t="n"/>
      <c r="AB817" s="52" t="n"/>
      <c r="AC817" s="52" t="n"/>
      <c r="AD817" s="52" t="n"/>
      <c r="AE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  <c r="AA818" s="52" t="n"/>
      <c r="AB818" s="52" t="n"/>
      <c r="AC818" s="52" t="n"/>
      <c r="AD818" s="52" t="n"/>
      <c r="AE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  <c r="AA819" s="52" t="n"/>
      <c r="AB819" s="52" t="n"/>
      <c r="AC819" s="52" t="n"/>
      <c r="AD819" s="52" t="n"/>
      <c r="AE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  <c r="AA820" s="52" t="n"/>
      <c r="AB820" s="52" t="n"/>
      <c r="AC820" s="52" t="n"/>
      <c r="AD820" s="52" t="n"/>
      <c r="AE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  <c r="AA821" s="52" t="n"/>
      <c r="AB821" s="52" t="n"/>
      <c r="AC821" s="52" t="n"/>
      <c r="AD821" s="52" t="n"/>
      <c r="AE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  <c r="AA822" s="52" t="n"/>
      <c r="AB822" s="52" t="n"/>
      <c r="AC822" s="52" t="n"/>
      <c r="AD822" s="52" t="n"/>
      <c r="AE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  <c r="AA823" s="52" t="n"/>
      <c r="AB823" s="52" t="n"/>
      <c r="AC823" s="52" t="n"/>
      <c r="AD823" s="52" t="n"/>
      <c r="AE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  <c r="AA824" s="52" t="n"/>
      <c r="AB824" s="52" t="n"/>
      <c r="AC824" s="52" t="n"/>
      <c r="AD824" s="52" t="n"/>
      <c r="AE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  <c r="AA825" s="52" t="n"/>
      <c r="AB825" s="52" t="n"/>
      <c r="AC825" s="52" t="n"/>
      <c r="AD825" s="52" t="n"/>
      <c r="AE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  <c r="AA826" s="52" t="n"/>
      <c r="AB826" s="52" t="n"/>
      <c r="AC826" s="52" t="n"/>
      <c r="AD826" s="52" t="n"/>
      <c r="AE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  <c r="AA827" s="52" t="n"/>
      <c r="AB827" s="52" t="n"/>
      <c r="AC827" s="52" t="n"/>
      <c r="AD827" s="52" t="n"/>
      <c r="AE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  <c r="AA828" s="52" t="n"/>
      <c r="AB828" s="52" t="n"/>
      <c r="AC828" s="52" t="n"/>
      <c r="AD828" s="52" t="n"/>
      <c r="AE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  <c r="AA829" s="52" t="n"/>
      <c r="AB829" s="52" t="n"/>
      <c r="AC829" s="52" t="n"/>
      <c r="AD829" s="52" t="n"/>
      <c r="AE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  <c r="AA830" s="52" t="n"/>
      <c r="AB830" s="52" t="n"/>
      <c r="AC830" s="52" t="n"/>
      <c r="AD830" s="52" t="n"/>
      <c r="AE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  <c r="AA831" s="52" t="n"/>
      <c r="AB831" s="52" t="n"/>
      <c r="AC831" s="52" t="n"/>
      <c r="AD831" s="52" t="n"/>
      <c r="AE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  <c r="AA832" s="52" t="n"/>
      <c r="AB832" s="52" t="n"/>
      <c r="AC832" s="52" t="n"/>
      <c r="AD832" s="52" t="n"/>
      <c r="AE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  <c r="AA833" s="52" t="n"/>
      <c r="AB833" s="52" t="n"/>
      <c r="AC833" s="52" t="n"/>
      <c r="AD833" s="52" t="n"/>
      <c r="AE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  <c r="AA834" s="52" t="n"/>
      <c r="AB834" s="52" t="n"/>
      <c r="AC834" s="52" t="n"/>
      <c r="AD834" s="52" t="n"/>
      <c r="AE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  <c r="AA835" s="52" t="n"/>
      <c r="AB835" s="52" t="n"/>
      <c r="AC835" s="52" t="n"/>
      <c r="AD835" s="52" t="n"/>
      <c r="AE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  <c r="AA836" s="52" t="n"/>
      <c r="AB836" s="52" t="n"/>
      <c r="AC836" s="52" t="n"/>
      <c r="AD836" s="52" t="n"/>
      <c r="AE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  <c r="AA837" s="52" t="n"/>
      <c r="AB837" s="52" t="n"/>
      <c r="AC837" s="52" t="n"/>
      <c r="AD837" s="52" t="n"/>
      <c r="AE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  <c r="AA838" s="52" t="n"/>
      <c r="AB838" s="52" t="n"/>
      <c r="AC838" s="52" t="n"/>
      <c r="AD838" s="52" t="n"/>
      <c r="AE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  <c r="AA839" s="52" t="n"/>
      <c r="AB839" s="52" t="n"/>
      <c r="AC839" s="52" t="n"/>
      <c r="AD839" s="52" t="n"/>
      <c r="AE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  <c r="AA840" s="52" t="n"/>
      <c r="AB840" s="52" t="n"/>
      <c r="AC840" s="52" t="n"/>
      <c r="AD840" s="52" t="n"/>
      <c r="AE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  <c r="AA841" s="52" t="n"/>
      <c r="AB841" s="52" t="n"/>
      <c r="AC841" s="52" t="n"/>
      <c r="AD841" s="52" t="n"/>
      <c r="AE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  <c r="AA842" s="52" t="n"/>
      <c r="AB842" s="52" t="n"/>
      <c r="AC842" s="52" t="n"/>
      <c r="AD842" s="52" t="n"/>
      <c r="AE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  <c r="AA843" s="52" t="n"/>
      <c r="AB843" s="52" t="n"/>
      <c r="AC843" s="52" t="n"/>
      <c r="AD843" s="52" t="n"/>
      <c r="AE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  <c r="AA844" s="52" t="n"/>
      <c r="AB844" s="52" t="n"/>
      <c r="AC844" s="52" t="n"/>
      <c r="AD844" s="52" t="n"/>
      <c r="AE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  <c r="AA845" s="52" t="n"/>
      <c r="AB845" s="52" t="n"/>
      <c r="AC845" s="52" t="n"/>
      <c r="AD845" s="52" t="n"/>
      <c r="AE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  <c r="AA846" s="52" t="n"/>
      <c r="AB846" s="52" t="n"/>
      <c r="AC846" s="52" t="n"/>
      <c r="AD846" s="52" t="n"/>
      <c r="AE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  <c r="AA847" s="52" t="n"/>
      <c r="AB847" s="52" t="n"/>
      <c r="AC847" s="52" t="n"/>
      <c r="AD847" s="52" t="n"/>
      <c r="AE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  <c r="AA848" s="52" t="n"/>
      <c r="AB848" s="52" t="n"/>
      <c r="AC848" s="52" t="n"/>
      <c r="AD848" s="52" t="n"/>
      <c r="AE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  <c r="AA849" s="52" t="n"/>
      <c r="AB849" s="52" t="n"/>
      <c r="AC849" s="52" t="n"/>
      <c r="AD849" s="52" t="n"/>
      <c r="AE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  <c r="AA850" s="52" t="n"/>
      <c r="AB850" s="52" t="n"/>
      <c r="AC850" s="52" t="n"/>
      <c r="AD850" s="52" t="n"/>
      <c r="AE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  <c r="AA851" s="52" t="n"/>
      <c r="AB851" s="52" t="n"/>
      <c r="AC851" s="52" t="n"/>
      <c r="AD851" s="52" t="n"/>
      <c r="AE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  <c r="AA852" s="52" t="n"/>
      <c r="AB852" s="52" t="n"/>
      <c r="AC852" s="52" t="n"/>
      <c r="AD852" s="52" t="n"/>
      <c r="AE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  <c r="AA853" s="52" t="n"/>
      <c r="AB853" s="52" t="n"/>
      <c r="AC853" s="52" t="n"/>
      <c r="AD853" s="52" t="n"/>
      <c r="AE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  <c r="AA854" s="52" t="n"/>
      <c r="AB854" s="52" t="n"/>
      <c r="AC854" s="52" t="n"/>
      <c r="AD854" s="52" t="n"/>
      <c r="AE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  <c r="AA855" s="52" t="n"/>
      <c r="AB855" s="52" t="n"/>
      <c r="AC855" s="52" t="n"/>
      <c r="AD855" s="52" t="n"/>
      <c r="AE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  <c r="AA856" s="52" t="n"/>
      <c r="AB856" s="52" t="n"/>
      <c r="AC856" s="52" t="n"/>
      <c r="AD856" s="52" t="n"/>
      <c r="AE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  <c r="AA857" s="52" t="n"/>
      <c r="AB857" s="52" t="n"/>
      <c r="AC857" s="52" t="n"/>
      <c r="AD857" s="52" t="n"/>
      <c r="AE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  <c r="AA858" s="52" t="n"/>
      <c r="AB858" s="52" t="n"/>
      <c r="AC858" s="52" t="n"/>
      <c r="AD858" s="52" t="n"/>
      <c r="AE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  <c r="AA859" s="52" t="n"/>
      <c r="AB859" s="52" t="n"/>
      <c r="AC859" s="52" t="n"/>
      <c r="AD859" s="52" t="n"/>
      <c r="AE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  <c r="AA860" s="52" t="n"/>
      <c r="AB860" s="52" t="n"/>
      <c r="AC860" s="52" t="n"/>
      <c r="AD860" s="52" t="n"/>
      <c r="AE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  <c r="AA861" s="52" t="n"/>
      <c r="AB861" s="52" t="n"/>
      <c r="AC861" s="52" t="n"/>
      <c r="AD861" s="52" t="n"/>
      <c r="AE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  <c r="AA862" s="52" t="n"/>
      <c r="AB862" s="52" t="n"/>
      <c r="AC862" s="52" t="n"/>
      <c r="AD862" s="52" t="n"/>
      <c r="AE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  <c r="AA863" s="52" t="n"/>
      <c r="AB863" s="52" t="n"/>
      <c r="AC863" s="52" t="n"/>
      <c r="AD863" s="52" t="n"/>
      <c r="AE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  <c r="AA864" s="52" t="n"/>
      <c r="AB864" s="52" t="n"/>
      <c r="AC864" s="52" t="n"/>
      <c r="AD864" s="52" t="n"/>
      <c r="AE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  <c r="AA865" s="52" t="n"/>
      <c r="AB865" s="52" t="n"/>
      <c r="AC865" s="52" t="n"/>
      <c r="AD865" s="52" t="n"/>
      <c r="AE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  <c r="AA866" s="52" t="n"/>
      <c r="AB866" s="52" t="n"/>
      <c r="AC866" s="52" t="n"/>
      <c r="AD866" s="52" t="n"/>
      <c r="AE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  <c r="AA867" s="52" t="n"/>
      <c r="AB867" s="52" t="n"/>
      <c r="AC867" s="52" t="n"/>
      <c r="AD867" s="52" t="n"/>
      <c r="AE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  <c r="AA868" s="52" t="n"/>
      <c r="AB868" s="52" t="n"/>
      <c r="AC868" s="52" t="n"/>
      <c r="AD868" s="52" t="n"/>
      <c r="AE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  <c r="AA869" s="52" t="n"/>
      <c r="AB869" s="52" t="n"/>
      <c r="AC869" s="52" t="n"/>
      <c r="AD869" s="52" t="n"/>
      <c r="AE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  <c r="AA870" s="52" t="n"/>
      <c r="AB870" s="52" t="n"/>
      <c r="AC870" s="52" t="n"/>
      <c r="AD870" s="52" t="n"/>
      <c r="AE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  <c r="AA871" s="52" t="n"/>
      <c r="AB871" s="52" t="n"/>
      <c r="AC871" s="52" t="n"/>
      <c r="AD871" s="52" t="n"/>
      <c r="AE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  <c r="AA872" s="52" t="n"/>
      <c r="AB872" s="52" t="n"/>
      <c r="AC872" s="52" t="n"/>
      <c r="AD872" s="52" t="n"/>
      <c r="AE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  <c r="AA873" s="52" t="n"/>
      <c r="AB873" s="52" t="n"/>
      <c r="AC873" s="52" t="n"/>
      <c r="AD873" s="52" t="n"/>
      <c r="AE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  <c r="AA874" s="52" t="n"/>
      <c r="AB874" s="52" t="n"/>
      <c r="AC874" s="52" t="n"/>
      <c r="AD874" s="52" t="n"/>
      <c r="AE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  <c r="AA875" s="52" t="n"/>
      <c r="AB875" s="52" t="n"/>
      <c r="AC875" s="52" t="n"/>
      <c r="AD875" s="52" t="n"/>
      <c r="AE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  <c r="AA876" s="52" t="n"/>
      <c r="AB876" s="52" t="n"/>
      <c r="AC876" s="52" t="n"/>
      <c r="AD876" s="52" t="n"/>
      <c r="AE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  <c r="AA877" s="52" t="n"/>
      <c r="AB877" s="52" t="n"/>
      <c r="AC877" s="52" t="n"/>
      <c r="AD877" s="52" t="n"/>
      <c r="AE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  <c r="AA878" s="52" t="n"/>
      <c r="AB878" s="52" t="n"/>
      <c r="AC878" s="52" t="n"/>
      <c r="AD878" s="52" t="n"/>
      <c r="AE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  <c r="AA879" s="52" t="n"/>
      <c r="AB879" s="52" t="n"/>
      <c r="AC879" s="52" t="n"/>
      <c r="AD879" s="52" t="n"/>
      <c r="AE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  <c r="AA880" s="52" t="n"/>
      <c r="AB880" s="52" t="n"/>
      <c r="AC880" s="52" t="n"/>
      <c r="AD880" s="52" t="n"/>
      <c r="AE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  <c r="AA881" s="52" t="n"/>
      <c r="AB881" s="52" t="n"/>
      <c r="AC881" s="52" t="n"/>
      <c r="AD881" s="52" t="n"/>
      <c r="AE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  <c r="AA882" s="52" t="n"/>
      <c r="AB882" s="52" t="n"/>
      <c r="AC882" s="52" t="n"/>
      <c r="AD882" s="52" t="n"/>
      <c r="AE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  <c r="AA883" s="52" t="n"/>
      <c r="AB883" s="52" t="n"/>
      <c r="AC883" s="52" t="n"/>
      <c r="AD883" s="52" t="n"/>
      <c r="AE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  <c r="AA884" s="52" t="n"/>
      <c r="AB884" s="52" t="n"/>
      <c r="AC884" s="52" t="n"/>
      <c r="AD884" s="52" t="n"/>
      <c r="AE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  <c r="AA885" s="52" t="n"/>
      <c r="AB885" s="52" t="n"/>
      <c r="AC885" s="52" t="n"/>
      <c r="AD885" s="52" t="n"/>
      <c r="AE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  <c r="AA886" s="52" t="n"/>
      <c r="AB886" s="52" t="n"/>
      <c r="AC886" s="52" t="n"/>
      <c r="AD886" s="52" t="n"/>
      <c r="AE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  <c r="AA887" s="52" t="n"/>
      <c r="AB887" s="52" t="n"/>
      <c r="AC887" s="52" t="n"/>
      <c r="AD887" s="52" t="n"/>
      <c r="AE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  <c r="AA888" s="52" t="n"/>
      <c r="AB888" s="52" t="n"/>
      <c r="AC888" s="52" t="n"/>
      <c r="AD888" s="52" t="n"/>
      <c r="AE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  <c r="AA889" s="52" t="n"/>
      <c r="AB889" s="52" t="n"/>
      <c r="AC889" s="52" t="n"/>
      <c r="AD889" s="52" t="n"/>
      <c r="AE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  <c r="AA890" s="52" t="n"/>
      <c r="AB890" s="52" t="n"/>
      <c r="AC890" s="52" t="n"/>
      <c r="AD890" s="52" t="n"/>
      <c r="AE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  <c r="AA891" s="52" t="n"/>
      <c r="AB891" s="52" t="n"/>
      <c r="AC891" s="52" t="n"/>
      <c r="AD891" s="52" t="n"/>
      <c r="AE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  <c r="AA892" s="52" t="n"/>
      <c r="AB892" s="52" t="n"/>
      <c r="AC892" s="52" t="n"/>
      <c r="AD892" s="52" t="n"/>
      <c r="AE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  <c r="AA893" s="52" t="n"/>
      <c r="AB893" s="52" t="n"/>
      <c r="AC893" s="52" t="n"/>
      <c r="AD893" s="52" t="n"/>
      <c r="AE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  <c r="AA894" s="52" t="n"/>
      <c r="AB894" s="52" t="n"/>
      <c r="AC894" s="52" t="n"/>
      <c r="AD894" s="52" t="n"/>
      <c r="AE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  <c r="AA895" s="52" t="n"/>
      <c r="AB895" s="52" t="n"/>
      <c r="AC895" s="52" t="n"/>
      <c r="AD895" s="52" t="n"/>
      <c r="AE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  <c r="AA896" s="52" t="n"/>
      <c r="AB896" s="52" t="n"/>
      <c r="AC896" s="52" t="n"/>
      <c r="AD896" s="52" t="n"/>
      <c r="AE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  <c r="AA897" s="52" t="n"/>
      <c r="AB897" s="52" t="n"/>
      <c r="AC897" s="52" t="n"/>
      <c r="AD897" s="52" t="n"/>
      <c r="AE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  <c r="AA898" s="52" t="n"/>
      <c r="AB898" s="52" t="n"/>
      <c r="AC898" s="52" t="n"/>
      <c r="AD898" s="52" t="n"/>
      <c r="AE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  <c r="AA899" s="52" t="n"/>
      <c r="AB899" s="52" t="n"/>
      <c r="AC899" s="52" t="n"/>
      <c r="AD899" s="52" t="n"/>
      <c r="AE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  <c r="AA900" s="52" t="n"/>
      <c r="AB900" s="52" t="n"/>
      <c r="AC900" s="52" t="n"/>
      <c r="AD900" s="52" t="n"/>
      <c r="AE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  <c r="AA901" s="52" t="n"/>
      <c r="AB901" s="52" t="n"/>
      <c r="AC901" s="52" t="n"/>
      <c r="AD901" s="52" t="n"/>
      <c r="AE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  <c r="AA902" s="52" t="n"/>
      <c r="AB902" s="52" t="n"/>
      <c r="AC902" s="52" t="n"/>
      <c r="AD902" s="52" t="n"/>
      <c r="AE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  <c r="AA903" s="52" t="n"/>
      <c r="AB903" s="52" t="n"/>
      <c r="AC903" s="52" t="n"/>
      <c r="AD903" s="52" t="n"/>
      <c r="AE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  <c r="AA904" s="52" t="n"/>
      <c r="AB904" s="52" t="n"/>
      <c r="AC904" s="52" t="n"/>
      <c r="AD904" s="52" t="n"/>
      <c r="AE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  <c r="AA905" s="52" t="n"/>
      <c r="AB905" s="52" t="n"/>
      <c r="AC905" s="52" t="n"/>
      <c r="AD905" s="52" t="n"/>
      <c r="AE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  <c r="AA906" s="52" t="n"/>
      <c r="AB906" s="52" t="n"/>
      <c r="AC906" s="52" t="n"/>
      <c r="AD906" s="52" t="n"/>
      <c r="AE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  <c r="AA907" s="52" t="n"/>
      <c r="AB907" s="52" t="n"/>
      <c r="AC907" s="52" t="n"/>
      <c r="AD907" s="52" t="n"/>
      <c r="AE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  <c r="AA908" s="52" t="n"/>
      <c r="AB908" s="52" t="n"/>
      <c r="AC908" s="52" t="n"/>
      <c r="AD908" s="52" t="n"/>
      <c r="AE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  <c r="AA909" s="52" t="n"/>
      <c r="AB909" s="52" t="n"/>
      <c r="AC909" s="52" t="n"/>
      <c r="AD909" s="52" t="n"/>
      <c r="AE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  <c r="AA910" s="52" t="n"/>
      <c r="AB910" s="52" t="n"/>
      <c r="AC910" s="52" t="n"/>
      <c r="AD910" s="52" t="n"/>
      <c r="AE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  <c r="AA911" s="52" t="n"/>
      <c r="AB911" s="52" t="n"/>
      <c r="AC911" s="52" t="n"/>
      <c r="AD911" s="52" t="n"/>
      <c r="AE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  <c r="AA912" s="52" t="n"/>
      <c r="AB912" s="52" t="n"/>
      <c r="AC912" s="52" t="n"/>
      <c r="AD912" s="52" t="n"/>
      <c r="AE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  <c r="AA913" s="52" t="n"/>
      <c r="AB913" s="52" t="n"/>
      <c r="AC913" s="52" t="n"/>
      <c r="AD913" s="52" t="n"/>
      <c r="AE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  <c r="AA914" s="52" t="n"/>
      <c r="AB914" s="52" t="n"/>
      <c r="AC914" s="52" t="n"/>
      <c r="AD914" s="52" t="n"/>
      <c r="AE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  <c r="AA915" s="52" t="n"/>
      <c r="AB915" s="52" t="n"/>
      <c r="AC915" s="52" t="n"/>
      <c r="AD915" s="52" t="n"/>
      <c r="AE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  <c r="AA916" s="52" t="n"/>
      <c r="AB916" s="52" t="n"/>
      <c r="AC916" s="52" t="n"/>
      <c r="AD916" s="52" t="n"/>
      <c r="AE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  <c r="AA917" s="52" t="n"/>
      <c r="AB917" s="52" t="n"/>
      <c r="AC917" s="52" t="n"/>
      <c r="AD917" s="52" t="n"/>
      <c r="AE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  <c r="AA918" s="52" t="n"/>
      <c r="AB918" s="52" t="n"/>
      <c r="AC918" s="52" t="n"/>
      <c r="AD918" s="52" t="n"/>
      <c r="AE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  <c r="AA919" s="52" t="n"/>
      <c r="AB919" s="52" t="n"/>
      <c r="AC919" s="52" t="n"/>
      <c r="AD919" s="52" t="n"/>
      <c r="AE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  <c r="AA920" s="52" t="n"/>
      <c r="AB920" s="52" t="n"/>
      <c r="AC920" s="52" t="n"/>
      <c r="AD920" s="52" t="n"/>
      <c r="AE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  <c r="AA921" s="52" t="n"/>
      <c r="AB921" s="52" t="n"/>
      <c r="AC921" s="52" t="n"/>
      <c r="AD921" s="52" t="n"/>
      <c r="AE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  <c r="AA922" s="52" t="n"/>
      <c r="AB922" s="52" t="n"/>
      <c r="AC922" s="52" t="n"/>
      <c r="AD922" s="52" t="n"/>
      <c r="AE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  <c r="AA923" s="52" t="n"/>
      <c r="AB923" s="52" t="n"/>
      <c r="AC923" s="52" t="n"/>
      <c r="AD923" s="52" t="n"/>
      <c r="AE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  <c r="AA924" s="52" t="n"/>
      <c r="AB924" s="52" t="n"/>
      <c r="AC924" s="52" t="n"/>
      <c r="AD924" s="52" t="n"/>
      <c r="AE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  <c r="AA925" s="52" t="n"/>
      <c r="AB925" s="52" t="n"/>
      <c r="AC925" s="52" t="n"/>
      <c r="AD925" s="52" t="n"/>
      <c r="AE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  <c r="AA926" s="52" t="n"/>
      <c r="AB926" s="52" t="n"/>
      <c r="AC926" s="52" t="n"/>
      <c r="AD926" s="52" t="n"/>
      <c r="AE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  <c r="AA927" s="52" t="n"/>
      <c r="AB927" s="52" t="n"/>
      <c r="AC927" s="52" t="n"/>
      <c r="AD927" s="52" t="n"/>
      <c r="AE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  <c r="AA928" s="52" t="n"/>
      <c r="AB928" s="52" t="n"/>
      <c r="AC928" s="52" t="n"/>
      <c r="AD928" s="52" t="n"/>
      <c r="AE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  <c r="AA929" s="52" t="n"/>
      <c r="AB929" s="52" t="n"/>
      <c r="AC929" s="52" t="n"/>
      <c r="AD929" s="52" t="n"/>
      <c r="AE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  <c r="AA930" s="52" t="n"/>
      <c r="AB930" s="52" t="n"/>
      <c r="AC930" s="52" t="n"/>
      <c r="AD930" s="52" t="n"/>
      <c r="AE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  <c r="AA931" s="52" t="n"/>
      <c r="AB931" s="52" t="n"/>
      <c r="AC931" s="52" t="n"/>
      <c r="AD931" s="52" t="n"/>
      <c r="AE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  <c r="AA932" s="52" t="n"/>
      <c r="AB932" s="52" t="n"/>
      <c r="AC932" s="52" t="n"/>
      <c r="AD932" s="52" t="n"/>
      <c r="AE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  <c r="AA933" s="52" t="n"/>
      <c r="AB933" s="52" t="n"/>
      <c r="AC933" s="52" t="n"/>
      <c r="AD933" s="52" t="n"/>
      <c r="AE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  <c r="AA934" s="52" t="n"/>
      <c r="AB934" s="52" t="n"/>
      <c r="AC934" s="52" t="n"/>
      <c r="AD934" s="52" t="n"/>
      <c r="AE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  <c r="AA935" s="52" t="n"/>
      <c r="AB935" s="52" t="n"/>
      <c r="AC935" s="52" t="n"/>
      <c r="AD935" s="52" t="n"/>
      <c r="AE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  <c r="AA936" s="52" t="n"/>
      <c r="AB936" s="52" t="n"/>
      <c r="AC936" s="52" t="n"/>
      <c r="AD936" s="52" t="n"/>
      <c r="AE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  <c r="AA937" s="52" t="n"/>
      <c r="AB937" s="52" t="n"/>
      <c r="AC937" s="52" t="n"/>
      <c r="AD937" s="52" t="n"/>
      <c r="AE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  <c r="AA938" s="52" t="n"/>
      <c r="AB938" s="52" t="n"/>
      <c r="AC938" s="52" t="n"/>
      <c r="AD938" s="52" t="n"/>
      <c r="AE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  <c r="AA939" s="52" t="n"/>
      <c r="AB939" s="52" t="n"/>
      <c r="AC939" s="52" t="n"/>
      <c r="AD939" s="52" t="n"/>
      <c r="AE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  <c r="AA940" s="52" t="n"/>
      <c r="AB940" s="52" t="n"/>
      <c r="AC940" s="52" t="n"/>
      <c r="AD940" s="52" t="n"/>
      <c r="AE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  <c r="AA941" s="52" t="n"/>
      <c r="AB941" s="52" t="n"/>
      <c r="AC941" s="52" t="n"/>
      <c r="AD941" s="52" t="n"/>
      <c r="AE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  <c r="AA942" s="52" t="n"/>
      <c r="AB942" s="52" t="n"/>
      <c r="AC942" s="52" t="n"/>
      <c r="AD942" s="52" t="n"/>
      <c r="AE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  <c r="AA943" s="52" t="n"/>
      <c r="AB943" s="52" t="n"/>
      <c r="AC943" s="52" t="n"/>
      <c r="AD943" s="52" t="n"/>
      <c r="AE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  <c r="AA944" s="52" t="n"/>
      <c r="AB944" s="52" t="n"/>
      <c r="AC944" s="52" t="n"/>
      <c r="AD944" s="52" t="n"/>
      <c r="AE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  <c r="AA945" s="52" t="n"/>
      <c r="AB945" s="52" t="n"/>
      <c r="AC945" s="52" t="n"/>
      <c r="AD945" s="52" t="n"/>
      <c r="AE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  <c r="AA946" s="52" t="n"/>
      <c r="AB946" s="52" t="n"/>
      <c r="AC946" s="52" t="n"/>
      <c r="AD946" s="52" t="n"/>
      <c r="AE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  <c r="AA947" s="52" t="n"/>
      <c r="AB947" s="52" t="n"/>
      <c r="AC947" s="52" t="n"/>
      <c r="AD947" s="52" t="n"/>
      <c r="AE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  <c r="AA948" s="52" t="n"/>
      <c r="AB948" s="52" t="n"/>
      <c r="AC948" s="52" t="n"/>
      <c r="AD948" s="52" t="n"/>
      <c r="AE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  <c r="AA949" s="52" t="n"/>
      <c r="AB949" s="52" t="n"/>
      <c r="AC949" s="52" t="n"/>
      <c r="AD949" s="52" t="n"/>
      <c r="AE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  <c r="AA950" s="52" t="n"/>
      <c r="AB950" s="52" t="n"/>
      <c r="AC950" s="52" t="n"/>
      <c r="AD950" s="52" t="n"/>
      <c r="AE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  <c r="AA951" s="52" t="n"/>
      <c r="AB951" s="52" t="n"/>
      <c r="AC951" s="52" t="n"/>
      <c r="AD951" s="52" t="n"/>
      <c r="AE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  <c r="AA952" s="52" t="n"/>
      <c r="AB952" s="52" t="n"/>
      <c r="AC952" s="52" t="n"/>
      <c r="AD952" s="52" t="n"/>
      <c r="AE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  <c r="AA953" s="52" t="n"/>
      <c r="AB953" s="52" t="n"/>
      <c r="AC953" s="52" t="n"/>
      <c r="AD953" s="52" t="n"/>
      <c r="AE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  <c r="AA954" s="52" t="n"/>
      <c r="AB954" s="52" t="n"/>
      <c r="AC954" s="52" t="n"/>
      <c r="AD954" s="52" t="n"/>
      <c r="AE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  <c r="AA955" s="52" t="n"/>
      <c r="AB955" s="52" t="n"/>
      <c r="AC955" s="52" t="n"/>
      <c r="AD955" s="52" t="n"/>
      <c r="AE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  <c r="AA956" s="52" t="n"/>
      <c r="AB956" s="52" t="n"/>
      <c r="AC956" s="52" t="n"/>
      <c r="AD956" s="52" t="n"/>
      <c r="AE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  <c r="AA957" s="52" t="n"/>
      <c r="AB957" s="52" t="n"/>
      <c r="AC957" s="52" t="n"/>
      <c r="AD957" s="52" t="n"/>
      <c r="AE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  <c r="AA958" s="52" t="n"/>
      <c r="AB958" s="52" t="n"/>
      <c r="AC958" s="52" t="n"/>
      <c r="AD958" s="52" t="n"/>
      <c r="AE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  <c r="AA959" s="52" t="n"/>
      <c r="AB959" s="52" t="n"/>
      <c r="AC959" s="52" t="n"/>
      <c r="AD959" s="52" t="n"/>
      <c r="AE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  <c r="AA960" s="52" t="n"/>
      <c r="AB960" s="52" t="n"/>
      <c r="AC960" s="52" t="n"/>
      <c r="AD960" s="52" t="n"/>
      <c r="AE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  <c r="AA961" s="52" t="n"/>
      <c r="AB961" s="52" t="n"/>
      <c r="AC961" s="52" t="n"/>
      <c r="AD961" s="52" t="n"/>
      <c r="AE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  <c r="AA962" s="52" t="n"/>
      <c r="AB962" s="52" t="n"/>
      <c r="AC962" s="52" t="n"/>
      <c r="AD962" s="52" t="n"/>
      <c r="AE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  <c r="AA963" s="52" t="n"/>
      <c r="AB963" s="52" t="n"/>
      <c r="AC963" s="52" t="n"/>
      <c r="AD963" s="52" t="n"/>
      <c r="AE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  <c r="AA964" s="52" t="n"/>
      <c r="AB964" s="52" t="n"/>
      <c r="AC964" s="52" t="n"/>
      <c r="AD964" s="52" t="n"/>
      <c r="AE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  <c r="AA965" s="52" t="n"/>
      <c r="AB965" s="52" t="n"/>
      <c r="AC965" s="52" t="n"/>
      <c r="AD965" s="52" t="n"/>
      <c r="AE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  <c r="AA966" s="52" t="n"/>
      <c r="AB966" s="52" t="n"/>
      <c r="AC966" s="52" t="n"/>
      <c r="AD966" s="52" t="n"/>
      <c r="AE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  <c r="AA967" s="52" t="n"/>
      <c r="AB967" s="52" t="n"/>
      <c r="AC967" s="52" t="n"/>
      <c r="AD967" s="52" t="n"/>
      <c r="AE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  <c r="AA968" s="52" t="n"/>
      <c r="AB968" s="52" t="n"/>
      <c r="AC968" s="52" t="n"/>
      <c r="AD968" s="52" t="n"/>
      <c r="AE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  <c r="AA969" s="52" t="n"/>
      <c r="AB969" s="52" t="n"/>
      <c r="AC969" s="52" t="n"/>
      <c r="AD969" s="52" t="n"/>
      <c r="AE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  <c r="AA970" s="52" t="n"/>
      <c r="AB970" s="52" t="n"/>
      <c r="AC970" s="52" t="n"/>
      <c r="AD970" s="52" t="n"/>
      <c r="AE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  <c r="AA971" s="52" t="n"/>
      <c r="AB971" s="52" t="n"/>
      <c r="AC971" s="52" t="n"/>
      <c r="AD971" s="52" t="n"/>
      <c r="AE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  <c r="AA972" s="52" t="n"/>
      <c r="AB972" s="52" t="n"/>
      <c r="AC972" s="52" t="n"/>
      <c r="AD972" s="52" t="n"/>
      <c r="AE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  <c r="AA973" s="52" t="n"/>
      <c r="AB973" s="52" t="n"/>
      <c r="AC973" s="52" t="n"/>
      <c r="AD973" s="52" t="n"/>
      <c r="AE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  <c r="AA974" s="52" t="n"/>
      <c r="AB974" s="52" t="n"/>
      <c r="AC974" s="52" t="n"/>
      <c r="AD974" s="52" t="n"/>
      <c r="AE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  <c r="AA975" s="52" t="n"/>
      <c r="AB975" s="52" t="n"/>
      <c r="AC975" s="52" t="n"/>
      <c r="AD975" s="52" t="n"/>
      <c r="AE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  <c r="AA976" s="52" t="n"/>
      <c r="AB976" s="52" t="n"/>
      <c r="AC976" s="52" t="n"/>
      <c r="AD976" s="52" t="n"/>
      <c r="AE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  <c r="AA977" s="52" t="n"/>
      <c r="AB977" s="52" t="n"/>
      <c r="AC977" s="52" t="n"/>
      <c r="AD977" s="52" t="n"/>
      <c r="AE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  <c r="AA978" s="52" t="n"/>
      <c r="AB978" s="52" t="n"/>
      <c r="AC978" s="52" t="n"/>
      <c r="AD978" s="52" t="n"/>
      <c r="AE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  <c r="AA979" s="52" t="n"/>
      <c r="AB979" s="52" t="n"/>
      <c r="AC979" s="52" t="n"/>
      <c r="AD979" s="52" t="n"/>
      <c r="AE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  <c r="AA980" s="52" t="n"/>
      <c r="AB980" s="52" t="n"/>
      <c r="AC980" s="52" t="n"/>
      <c r="AD980" s="52" t="n"/>
      <c r="AE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  <c r="AA981" s="52" t="n"/>
      <c r="AB981" s="52" t="n"/>
      <c r="AC981" s="52" t="n"/>
      <c r="AD981" s="52" t="n"/>
      <c r="AE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  <c r="AA982" s="52" t="n"/>
      <c r="AB982" s="52" t="n"/>
      <c r="AC982" s="52" t="n"/>
      <c r="AD982" s="52" t="n"/>
      <c r="AE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  <c r="AA983" s="52" t="n"/>
      <c r="AB983" s="52" t="n"/>
      <c r="AC983" s="52" t="n"/>
      <c r="AD983" s="52" t="n"/>
      <c r="AE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  <c r="AA984" s="52" t="n"/>
      <c r="AB984" s="52" t="n"/>
      <c r="AC984" s="52" t="n"/>
      <c r="AD984" s="52" t="n"/>
      <c r="AE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  <c r="AA985" s="52" t="n"/>
      <c r="AB985" s="52" t="n"/>
      <c r="AC985" s="52" t="n"/>
      <c r="AD985" s="52" t="n"/>
      <c r="AE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  <c r="AA986" s="52" t="n"/>
      <c r="AB986" s="52" t="n"/>
      <c r="AC986" s="52" t="n"/>
      <c r="AD986" s="52" t="n"/>
      <c r="AE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  <c r="AA987" s="52" t="n"/>
      <c r="AB987" s="52" t="n"/>
      <c r="AC987" s="52" t="n"/>
      <c r="AD987" s="52" t="n"/>
      <c r="AE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  <c r="AA988" s="52" t="n"/>
      <c r="AB988" s="52" t="n"/>
      <c r="AC988" s="52" t="n"/>
      <c r="AD988" s="52" t="n"/>
      <c r="AE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  <c r="AA989" s="52" t="n"/>
      <c r="AB989" s="52" t="n"/>
      <c r="AC989" s="52" t="n"/>
      <c r="AD989" s="52" t="n"/>
      <c r="AE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  <c r="AA990" s="52" t="n"/>
      <c r="AB990" s="52" t="n"/>
      <c r="AC990" s="52" t="n"/>
      <c r="AD990" s="52" t="n"/>
      <c r="AE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  <c r="AA991" s="52" t="n"/>
      <c r="AB991" s="52" t="n"/>
      <c r="AC991" s="52" t="n"/>
      <c r="AD991" s="52" t="n"/>
      <c r="AE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  <c r="AA992" s="52" t="n"/>
      <c r="AB992" s="52" t="n"/>
      <c r="AC992" s="52" t="n"/>
      <c r="AD992" s="52" t="n"/>
      <c r="AE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  <c r="AA993" s="52" t="n"/>
      <c r="AB993" s="52" t="n"/>
      <c r="AC993" s="52" t="n"/>
      <c r="AD993" s="52" t="n"/>
      <c r="AE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  <c r="AA994" s="52" t="n"/>
      <c r="AB994" s="52" t="n"/>
      <c r="AC994" s="52" t="n"/>
      <c r="AD994" s="52" t="n"/>
      <c r="AE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  <c r="AA995" s="52" t="n"/>
      <c r="AB995" s="52" t="n"/>
      <c r="AC995" s="52" t="n"/>
      <c r="AD995" s="52" t="n"/>
      <c r="AE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  <c r="AA996" s="52" t="n"/>
      <c r="AB996" s="52" t="n"/>
      <c r="AC996" s="52" t="n"/>
      <c r="AD996" s="52" t="n"/>
      <c r="AE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  <c r="AA997" s="52" t="n"/>
      <c r="AB997" s="52" t="n"/>
      <c r="AC997" s="52" t="n"/>
      <c r="AD997" s="52" t="n"/>
      <c r="AE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  <c r="AA998" s="52" t="n"/>
      <c r="AB998" s="52" t="n"/>
      <c r="AC998" s="52" t="n"/>
      <c r="AD998" s="52" t="n"/>
      <c r="AE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  <c r="AA999" s="52" t="n"/>
      <c r="AB999" s="52" t="n"/>
      <c r="AC999" s="52" t="n"/>
      <c r="AD999" s="52" t="n"/>
      <c r="AE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  <c r="AA1000" s="52" t="n"/>
      <c r="AB1000" s="52" t="n"/>
      <c r="AC1000" s="52" t="n"/>
      <c r="AD1000" s="52" t="n"/>
      <c r="AE1000" s="52" t="n"/>
    </row>
  </sheetData>
  <mergeCells count="84">
    <mergeCell ref="L33:N33"/>
    <mergeCell ref="L57:O58"/>
    <mergeCell ref="B60:D60"/>
    <mergeCell ref="B68:E68"/>
    <mergeCell ref="G62:I62"/>
    <mergeCell ref="G87:I87"/>
    <mergeCell ref="Q31:S31"/>
    <mergeCell ref="L35:N35"/>
    <mergeCell ref="G40:J40"/>
    <mergeCell ref="G89:I89"/>
    <mergeCell ref="Q89:S89"/>
    <mergeCell ref="L60:N60"/>
    <mergeCell ref="Q85:T86"/>
    <mergeCell ref="B92:D92"/>
    <mergeCell ref="G88:I88"/>
    <mergeCell ref="B30:D30"/>
    <mergeCell ref="L59:N59"/>
    <mergeCell ref="G90:I90"/>
    <mergeCell ref="L61:N61"/>
    <mergeCell ref="B62:D62"/>
    <mergeCell ref="G10:J10"/>
    <mergeCell ref="L32:N32"/>
    <mergeCell ref="Q33:S33"/>
    <mergeCell ref="Q57:T58"/>
    <mergeCell ref="B85:E86"/>
    <mergeCell ref="G68:J68"/>
    <mergeCell ref="L87:N87"/>
    <mergeCell ref="B40:E40"/>
    <mergeCell ref="L40:O40"/>
    <mergeCell ref="L89:N89"/>
    <mergeCell ref="B88:D88"/>
    <mergeCell ref="Q60:S60"/>
    <mergeCell ref="L88:N88"/>
    <mergeCell ref="G92:I92"/>
    <mergeCell ref="G30:I30"/>
    <mergeCell ref="Q59:S59"/>
    <mergeCell ref="B57:E58"/>
    <mergeCell ref="G28:J29"/>
    <mergeCell ref="G64:I64"/>
    <mergeCell ref="Q68:T68"/>
    <mergeCell ref="Q61:S61"/>
    <mergeCell ref="G32:I32"/>
    <mergeCell ref="Q32:S32"/>
    <mergeCell ref="G85:J86"/>
    <mergeCell ref="L68:O68"/>
    <mergeCell ref="Q87:S87"/>
    <mergeCell ref="B59:D59"/>
    <mergeCell ref="B31:D31"/>
    <mergeCell ref="Q40:T40"/>
    <mergeCell ref="L62:N62"/>
    <mergeCell ref="G57:J58"/>
    <mergeCell ref="Q35:S35"/>
    <mergeCell ref="L28:O29"/>
    <mergeCell ref="L64:N64"/>
    <mergeCell ref="B87:D87"/>
    <mergeCell ref="Q30:S30"/>
    <mergeCell ref="L90:N90"/>
    <mergeCell ref="G31:I31"/>
    <mergeCell ref="B35:D35"/>
    <mergeCell ref="Q62:S62"/>
    <mergeCell ref="L10:O10"/>
    <mergeCell ref="Q28:T29"/>
    <mergeCell ref="Q64:S64"/>
    <mergeCell ref="B61:D61"/>
    <mergeCell ref="Q88:S88"/>
    <mergeCell ref="L92:N92"/>
    <mergeCell ref="L30:N30"/>
    <mergeCell ref="G33:I33"/>
    <mergeCell ref="Q90:S90"/>
    <mergeCell ref="G35:I35"/>
    <mergeCell ref="L31:N31"/>
    <mergeCell ref="B28:E29"/>
    <mergeCell ref="B64:D64"/>
    <mergeCell ref="B33:D33"/>
    <mergeCell ref="B89:D89"/>
    <mergeCell ref="G60:I60"/>
    <mergeCell ref="L85:O86"/>
    <mergeCell ref="B32:D32"/>
    <mergeCell ref="G59:I59"/>
    <mergeCell ref="Q10:T10"/>
    <mergeCell ref="B90:D90"/>
    <mergeCell ref="G61:I61"/>
    <mergeCell ref="Q92:S92"/>
    <mergeCell ref="B10:E10"/>
  </mergeCells>
  <conditionalFormatting sqref="C24:E24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H24:J24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M24:O24">
    <cfRule type="cellIs" priority="5" operator="lessThan" dxfId="7">
      <formula>0</formula>
    </cfRule>
    <cfRule type="cellIs" priority="6" operator="greaterThan" dxfId="8">
      <formula>0</formula>
    </cfRule>
  </conditionalFormatting>
  <conditionalFormatting sqref="R24:T24">
    <cfRule type="cellIs" priority="7" operator="lessThan" dxfId="7">
      <formula>0</formula>
    </cfRule>
    <cfRule type="cellIs" priority="8" operator="greaterThan" dxfId="8">
      <formula>0</formula>
    </cfRule>
  </conditionalFormatting>
  <conditionalFormatting sqref="C53:E53">
    <cfRule type="cellIs" priority="9" operator="lessThan" dxfId="7">
      <formula>0</formula>
    </cfRule>
    <cfRule type="cellIs" priority="10" operator="greaterThan" dxfId="8">
      <formula>0</formula>
    </cfRule>
  </conditionalFormatting>
  <conditionalFormatting sqref="H53:J53">
    <cfRule type="cellIs" priority="11" operator="lessThan" dxfId="7">
      <formula>0</formula>
    </cfRule>
    <cfRule type="cellIs" priority="12" operator="greaterThan" dxfId="8">
      <formula>0</formula>
    </cfRule>
  </conditionalFormatting>
  <conditionalFormatting sqref="M53:O53">
    <cfRule type="cellIs" priority="13" operator="lessThan" dxfId="7">
      <formula>0</formula>
    </cfRule>
    <cfRule type="cellIs" priority="14" operator="greaterThan" dxfId="8">
      <formula>0</formula>
    </cfRule>
  </conditionalFormatting>
  <conditionalFormatting sqref="R53:T53">
    <cfRule type="cellIs" priority="15" operator="lessThan" dxfId="7">
      <formula>0</formula>
    </cfRule>
    <cfRule type="cellIs" priority="16" operator="greaterThan" dxfId="8">
      <formula>0</formula>
    </cfRule>
  </conditionalFormatting>
  <conditionalFormatting sqref="C81:E81">
    <cfRule type="cellIs" priority="17" operator="lessThan" dxfId="7">
      <formula>0</formula>
    </cfRule>
    <cfRule type="cellIs" priority="18" operator="greaterThan" dxfId="8">
      <formula>0</formula>
    </cfRule>
  </conditionalFormatting>
  <conditionalFormatting sqref="H81:J81">
    <cfRule type="cellIs" priority="19" operator="lessThan" dxfId="7">
      <formula>0</formula>
    </cfRule>
    <cfRule type="cellIs" priority="20" operator="greaterThan" dxfId="8">
      <formula>0</formula>
    </cfRule>
  </conditionalFormatting>
  <conditionalFormatting sqref="M81:O81">
    <cfRule type="cellIs" priority="21" operator="lessThan" dxfId="7">
      <formula>0</formula>
    </cfRule>
    <cfRule type="cellIs" priority="22" operator="greaterThan" dxfId="8">
      <formula>0</formula>
    </cfRule>
  </conditionalFormatting>
  <conditionalFormatting sqref="R81:T81">
    <cfRule type="cellIs" priority="23" operator="lessThan" dxfId="7">
      <formula>0</formula>
    </cfRule>
    <cfRule type="cellIs" priority="24" operator="greaterThan" dxfId="8">
      <formula>0</formula>
    </cfRule>
  </conditionalFormatting>
  <pageMargins left="0.5905511811023623" right="0.5905511811023623" top="0.5905511811023623" bottom="0.5905511811023623" header="0" footer="0"/>
  <pageSetup orientation="portrait" paperSize="9"/>
</worksheet>
</file>

<file path=xl/worksheets/sheet14.xml><?xml version="1.0" encoding="utf-8"?>
<worksheet xmlns="http://schemas.openxmlformats.org/spreadsheetml/2006/main">
  <sheetPr>
    <tabColor rgb="FF4A9B82"/>
    <outlinePr summaryBelow="1" summaryRight="1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.13" customWidth="1" style="673" min="1" max="1"/>
    <col width="27.38" customWidth="1" style="673" min="2" max="2"/>
    <col width="6.5" customWidth="1" style="673" min="3" max="3"/>
    <col width="18.25" customWidth="1" style="673" min="4" max="4"/>
    <col width="12.63" customWidth="1" style="673" min="5" max="5"/>
    <col width="15.63" customWidth="1" style="673" min="6" max="6"/>
    <col width="12.75" customWidth="1" style="673" min="7" max="7"/>
    <col width="8.630000000000001" customWidth="1" style="673" min="8" max="8"/>
  </cols>
  <sheetData>
    <row r="1" hidden="1" s="673">
      <c r="A1" s="52" t="n"/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</row>
    <row r="2" hidden="1" s="673">
      <c r="A2" s="52" t="n"/>
      <c r="B2" s="52" t="n"/>
      <c r="C2" s="52" t="n"/>
      <c r="D2" s="52" t="n"/>
      <c r="E2" s="52" t="n"/>
      <c r="F2" s="52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52" t="n"/>
      <c r="X2" s="52" t="n"/>
      <c r="Y2" s="52" t="n"/>
      <c r="Z2" s="52" t="n"/>
    </row>
    <row r="3" hidden="1" s="673">
      <c r="A3" s="52" t="n"/>
      <c r="B3" s="52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52" t="n"/>
      <c r="X3" s="52" t="n"/>
      <c r="Y3" s="52" t="n"/>
      <c r="Z3" s="52" t="n"/>
    </row>
    <row r="4" hidden="1" s="673">
      <c r="A4" s="52" t="n"/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52" t="n"/>
      <c r="X4" s="52" t="n"/>
      <c r="Y4" s="52" t="n"/>
      <c r="Z4" s="52" t="n"/>
    </row>
    <row r="5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2" t="n"/>
    </row>
    <row r="6">
      <c r="A6" s="52" t="n"/>
      <c r="B6" s="73" t="inlineStr">
        <is>
          <t>CALCIR - ESTOQUES</t>
        </is>
      </c>
      <c r="C6" s="73" t="n"/>
      <c r="D6" s="73" t="n"/>
      <c r="E6" s="73" t="n"/>
      <c r="F6" s="74" t="n"/>
      <c r="G6" s="73">
        <f>RECEITAS!I12</f>
        <v/>
      </c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52" t="n"/>
      <c r="X6" s="52" t="n"/>
      <c r="Y6" s="52" t="n"/>
      <c r="Z6" s="52" t="n"/>
    </row>
    <row r="7">
      <c r="A7" s="52" t="n"/>
      <c r="B7" s="153">
        <f>RECEITAS!B13</f>
        <v/>
      </c>
      <c r="C7" s="52" t="n"/>
      <c r="D7" s="52" t="n"/>
      <c r="E7" s="52" t="n"/>
      <c r="F7" s="82" t="inlineStr">
        <is>
          <t>Período Inicial</t>
        </is>
      </c>
      <c r="G7" s="82" t="inlineStr">
        <is>
          <t>Período Final</t>
        </is>
      </c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</row>
    <row r="8">
      <c r="A8" s="52" t="n"/>
      <c r="B8" s="52" t="n"/>
      <c r="C8" s="52" t="n"/>
      <c r="D8" s="52" t="n"/>
      <c r="E8" s="52" t="n"/>
      <c r="F8" s="412">
        <f>RECEITAS!H14</f>
        <v/>
      </c>
      <c r="G8" s="412">
        <f>RECEITAS!I14</f>
        <v/>
      </c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2" t="n"/>
    </row>
    <row r="9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52" t="n"/>
      <c r="X9" s="52" t="n"/>
      <c r="Y9" s="52" t="n"/>
      <c r="Z9" s="52" t="n"/>
    </row>
    <row r="10">
      <c r="A10" s="52" t="n"/>
      <c r="B10" s="418" t="inlineStr">
        <is>
          <t>SAFRA ANTERIOR</t>
        </is>
      </c>
      <c r="C10" s="719" t="n"/>
      <c r="D10" s="157" t="n"/>
      <c r="E10" s="157" t="n"/>
      <c r="F10" s="157" t="n"/>
      <c r="G10" s="157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52" t="n"/>
      <c r="Z10" s="52" t="n"/>
    </row>
    <row r="11">
      <c r="A11" s="52" t="n"/>
      <c r="B11" s="419" t="inlineStr">
        <is>
          <t>PRODUTO</t>
        </is>
      </c>
      <c r="C11" s="716" t="n"/>
      <c r="D11" s="92" t="inlineStr">
        <is>
          <t>PRODUÇÃO</t>
        </is>
      </c>
      <c r="E11" s="676" t="n"/>
      <c r="F11" s="92" t="inlineStr">
        <is>
          <t>PREÇO MÉDIO</t>
        </is>
      </c>
      <c r="G11" s="92" t="inlineStr">
        <is>
          <t>TOTAL</t>
        </is>
      </c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52" t="n"/>
      <c r="Z11" s="52" t="n"/>
    </row>
    <row r="12">
      <c r="A12" s="52" t="n"/>
      <c r="B12" s="720" t="n"/>
      <c r="C12" s="676" t="n"/>
      <c r="D12" s="721" t="n"/>
      <c r="E12" s="676" t="n"/>
      <c r="F12" s="97" t="n"/>
      <c r="G12" s="97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52" t="n"/>
      <c r="Z12" s="52" t="n"/>
    </row>
    <row r="13">
      <c r="A13" s="52" t="n"/>
      <c r="B13" s="720" t="n"/>
      <c r="C13" s="676" t="n"/>
      <c r="D13" s="721" t="n"/>
      <c r="E13" s="676" t="n"/>
      <c r="F13" s="97" t="n"/>
      <c r="G13" s="97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52" t="n"/>
      <c r="Z13" s="52" t="n"/>
    </row>
    <row r="14">
      <c r="A14" s="52" t="n"/>
      <c r="B14" s="720" t="n"/>
      <c r="C14" s="676" t="n"/>
      <c r="D14" s="721" t="n"/>
      <c r="E14" s="676" t="n"/>
      <c r="F14" s="97" t="n"/>
      <c r="G14" s="97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52" t="n"/>
      <c r="Z14" s="52" t="n"/>
    </row>
    <row r="15">
      <c r="A15" s="52" t="n"/>
      <c r="B15" s="720" t="n"/>
      <c r="C15" s="676" t="n"/>
      <c r="D15" s="721" t="n"/>
      <c r="E15" s="676" t="n"/>
      <c r="F15" s="97" t="n"/>
      <c r="G15" s="97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  <c r="Z15" s="52" t="n"/>
    </row>
    <row r="16">
      <c r="A16" s="52" t="n"/>
      <c r="B16" s="720" t="n"/>
      <c r="C16" s="676" t="n"/>
      <c r="D16" s="721" t="n"/>
      <c r="E16" s="676" t="n"/>
      <c r="F16" s="97" t="n"/>
      <c r="G16" s="97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</row>
    <row r="17">
      <c r="A17" s="52" t="n"/>
      <c r="B17" s="720" t="n"/>
      <c r="C17" s="676" t="n"/>
      <c r="D17" s="721" t="n"/>
      <c r="E17" s="676" t="n"/>
      <c r="F17" s="97" t="n"/>
      <c r="G17" s="97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  <c r="Z17" s="52" t="n"/>
    </row>
    <row r="18">
      <c r="A18" s="52" t="n"/>
      <c r="B18" s="720" t="n"/>
      <c r="C18" s="676" t="n"/>
      <c r="D18" s="721" t="n"/>
      <c r="E18" s="676" t="n"/>
      <c r="F18" s="97" t="n"/>
      <c r="G18" s="97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</row>
    <row r="19">
      <c r="A19" s="52" t="n"/>
      <c r="B19" s="720" t="n"/>
      <c r="C19" s="676" t="n"/>
      <c r="D19" s="721" t="n"/>
      <c r="E19" s="676" t="n"/>
      <c r="F19" s="97" t="n"/>
      <c r="G19" s="97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  <c r="Z19" s="52" t="n"/>
    </row>
    <row r="20">
      <c r="A20" s="52" t="n"/>
      <c r="B20" s="720" t="n"/>
      <c r="C20" s="676" t="n"/>
      <c r="D20" s="721" t="n"/>
      <c r="E20" s="676" t="n"/>
      <c r="F20" s="97" t="n"/>
      <c r="G20" s="97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</row>
    <row r="21" ht="15.75" customHeight="1" s="673">
      <c r="A21" s="52" t="n"/>
      <c r="B21" s="720" t="n"/>
      <c r="C21" s="676" t="n"/>
      <c r="D21" s="721" t="n"/>
      <c r="E21" s="676" t="n"/>
      <c r="F21" s="97" t="n"/>
      <c r="G21" s="97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</row>
    <row r="22" ht="15.75" customHeight="1" s="673">
      <c r="A22" s="52" t="n"/>
      <c r="B22" s="720" t="n"/>
      <c r="C22" s="676" t="n"/>
      <c r="D22" s="721" t="n"/>
      <c r="E22" s="676" t="n"/>
      <c r="F22" s="97" t="n"/>
      <c r="G22" s="97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</row>
    <row r="23" ht="15.75" customHeight="1" s="673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</row>
    <row r="24" ht="15.75" customHeight="1" s="673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52" t="n"/>
      <c r="Z24" s="52" t="n"/>
    </row>
    <row r="25" ht="15.75" customHeight="1" s="673">
      <c r="A25" s="52" t="n"/>
      <c r="B25" s="418" t="inlineStr">
        <is>
          <t>SAFRA ATUAL</t>
        </is>
      </c>
      <c r="C25" s="157" t="n"/>
      <c r="D25" s="157" t="n"/>
      <c r="E25" s="157" t="n"/>
      <c r="F25" s="157" t="n"/>
      <c r="G25" s="157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52" t="n"/>
      <c r="Z25" s="52" t="n"/>
    </row>
    <row r="26" ht="15.75" customHeight="1" s="673">
      <c r="A26" s="52" t="n"/>
      <c r="B26" s="419" t="inlineStr">
        <is>
          <t>PRODUTO</t>
        </is>
      </c>
      <c r="C26" s="92" t="inlineStr">
        <is>
          <t>AREA</t>
        </is>
      </c>
      <c r="D26" s="124" t="inlineStr">
        <is>
          <t>PRODUTIVIDADE</t>
        </is>
      </c>
      <c r="E26" s="92" t="inlineStr">
        <is>
          <t>PRODUÇÃO</t>
        </is>
      </c>
      <c r="F26" s="92" t="inlineStr">
        <is>
          <t>PREÇO MÉDIO</t>
        </is>
      </c>
      <c r="G26" s="92" t="inlineStr">
        <is>
          <t>TOTAL</t>
        </is>
      </c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</row>
    <row r="27" ht="15.75" customHeight="1" s="673">
      <c r="A27" s="52" t="n"/>
      <c r="B27" s="93" t="n"/>
      <c r="C27" s="420" t="n"/>
      <c r="D27" s="420" t="n"/>
      <c r="E27" s="420" t="n"/>
      <c r="F27" s="97" t="n"/>
      <c r="G27" s="97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</row>
    <row r="28" ht="15.75" customHeight="1" s="673">
      <c r="A28" s="52" t="n"/>
      <c r="B28" s="93" t="n"/>
      <c r="C28" s="420" t="n"/>
      <c r="D28" s="420" t="n"/>
      <c r="E28" s="420" t="n"/>
      <c r="F28" s="97" t="n"/>
      <c r="G28" s="97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</row>
    <row r="29" ht="15.75" customHeight="1" s="673">
      <c r="A29" s="52" t="n"/>
      <c r="B29" s="93" t="n"/>
      <c r="C29" s="420" t="n"/>
      <c r="D29" s="420" t="n"/>
      <c r="E29" s="420" t="n"/>
      <c r="F29" s="97" t="n"/>
      <c r="G29" s="97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</row>
    <row r="30" ht="15.75" customHeight="1" s="673">
      <c r="A30" s="52" t="n"/>
      <c r="B30" s="93" t="n"/>
      <c r="C30" s="420" t="n"/>
      <c r="D30" s="420" t="n"/>
      <c r="E30" s="420" t="n"/>
      <c r="F30" s="97" t="n"/>
      <c r="G30" s="97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</row>
    <row r="31" ht="15.75" customHeight="1" s="673">
      <c r="A31" s="52" t="n"/>
      <c r="B31" s="93" t="n"/>
      <c r="C31" s="420" t="n"/>
      <c r="D31" s="420" t="n"/>
      <c r="E31" s="420" t="n"/>
      <c r="F31" s="97" t="n"/>
      <c r="G31" s="97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</row>
    <row r="32" ht="15.75" customHeight="1" s="673">
      <c r="A32" s="52" t="n"/>
      <c r="B32" s="93" t="n"/>
      <c r="C32" s="420" t="n"/>
      <c r="D32" s="420" t="n"/>
      <c r="E32" s="420" t="n"/>
      <c r="F32" s="97" t="n"/>
      <c r="G32" s="97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</row>
    <row r="33" ht="15.75" customHeight="1" s="673">
      <c r="A33" s="52" t="n"/>
      <c r="B33" s="93" t="n"/>
      <c r="C33" s="420" t="n"/>
      <c r="D33" s="420" t="n"/>
      <c r="E33" s="420" t="n"/>
      <c r="F33" s="97" t="n"/>
      <c r="G33" s="97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</row>
    <row r="34" ht="15.75" customHeight="1" s="673">
      <c r="A34" s="52" t="n"/>
      <c r="B34" s="93" t="n"/>
      <c r="C34" s="420" t="n"/>
      <c r="D34" s="420" t="n"/>
      <c r="E34" s="420" t="n"/>
      <c r="F34" s="97" t="n"/>
      <c r="G34" s="97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</row>
    <row r="35" ht="15.75" customHeight="1" s="673">
      <c r="A35" s="52" t="n"/>
      <c r="B35" s="93" t="n"/>
      <c r="C35" s="420" t="n"/>
      <c r="D35" s="420" t="n"/>
      <c r="E35" s="420" t="n"/>
      <c r="F35" s="97" t="n"/>
      <c r="G35" s="97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</row>
    <row r="36" ht="15.75" customHeight="1" s="673">
      <c r="A36" s="52" t="n"/>
      <c r="B36" s="93" t="n"/>
      <c r="C36" s="420" t="n"/>
      <c r="D36" s="420" t="n"/>
      <c r="E36" s="420" t="n"/>
      <c r="F36" s="97" t="n"/>
      <c r="G36" s="97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</row>
    <row r="37" ht="15.75" customHeight="1" s="673">
      <c r="A37" s="52" t="n"/>
      <c r="B37" s="93" t="n"/>
      <c r="C37" s="420" t="n"/>
      <c r="D37" s="420" t="n"/>
      <c r="E37" s="420" t="n"/>
      <c r="F37" s="97" t="n"/>
      <c r="G37" s="97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</row>
    <row r="38" ht="15.75" customHeight="1" s="673">
      <c r="A38" s="52" t="n"/>
      <c r="B38" s="52" t="n"/>
      <c r="C38" s="52" t="n"/>
      <c r="D38" s="52" t="n"/>
      <c r="E38" s="52" t="n"/>
      <c r="F38" s="52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</row>
    <row r="39" ht="15.75" customHeight="1" s="673">
      <c r="A39" s="52" t="n"/>
      <c r="B39" s="52" t="n"/>
      <c r="C39" s="52" t="n"/>
      <c r="D39" s="52" t="n"/>
      <c r="E39" s="52" t="n"/>
      <c r="F39" s="52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</row>
    <row r="40" ht="15.75" customHeight="1" s="673">
      <c r="A40" s="52" t="n"/>
      <c r="B40" s="722" t="inlineStr">
        <is>
          <t>GRÃOS RECEBIDOS</t>
        </is>
      </c>
      <c r="C40" s="723" t="n"/>
      <c r="D40" s="157" t="n"/>
      <c r="E40" s="157" t="n"/>
      <c r="F40" s="157" t="n"/>
      <c r="G40" s="157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</row>
    <row r="41" ht="15.75" customHeight="1" s="673">
      <c r="A41" s="52" t="n"/>
      <c r="B41" s="423" t="inlineStr">
        <is>
          <t>PRODUTO</t>
        </is>
      </c>
      <c r="D41" s="92" t="inlineStr">
        <is>
          <t>PRODUTIVIDADE</t>
        </is>
      </c>
      <c r="E41" s="676" t="n"/>
      <c r="F41" s="92" t="inlineStr">
        <is>
          <t>PREÇO MÉDIO</t>
        </is>
      </c>
      <c r="G41" s="92" t="inlineStr">
        <is>
          <t>TOTAL</t>
        </is>
      </c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</row>
    <row r="42" ht="15.75" customHeight="1" s="673">
      <c r="A42" s="52" t="n"/>
      <c r="B42" s="720" t="n"/>
      <c r="C42" s="676" t="n"/>
      <c r="D42" s="721" t="n"/>
      <c r="E42" s="676" t="n"/>
      <c r="F42" s="97" t="n"/>
      <c r="G42" s="97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</row>
    <row r="43" ht="15.75" customHeight="1" s="673">
      <c r="A43" s="52" t="n"/>
      <c r="B43" s="720" t="n"/>
      <c r="C43" s="676" t="n"/>
      <c r="D43" s="721" t="n"/>
      <c r="E43" s="676" t="n"/>
      <c r="F43" s="97" t="n"/>
      <c r="G43" s="97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</row>
    <row r="44" ht="15.75" customHeight="1" s="673">
      <c r="A44" s="52" t="n"/>
      <c r="B44" s="720" t="n"/>
      <c r="C44" s="676" t="n"/>
      <c r="D44" s="721" t="n"/>
      <c r="E44" s="676" t="n"/>
      <c r="F44" s="97" t="n"/>
      <c r="G44" s="97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</row>
    <row r="45" ht="15.75" customHeight="1" s="673">
      <c r="A45" s="52" t="n"/>
      <c r="B45" s="720" t="n"/>
      <c r="C45" s="676" t="n"/>
      <c r="D45" s="721" t="n"/>
      <c r="E45" s="676" t="n"/>
      <c r="F45" s="97" t="n"/>
      <c r="G45" s="97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</row>
    <row r="46" ht="15.75" customHeight="1" s="673">
      <c r="A46" s="52" t="n"/>
      <c r="B46" s="720" t="n"/>
      <c r="C46" s="676" t="n"/>
      <c r="D46" s="721" t="n"/>
      <c r="E46" s="676" t="n"/>
      <c r="F46" s="97" t="n"/>
      <c r="G46" s="97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</row>
    <row r="47" ht="15.75" customHeight="1" s="673">
      <c r="A47" s="52" t="n"/>
      <c r="B47" s="720" t="n"/>
      <c r="C47" s="676" t="n"/>
      <c r="D47" s="721" t="n"/>
      <c r="E47" s="676" t="n"/>
      <c r="F47" s="97" t="n"/>
      <c r="G47" s="97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</row>
    <row r="48" ht="15.75" customHeight="1" s="673">
      <c r="A48" s="52" t="n"/>
      <c r="B48" s="720" t="n"/>
      <c r="C48" s="676" t="n"/>
      <c r="D48" s="721" t="n"/>
      <c r="E48" s="676" t="n"/>
      <c r="F48" s="97" t="n"/>
      <c r="G48" s="97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</row>
    <row r="49" ht="15.75" customHeight="1" s="673">
      <c r="A49" s="52" t="n"/>
      <c r="B49" s="720" t="n"/>
      <c r="C49" s="676" t="n"/>
      <c r="D49" s="721" t="n"/>
      <c r="E49" s="676" t="n"/>
      <c r="F49" s="97" t="n"/>
      <c r="G49" s="97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</row>
    <row r="50" ht="15.75" customHeight="1" s="673">
      <c r="A50" s="52" t="n"/>
      <c r="B50" s="720" t="n"/>
      <c r="C50" s="676" t="n"/>
      <c r="D50" s="721" t="n"/>
      <c r="E50" s="676" t="n"/>
      <c r="F50" s="97" t="n"/>
      <c r="G50" s="97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</row>
    <row r="51" ht="15.75" customHeight="1" s="673">
      <c r="A51" s="52" t="n"/>
      <c r="B51" s="720" t="n"/>
      <c r="C51" s="676" t="n"/>
      <c r="D51" s="721" t="n"/>
      <c r="E51" s="676" t="n"/>
      <c r="F51" s="97" t="n"/>
      <c r="G51" s="97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</row>
    <row r="52" ht="15.75" customHeight="1" s="673">
      <c r="A52" s="52" t="n"/>
      <c r="B52" s="720" t="n"/>
      <c r="C52" s="676" t="n"/>
      <c r="D52" s="721" t="n"/>
      <c r="E52" s="676" t="n"/>
      <c r="F52" s="97" t="n"/>
      <c r="G52" s="97" t="n"/>
      <c r="H52" s="84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</row>
    <row r="53" ht="15.75" customHeight="1" s="673">
      <c r="A53" s="52" t="n"/>
      <c r="B53" s="52" t="n"/>
      <c r="C53" s="52" t="n"/>
      <c r="D53" s="52" t="n"/>
      <c r="E53" s="52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52" t="n"/>
      <c r="Z53" s="52" t="n"/>
    </row>
    <row r="54" ht="15.75" customHeight="1" s="673">
      <c r="A54" s="52" t="n"/>
      <c r="B54" s="52" t="n"/>
      <c r="C54" s="52" t="n"/>
      <c r="D54" s="52" t="n"/>
      <c r="E54" s="52" t="n"/>
      <c r="F54" s="52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52" t="n"/>
      <c r="Z54" s="52" t="n"/>
    </row>
    <row r="55" ht="15.75" customHeight="1" s="673">
      <c r="A55" s="52" t="n"/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52" t="n"/>
      <c r="Z55" s="52" t="n"/>
    </row>
    <row r="56" ht="15.75" customHeight="1" s="673">
      <c r="A56" s="52" t="n"/>
      <c r="B56" s="52" t="n"/>
      <c r="C56" s="52" t="n"/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52" t="n"/>
      <c r="Z56" s="52" t="n"/>
    </row>
    <row r="57" ht="15.75" customHeight="1" s="673">
      <c r="A57" s="52" t="n"/>
      <c r="B57" s="52" t="n"/>
      <c r="C57" s="52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</row>
    <row r="58" ht="15.75" customHeight="1" s="673">
      <c r="A58" s="52" t="n"/>
      <c r="B58" s="52" t="n"/>
      <c r="C58" s="52" t="n"/>
      <c r="D58" s="52" t="n"/>
      <c r="E58" s="52" t="n"/>
      <c r="F58" s="52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52" t="n"/>
      <c r="Z58" s="52" t="n"/>
    </row>
    <row r="59" ht="15.75" customHeight="1" s="673">
      <c r="A59" s="52" t="n"/>
      <c r="B59" s="52" t="n"/>
      <c r="C59" s="52" t="n"/>
      <c r="D59" s="52" t="n"/>
      <c r="E59" s="52" t="n"/>
      <c r="F59" s="52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</row>
    <row r="60" ht="15.75" customHeight="1" s="673">
      <c r="A60" s="52" t="n"/>
      <c r="B60" s="52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</row>
    <row r="61" ht="15.75" customHeight="1" s="673">
      <c r="A61" s="52" t="n"/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</row>
    <row r="62" ht="15.75" customHeight="1" s="673">
      <c r="A62" s="52" t="n"/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52" t="n"/>
      <c r="Z62" s="52" t="n"/>
    </row>
    <row r="63" ht="15.75" customHeight="1" s="673">
      <c r="A63" s="52" t="n"/>
      <c r="B63" s="52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52" t="n"/>
      <c r="Z63" s="52" t="n"/>
    </row>
    <row r="64" ht="15.75" customHeight="1" s="673">
      <c r="A64" s="52" t="n"/>
      <c r="B64" s="52" t="n"/>
      <c r="C64" s="52" t="n"/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52" t="n"/>
      <c r="Z64" s="52" t="n"/>
    </row>
    <row r="65" ht="15.75" customHeight="1" s="673">
      <c r="A65" s="52" t="n"/>
      <c r="B65" s="52" t="n"/>
      <c r="C65" s="52" t="n"/>
      <c r="D65" s="52" t="n"/>
      <c r="E65" s="52" t="n"/>
      <c r="F65" s="52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</row>
    <row r="66" ht="15.75" customHeight="1" s="673">
      <c r="A66" s="52" t="n"/>
      <c r="B66" s="52" t="n"/>
      <c r="C66" s="52" t="n"/>
      <c r="D66" s="52" t="n"/>
      <c r="E66" s="52" t="n"/>
      <c r="F66" s="52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</row>
    <row r="67" ht="15.75" customHeight="1" s="673">
      <c r="A67" s="52" t="n"/>
      <c r="B67" s="52" t="n"/>
      <c r="C67" s="52" t="n"/>
      <c r="D67" s="52" t="n"/>
      <c r="E67" s="52" t="n"/>
      <c r="F67" s="52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</row>
    <row r="68" ht="15.75" customHeight="1" s="673">
      <c r="A68" s="52" t="n"/>
      <c r="B68" s="52" t="n"/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</row>
    <row r="69" ht="15.75" customHeight="1" s="673">
      <c r="A69" s="52" t="n"/>
      <c r="B69" s="52" t="n"/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  <c r="Z69" s="52" t="n"/>
    </row>
    <row r="70" ht="15.75" customHeight="1" s="673">
      <c r="A70" s="52" t="n"/>
      <c r="B70" s="52" t="n"/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</row>
    <row r="71" ht="15.75" customHeight="1" s="673">
      <c r="A71" s="52" t="n"/>
      <c r="B71" s="52" t="n"/>
      <c r="C71" s="52" t="n"/>
      <c r="D71" s="52" t="n"/>
      <c r="E71" s="52" t="n"/>
      <c r="F71" s="52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</row>
    <row r="72" ht="15.75" customHeight="1" s="673">
      <c r="A72" s="52" t="n"/>
      <c r="B72" s="52" t="n"/>
      <c r="C72" s="52" t="n"/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2" t="n"/>
    </row>
    <row r="73" ht="15.75" customHeight="1" s="673">
      <c r="A73" s="52" t="n"/>
      <c r="B73" s="52" t="n"/>
      <c r="C73" s="52" t="n"/>
      <c r="D73" s="52" t="n"/>
      <c r="E73" s="52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</row>
    <row r="74" ht="15.75" customHeight="1" s="673">
      <c r="A74" s="52" t="n"/>
      <c r="B74" s="52" t="n"/>
      <c r="C74" s="52" t="n"/>
      <c r="D74" s="52" t="n"/>
      <c r="E74" s="52" t="n"/>
      <c r="F74" s="52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2" t="n"/>
    </row>
    <row r="75" ht="15.75" customHeight="1" s="673">
      <c r="A75" s="52" t="n"/>
      <c r="B75" s="52" t="n"/>
      <c r="C75" s="52" t="n"/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52" t="n"/>
      <c r="Z75" s="52" t="n"/>
    </row>
    <row r="76" ht="15.75" customHeight="1" s="673">
      <c r="A76" s="52" t="n"/>
      <c r="B76" s="52" t="n"/>
      <c r="C76" s="52" t="n"/>
      <c r="D76" s="52" t="n"/>
      <c r="E76" s="52" t="n"/>
      <c r="F76" s="52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</row>
    <row r="77" ht="15.75" customHeight="1" s="673">
      <c r="A77" s="52" t="n"/>
      <c r="B77" s="52" t="n"/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52" t="n"/>
      <c r="Z77" s="52" t="n"/>
    </row>
    <row r="78" ht="15.75" customHeight="1" s="673">
      <c r="A78" s="52" t="n"/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</row>
    <row r="79" ht="15.75" customHeight="1" s="673">
      <c r="A79" s="52" t="n"/>
      <c r="B79" s="52" t="n"/>
      <c r="C79" s="52" t="n"/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</row>
    <row r="80" ht="15.75" customHeight="1" s="673">
      <c r="A80" s="52" t="n"/>
      <c r="B80" s="52" t="n"/>
      <c r="C80" s="52" t="n"/>
      <c r="D80" s="52" t="n"/>
      <c r="E80" s="52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</row>
    <row r="81" ht="15.75" customHeight="1" s="673">
      <c r="A81" s="52" t="n"/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</row>
    <row r="82" ht="15.75" customHeight="1" s="673">
      <c r="A82" s="52" t="n"/>
      <c r="B82" s="52" t="n"/>
      <c r="C82" s="52" t="n"/>
      <c r="D82" s="52" t="n"/>
      <c r="E82" s="52" t="n"/>
      <c r="F82" s="52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</row>
    <row r="83" ht="15.75" customHeight="1" s="673">
      <c r="A83" s="52" t="n"/>
      <c r="B83" s="52" t="n"/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</row>
    <row r="84" ht="15.75" customHeight="1" s="673">
      <c r="A84" s="52" t="n"/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52" t="n"/>
      <c r="Z84" s="52" t="n"/>
    </row>
    <row r="85" ht="15.75" customHeight="1" s="673">
      <c r="A85" s="52" t="n"/>
      <c r="B85" s="52" t="n"/>
      <c r="C85" s="52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52" t="n"/>
      <c r="Z85" s="52" t="n"/>
    </row>
    <row r="86" ht="15.75" customHeight="1" s="673">
      <c r="A86" s="52" t="n"/>
      <c r="B86" s="52" t="n"/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</row>
    <row r="87" ht="15.75" customHeight="1" s="673">
      <c r="A87" s="52" t="n"/>
      <c r="B87" s="52" t="n"/>
      <c r="C87" s="52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52" t="n"/>
      <c r="Z87" s="52" t="n"/>
    </row>
    <row r="88" ht="15.75" customHeight="1" s="673">
      <c r="A88" s="52" t="n"/>
      <c r="B88" s="52" t="n"/>
      <c r="C88" s="52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52" t="n"/>
      <c r="Z88" s="52" t="n"/>
    </row>
    <row r="89" ht="15.75" customHeight="1" s="673">
      <c r="A89" s="52" t="n"/>
      <c r="B89" s="52" t="n"/>
      <c r="C89" s="52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</row>
    <row r="90" ht="15.75" customHeight="1" s="673">
      <c r="A90" s="52" t="n"/>
      <c r="B90" s="52" t="n"/>
      <c r="C90" s="52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</row>
    <row r="91" ht="15.75" customHeight="1" s="673">
      <c r="A91" s="52" t="n"/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</row>
    <row r="92" ht="15.75" customHeight="1" s="673">
      <c r="A92" s="52" t="n"/>
      <c r="B92" s="52" t="n"/>
      <c r="C92" s="52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</row>
    <row r="93" ht="15.75" customHeight="1" s="673">
      <c r="A93" s="52" t="n"/>
      <c r="B93" s="52" t="n"/>
      <c r="C93" s="52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</row>
    <row r="94" ht="15.75" customHeight="1" s="673">
      <c r="A94" s="52" t="n"/>
      <c r="B94" s="52" t="n"/>
      <c r="C94" s="52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</row>
    <row r="95" ht="15.75" customHeight="1" s="673">
      <c r="A95" s="52" t="n"/>
      <c r="B95" s="52" t="n"/>
      <c r="C95" s="52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</row>
    <row r="96" ht="15.75" customHeight="1" s="673">
      <c r="A96" s="52" t="n"/>
      <c r="B96" s="52" t="n"/>
      <c r="C96" s="52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</row>
    <row r="97" ht="15.75" customHeight="1" s="673">
      <c r="A97" s="52" t="n"/>
      <c r="B97" s="52" t="n"/>
      <c r="C97" s="52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</row>
    <row r="98" ht="15.75" customHeight="1" s="673">
      <c r="A98" s="52" t="n"/>
      <c r="B98" s="52" t="n"/>
      <c r="C98" s="52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</row>
    <row r="99" ht="15.75" customHeight="1" s="673">
      <c r="A99" s="52" t="n"/>
      <c r="B99" s="52" t="n"/>
      <c r="C99" s="52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</row>
    <row r="100" ht="15.75" customHeight="1" s="673">
      <c r="A100" s="52" t="n"/>
      <c r="B100" s="52" t="n"/>
      <c r="C100" s="52" t="n"/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</row>
    <row r="101" ht="15.75" customHeight="1" s="673">
      <c r="A101" s="52" t="n"/>
      <c r="B101" s="52" t="n"/>
      <c r="C101" s="52" t="n"/>
      <c r="D101" s="52" t="n"/>
      <c r="E101" s="52" t="n"/>
      <c r="F101" s="52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</row>
    <row r="102" ht="15.75" customHeight="1" s="673">
      <c r="A102" s="52" t="n"/>
      <c r="B102" s="52" t="n"/>
      <c r="C102" s="52" t="n"/>
      <c r="D102" s="52" t="n"/>
      <c r="E102" s="52" t="n"/>
      <c r="F102" s="52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</row>
    <row r="103" ht="15.75" customHeight="1" s="673">
      <c r="A103" s="52" t="n"/>
      <c r="B103" s="52" t="n"/>
      <c r="C103" s="52" t="n"/>
      <c r="D103" s="52" t="n"/>
      <c r="E103" s="52" t="n"/>
      <c r="F103" s="52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</row>
    <row r="104" ht="15.75" customHeight="1" s="673">
      <c r="A104" s="52" t="n"/>
      <c r="B104" s="52" t="n"/>
      <c r="C104" s="52" t="n"/>
      <c r="D104" s="52" t="n"/>
      <c r="E104" s="52" t="n"/>
      <c r="F104" s="52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</row>
    <row r="105" ht="15.75" customHeight="1" s="673">
      <c r="A105" s="52" t="n"/>
      <c r="B105" s="52" t="n"/>
      <c r="C105" s="52" t="n"/>
      <c r="D105" s="52" t="n"/>
      <c r="E105" s="52" t="n"/>
      <c r="F105" s="52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</row>
    <row r="106" ht="15.75" customHeight="1" s="673">
      <c r="A106" s="52" t="n"/>
      <c r="B106" s="52" t="n"/>
      <c r="C106" s="52" t="n"/>
      <c r="D106" s="52" t="n"/>
      <c r="E106" s="52" t="n"/>
      <c r="F106" s="52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</row>
    <row r="107" ht="15.75" customHeight="1" s="673">
      <c r="A107" s="52" t="n"/>
      <c r="B107" s="52" t="n"/>
      <c r="C107" s="52" t="n"/>
      <c r="D107" s="52" t="n"/>
      <c r="E107" s="52" t="n"/>
      <c r="F107" s="52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</row>
    <row r="108" ht="15.75" customHeight="1" s="673">
      <c r="A108" s="52" t="n"/>
      <c r="B108" s="52" t="n"/>
      <c r="C108" s="52" t="n"/>
      <c r="D108" s="52" t="n"/>
      <c r="E108" s="52" t="n"/>
      <c r="F108" s="52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</row>
    <row r="109" ht="15.75" customHeight="1" s="673">
      <c r="A109" s="52" t="n"/>
      <c r="B109" s="52" t="n"/>
      <c r="C109" s="52" t="n"/>
      <c r="D109" s="52" t="n"/>
      <c r="E109" s="52" t="n"/>
      <c r="F109" s="52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</row>
    <row r="110" ht="15.75" customHeight="1" s="673">
      <c r="A110" s="52" t="n"/>
      <c r="B110" s="52" t="n"/>
      <c r="C110" s="52" t="n"/>
      <c r="D110" s="52" t="n"/>
      <c r="E110" s="52" t="n"/>
      <c r="F110" s="52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</row>
    <row r="111" ht="15.75" customHeight="1" s="673">
      <c r="A111" s="52" t="n"/>
      <c r="B111" s="52" t="n"/>
      <c r="C111" s="52" t="n"/>
      <c r="D111" s="52" t="n"/>
      <c r="E111" s="52" t="n"/>
      <c r="F111" s="52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</row>
    <row r="112" ht="15.75" customHeight="1" s="673">
      <c r="A112" s="52" t="n"/>
      <c r="B112" s="52" t="n"/>
      <c r="C112" s="52" t="n"/>
      <c r="D112" s="52" t="n"/>
      <c r="E112" s="52" t="n"/>
      <c r="F112" s="52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</row>
    <row r="113" ht="15.75" customHeight="1" s="673">
      <c r="A113" s="52" t="n"/>
      <c r="B113" s="52" t="n"/>
      <c r="C113" s="52" t="n"/>
      <c r="D113" s="52" t="n"/>
      <c r="E113" s="52" t="n"/>
      <c r="F113" s="52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</row>
    <row r="114" ht="15.75" customHeight="1" s="673">
      <c r="A114" s="52" t="n"/>
      <c r="B114" s="52" t="n"/>
      <c r="C114" s="52" t="n"/>
      <c r="D114" s="52" t="n"/>
      <c r="E114" s="52" t="n"/>
      <c r="F114" s="52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</row>
    <row r="115" ht="15.75" customHeight="1" s="673">
      <c r="A115" s="52" t="n"/>
      <c r="B115" s="52" t="n"/>
      <c r="C115" s="52" t="n"/>
      <c r="D115" s="52" t="n"/>
      <c r="E115" s="52" t="n"/>
      <c r="F115" s="52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</row>
    <row r="116" ht="15.75" customHeight="1" s="673">
      <c r="A116" s="52" t="n"/>
      <c r="B116" s="52" t="n"/>
      <c r="C116" s="52" t="n"/>
      <c r="D116" s="52" t="n"/>
      <c r="E116" s="52" t="n"/>
      <c r="F116" s="52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</row>
    <row r="117" ht="15.75" customHeight="1" s="673">
      <c r="A117" s="52" t="n"/>
      <c r="B117" s="52" t="n"/>
      <c r="C117" s="52" t="n"/>
      <c r="D117" s="52" t="n"/>
      <c r="E117" s="52" t="n"/>
      <c r="F117" s="52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</row>
    <row r="118" ht="15.75" customHeight="1" s="673">
      <c r="A118" s="52" t="n"/>
      <c r="B118" s="52" t="n"/>
      <c r="C118" s="52" t="n"/>
      <c r="D118" s="52" t="n"/>
      <c r="E118" s="52" t="n"/>
      <c r="F118" s="52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</row>
    <row r="119" ht="15.75" customHeight="1" s="673">
      <c r="A119" s="52" t="n"/>
      <c r="B119" s="52" t="n"/>
      <c r="C119" s="52" t="n"/>
      <c r="D119" s="52" t="n"/>
      <c r="E119" s="52" t="n"/>
      <c r="F119" s="52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</row>
    <row r="120" ht="15.75" customHeight="1" s="673">
      <c r="A120" s="52" t="n"/>
      <c r="B120" s="52" t="n"/>
      <c r="C120" s="52" t="n"/>
      <c r="D120" s="52" t="n"/>
      <c r="E120" s="52" t="n"/>
      <c r="F120" s="52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</row>
    <row r="121" ht="15.75" customHeight="1" s="673">
      <c r="A121" s="52" t="n"/>
      <c r="B121" s="52" t="n"/>
      <c r="C121" s="52" t="n"/>
      <c r="D121" s="52" t="n"/>
      <c r="E121" s="52" t="n"/>
      <c r="F121" s="52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</row>
    <row r="122" ht="15.75" customHeight="1" s="673">
      <c r="A122" s="52" t="n"/>
      <c r="B122" s="52" t="n"/>
      <c r="C122" s="52" t="n"/>
      <c r="D122" s="52" t="n"/>
      <c r="E122" s="52" t="n"/>
      <c r="F122" s="52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</row>
    <row r="123" ht="15.75" customHeight="1" s="673">
      <c r="A123" s="52" t="n"/>
      <c r="B123" s="52" t="n"/>
      <c r="C123" s="52" t="n"/>
      <c r="D123" s="52" t="n"/>
      <c r="E123" s="52" t="n"/>
      <c r="F123" s="52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</row>
    <row r="124" ht="15.75" customHeight="1" s="673">
      <c r="A124" s="52" t="n"/>
      <c r="B124" s="52" t="n"/>
      <c r="C124" s="52" t="n"/>
      <c r="D124" s="52" t="n"/>
      <c r="E124" s="52" t="n"/>
      <c r="F124" s="52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</row>
    <row r="125" ht="15.75" customHeight="1" s="673">
      <c r="A125" s="52" t="n"/>
      <c r="B125" s="52" t="n"/>
      <c r="C125" s="52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</row>
    <row r="126" ht="15.75" customHeight="1" s="673">
      <c r="A126" s="52" t="n"/>
      <c r="B126" s="52" t="n"/>
      <c r="C126" s="52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</row>
    <row r="127" ht="15.75" customHeight="1" s="673">
      <c r="A127" s="52" t="n"/>
      <c r="B127" s="52" t="n"/>
      <c r="C127" s="52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</row>
    <row r="128" ht="15.75" customHeight="1" s="673">
      <c r="A128" s="52" t="n"/>
      <c r="B128" s="52" t="n"/>
      <c r="C128" s="52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  <c r="Z128" s="52" t="n"/>
    </row>
    <row r="129" ht="15.75" customHeight="1" s="673">
      <c r="A129" s="52" t="n"/>
      <c r="B129" s="52" t="n"/>
      <c r="C129" s="52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  <c r="Z129" s="52" t="n"/>
    </row>
    <row r="130" ht="15.75" customHeight="1" s="673">
      <c r="A130" s="52" t="n"/>
      <c r="B130" s="52" t="n"/>
      <c r="C130" s="52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  <c r="Z130" s="52" t="n"/>
    </row>
    <row r="131" ht="15.75" customHeight="1" s="673">
      <c r="A131" s="52" t="n"/>
      <c r="B131" s="52" t="n"/>
      <c r="C131" s="52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  <c r="Z131" s="52" t="n"/>
    </row>
    <row r="132" ht="15.75" customHeight="1" s="673">
      <c r="A132" s="52" t="n"/>
      <c r="B132" s="52" t="n"/>
      <c r="C132" s="52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  <c r="Z132" s="52" t="n"/>
    </row>
    <row r="133" ht="15.75" customHeight="1" s="673">
      <c r="A133" s="52" t="n"/>
      <c r="B133" s="52" t="n"/>
      <c r="C133" s="52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  <c r="Z133" s="52" t="n"/>
    </row>
    <row r="134" ht="15.75" customHeight="1" s="673">
      <c r="A134" s="52" t="n"/>
      <c r="B134" s="52" t="n"/>
      <c r="C134" s="52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  <c r="Z134" s="52" t="n"/>
    </row>
    <row r="135" ht="15.75" customHeight="1" s="673">
      <c r="A135" s="52" t="n"/>
      <c r="B135" s="52" t="n"/>
      <c r="C135" s="52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  <c r="Z135" s="52" t="n"/>
    </row>
    <row r="136" ht="15.75" customHeight="1" s="673">
      <c r="A136" s="52" t="n"/>
      <c r="B136" s="52" t="n"/>
      <c r="C136" s="52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  <c r="Z136" s="52" t="n"/>
    </row>
    <row r="137" ht="15.75" customHeight="1" s="673">
      <c r="A137" s="52" t="n"/>
      <c r="B137" s="52" t="n"/>
      <c r="C137" s="52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  <c r="Z137" s="52" t="n"/>
    </row>
    <row r="138" ht="15.75" customHeight="1" s="673">
      <c r="A138" s="52" t="n"/>
      <c r="B138" s="52" t="n"/>
      <c r="C138" s="52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  <c r="Z138" s="52" t="n"/>
    </row>
    <row r="139" ht="15.75" customHeight="1" s="673">
      <c r="A139" s="52" t="n"/>
      <c r="B139" s="52" t="n"/>
      <c r="C139" s="52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  <c r="Z139" s="52" t="n"/>
    </row>
    <row r="140" ht="15.75" customHeight="1" s="673">
      <c r="A140" s="52" t="n"/>
      <c r="B140" s="52" t="n"/>
      <c r="C140" s="52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  <c r="Z140" s="52" t="n"/>
    </row>
    <row r="141" ht="15.75" customHeight="1" s="673">
      <c r="A141" s="52" t="n"/>
      <c r="B141" s="52" t="n"/>
      <c r="C141" s="52" t="n"/>
      <c r="D141" s="52" t="n"/>
      <c r="E141" s="52" t="n"/>
      <c r="F141" s="52" t="n"/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  <c r="Z141" s="52" t="n"/>
    </row>
    <row r="142" ht="15.75" customHeight="1" s="673">
      <c r="A142" s="52" t="n"/>
      <c r="B142" s="52" t="n"/>
      <c r="C142" s="52" t="n"/>
      <c r="D142" s="52" t="n"/>
      <c r="E142" s="52" t="n"/>
      <c r="F142" s="52" t="n"/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2" t="n"/>
    </row>
    <row r="143" ht="15.75" customHeight="1" s="673">
      <c r="A143" s="52" t="n"/>
      <c r="B143" s="52" t="n"/>
      <c r="C143" s="52" t="n"/>
      <c r="D143" s="52" t="n"/>
      <c r="E143" s="52" t="n"/>
      <c r="F143" s="52" t="n"/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  <c r="Z143" s="52" t="n"/>
    </row>
    <row r="144" ht="15.75" customHeight="1" s="673">
      <c r="A144" s="52" t="n"/>
      <c r="B144" s="52" t="n"/>
      <c r="C144" s="52" t="n"/>
      <c r="D144" s="52" t="n"/>
      <c r="E144" s="52" t="n"/>
      <c r="F144" s="52" t="n"/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2" t="n"/>
    </row>
    <row r="145" ht="15.75" customHeight="1" s="673">
      <c r="A145" s="52" t="n"/>
      <c r="B145" s="52" t="n"/>
      <c r="C145" s="52" t="n"/>
      <c r="D145" s="52" t="n"/>
      <c r="E145" s="52" t="n"/>
      <c r="F145" s="52" t="n"/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  <c r="Z145" s="52" t="n"/>
    </row>
    <row r="146" ht="15.75" customHeight="1" s="673">
      <c r="A146" s="52" t="n"/>
      <c r="B146" s="52" t="n"/>
      <c r="C146" s="52" t="n"/>
      <c r="D146" s="52" t="n"/>
      <c r="E146" s="52" t="n"/>
      <c r="F146" s="52" t="n"/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  <c r="Z146" s="52" t="n"/>
    </row>
    <row r="147" ht="15.75" customHeight="1" s="673">
      <c r="A147" s="52" t="n"/>
      <c r="B147" s="52" t="n"/>
      <c r="C147" s="52" t="n"/>
      <c r="D147" s="52" t="n"/>
      <c r="E147" s="52" t="n"/>
      <c r="F147" s="52" t="n"/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  <c r="Z147" s="52" t="n"/>
    </row>
    <row r="148" ht="15.75" customHeight="1" s="673">
      <c r="A148" s="52" t="n"/>
      <c r="B148" s="52" t="n"/>
      <c r="C148" s="52" t="n"/>
      <c r="D148" s="52" t="n"/>
      <c r="E148" s="52" t="n"/>
      <c r="F148" s="52" t="n"/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  <c r="Z148" s="52" t="n"/>
    </row>
    <row r="149" ht="15.75" customHeight="1" s="673">
      <c r="A149" s="52" t="n"/>
      <c r="B149" s="52" t="n"/>
      <c r="C149" s="52" t="n"/>
      <c r="D149" s="52" t="n"/>
      <c r="E149" s="52" t="n"/>
      <c r="F149" s="52" t="n"/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  <c r="Z149" s="52" t="n"/>
    </row>
    <row r="150" ht="15.75" customHeight="1" s="673">
      <c r="A150" s="52" t="n"/>
      <c r="B150" s="52" t="n"/>
      <c r="C150" s="52" t="n"/>
      <c r="D150" s="52" t="n"/>
      <c r="E150" s="52" t="n"/>
      <c r="F150" s="52" t="n"/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  <c r="Z150" s="52" t="n"/>
    </row>
    <row r="151" ht="15.75" customHeight="1" s="673">
      <c r="A151" s="52" t="n"/>
      <c r="B151" s="52" t="n"/>
      <c r="C151" s="52" t="n"/>
      <c r="D151" s="52" t="n"/>
      <c r="E151" s="52" t="n"/>
      <c r="F151" s="52" t="n"/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  <c r="Z151" s="52" t="n"/>
    </row>
    <row r="152" ht="15.75" customHeight="1" s="673">
      <c r="A152" s="52" t="n"/>
      <c r="B152" s="52" t="n"/>
      <c r="C152" s="52" t="n"/>
      <c r="D152" s="52" t="n"/>
      <c r="E152" s="52" t="n"/>
      <c r="F152" s="52" t="n"/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  <c r="Z152" s="52" t="n"/>
    </row>
    <row r="153" ht="15.75" customHeight="1" s="673">
      <c r="A153" s="52" t="n"/>
      <c r="B153" s="52" t="n"/>
      <c r="C153" s="52" t="n"/>
      <c r="D153" s="52" t="n"/>
      <c r="E153" s="52" t="n"/>
      <c r="F153" s="52" t="n"/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  <c r="Z153" s="52" t="n"/>
    </row>
    <row r="154" ht="15.75" customHeight="1" s="673">
      <c r="A154" s="52" t="n"/>
      <c r="B154" s="52" t="n"/>
      <c r="C154" s="52" t="n"/>
      <c r="D154" s="52" t="n"/>
      <c r="E154" s="52" t="n"/>
      <c r="F154" s="52" t="n"/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  <c r="Z154" s="52" t="n"/>
    </row>
    <row r="155" ht="15.75" customHeight="1" s="673">
      <c r="A155" s="52" t="n"/>
      <c r="B155" s="52" t="n"/>
      <c r="C155" s="52" t="n"/>
      <c r="D155" s="52" t="n"/>
      <c r="E155" s="52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  <c r="Z155" s="52" t="n"/>
    </row>
    <row r="156" ht="15.75" customHeight="1" s="673">
      <c r="A156" s="52" t="n"/>
      <c r="B156" s="52" t="n"/>
      <c r="C156" s="52" t="n"/>
      <c r="D156" s="52" t="n"/>
      <c r="E156" s="52" t="n"/>
      <c r="F156" s="52" t="n"/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  <c r="Z156" s="52" t="n"/>
    </row>
    <row r="157" ht="15.75" customHeight="1" s="673">
      <c r="A157" s="52" t="n"/>
      <c r="B157" s="52" t="n"/>
      <c r="C157" s="52" t="n"/>
      <c r="D157" s="52" t="n"/>
      <c r="E157" s="52" t="n"/>
      <c r="F157" s="52" t="n"/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  <c r="Z157" s="52" t="n"/>
    </row>
    <row r="158" ht="15.75" customHeight="1" s="673">
      <c r="A158" s="52" t="n"/>
      <c r="B158" s="52" t="n"/>
      <c r="C158" s="52" t="n"/>
      <c r="D158" s="52" t="n"/>
      <c r="E158" s="52" t="n"/>
      <c r="F158" s="52" t="n"/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  <c r="Z158" s="52" t="n"/>
    </row>
    <row r="159" ht="15.75" customHeight="1" s="673">
      <c r="A159" s="52" t="n"/>
      <c r="B159" s="52" t="n"/>
      <c r="C159" s="52" t="n"/>
      <c r="D159" s="52" t="n"/>
      <c r="E159" s="52" t="n"/>
      <c r="F159" s="52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  <c r="Z159" s="52" t="n"/>
    </row>
    <row r="160" ht="15.75" customHeight="1" s="673">
      <c r="A160" s="52" t="n"/>
      <c r="B160" s="52" t="n"/>
      <c r="C160" s="52" t="n"/>
      <c r="D160" s="52" t="n"/>
      <c r="E160" s="52" t="n"/>
      <c r="F160" s="52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  <c r="Z160" s="52" t="n"/>
    </row>
    <row r="161" ht="15.75" customHeight="1" s="673">
      <c r="A161" s="52" t="n"/>
      <c r="B161" s="52" t="n"/>
      <c r="C161" s="52" t="n"/>
      <c r="D161" s="52" t="n"/>
      <c r="E161" s="52" t="n"/>
      <c r="F161" s="52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  <c r="Z161" s="52" t="n"/>
    </row>
    <row r="162" ht="15.75" customHeight="1" s="673">
      <c r="A162" s="52" t="n"/>
      <c r="B162" s="52" t="n"/>
      <c r="C162" s="52" t="n"/>
      <c r="D162" s="52" t="n"/>
      <c r="E162" s="52" t="n"/>
      <c r="F162" s="52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  <c r="Z162" s="52" t="n"/>
    </row>
    <row r="163" ht="15.75" customHeight="1" s="673">
      <c r="A163" s="52" t="n"/>
      <c r="B163" s="52" t="n"/>
      <c r="C163" s="52" t="n"/>
      <c r="D163" s="52" t="n"/>
      <c r="E163" s="52" t="n"/>
      <c r="F163" s="52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5.75" customHeight="1" s="673">
      <c r="A164" s="52" t="n"/>
      <c r="B164" s="52" t="n"/>
      <c r="C164" s="52" t="n"/>
      <c r="D164" s="52" t="n"/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5.75" customHeight="1" s="673">
      <c r="A165" s="52" t="n"/>
      <c r="B165" s="52" t="n"/>
      <c r="C165" s="52" t="n"/>
      <c r="D165" s="52" t="n"/>
      <c r="E165" s="52" t="n"/>
      <c r="F165" s="52" t="n"/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5.75" customHeight="1" s="673">
      <c r="A166" s="52" t="n"/>
      <c r="B166" s="52" t="n"/>
      <c r="C166" s="52" t="n"/>
      <c r="D166" s="52" t="n"/>
      <c r="E166" s="52" t="n"/>
      <c r="F166" s="52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5.75" customHeight="1" s="673">
      <c r="A167" s="52" t="n"/>
      <c r="B167" s="52" t="n"/>
      <c r="C167" s="52" t="n"/>
      <c r="D167" s="52" t="n"/>
      <c r="E167" s="52" t="n"/>
      <c r="F167" s="52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15.75" customHeight="1" s="673">
      <c r="A168" s="52" t="n"/>
      <c r="B168" s="52" t="n"/>
      <c r="C168" s="52" t="n"/>
      <c r="D168" s="52" t="n"/>
      <c r="E168" s="52" t="n"/>
      <c r="F168" s="52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673">
      <c r="A169" s="52" t="n"/>
      <c r="B169" s="52" t="n"/>
      <c r="C169" s="52" t="n"/>
      <c r="D169" s="52" t="n"/>
      <c r="E169" s="52" t="n"/>
      <c r="F169" s="52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673">
      <c r="A170" s="52" t="n"/>
      <c r="B170" s="52" t="n"/>
      <c r="C170" s="52" t="n"/>
      <c r="D170" s="52" t="n"/>
      <c r="E170" s="52" t="n"/>
      <c r="F170" s="52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673">
      <c r="A171" s="52" t="n"/>
      <c r="B171" s="52" t="n"/>
      <c r="C171" s="52" t="n"/>
      <c r="D171" s="52" t="n"/>
      <c r="E171" s="52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15.75" customHeight="1" s="673">
      <c r="A172" s="52" t="n"/>
      <c r="B172" s="52" t="n"/>
      <c r="C172" s="52" t="n"/>
      <c r="D172" s="52" t="n"/>
      <c r="E172" s="52" t="n"/>
      <c r="F172" s="52" t="n"/>
      <c r="G172" s="52" t="n"/>
      <c r="H172" s="52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673">
      <c r="A173" s="52" t="n"/>
      <c r="B173" s="52" t="n"/>
      <c r="C173" s="52" t="n"/>
      <c r="D173" s="52" t="n"/>
      <c r="E173" s="52" t="n"/>
      <c r="F173" s="52" t="n"/>
      <c r="G173" s="52" t="n"/>
      <c r="H173" s="52" t="n"/>
      <c r="I173" s="52" t="n"/>
      <c r="J173" s="52" t="n"/>
      <c r="K173" s="52" t="n"/>
      <c r="L173" s="52" t="n"/>
      <c r="M173" s="52" t="n"/>
      <c r="N173" s="52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2" t="n"/>
    </row>
    <row r="174" ht="15.75" customHeight="1" s="673">
      <c r="A174" s="52" t="n"/>
      <c r="B174" s="52" t="n"/>
      <c r="C174" s="52" t="n"/>
      <c r="D174" s="52" t="n"/>
      <c r="E174" s="52" t="n"/>
      <c r="F174" s="52" t="n"/>
      <c r="G174" s="52" t="n"/>
      <c r="H174" s="52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  <c r="S174" s="52" t="n"/>
      <c r="T174" s="52" t="n"/>
      <c r="U174" s="52" t="n"/>
      <c r="V174" s="52" t="n"/>
      <c r="W174" s="52" t="n"/>
      <c r="X174" s="52" t="n"/>
      <c r="Y174" s="52" t="n"/>
      <c r="Z174" s="52" t="n"/>
    </row>
    <row r="175" ht="15.75" customHeight="1" s="673">
      <c r="A175" s="52" t="n"/>
      <c r="B175" s="52" t="n"/>
      <c r="C175" s="52" t="n"/>
      <c r="D175" s="52" t="n"/>
      <c r="E175" s="52" t="n"/>
      <c r="F175" s="52" t="n"/>
      <c r="G175" s="52" t="n"/>
      <c r="H175" s="52" t="n"/>
      <c r="I175" s="52" t="n"/>
      <c r="J175" s="52" t="n"/>
      <c r="K175" s="52" t="n"/>
      <c r="L175" s="52" t="n"/>
      <c r="M175" s="52" t="n"/>
      <c r="N175" s="52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2" t="n"/>
    </row>
    <row r="176" ht="15.75" customHeight="1" s="673">
      <c r="A176" s="52" t="n"/>
      <c r="B176" s="52" t="n"/>
      <c r="C176" s="52" t="n"/>
      <c r="D176" s="52" t="n"/>
      <c r="E176" s="52" t="n"/>
      <c r="F176" s="52" t="n"/>
      <c r="G176" s="52" t="n"/>
      <c r="H176" s="52" t="n"/>
      <c r="I176" s="52" t="n"/>
      <c r="J176" s="52" t="n"/>
      <c r="K176" s="52" t="n"/>
      <c r="L176" s="52" t="n"/>
      <c r="M176" s="52" t="n"/>
      <c r="N176" s="52" t="n"/>
      <c r="O176" s="52" t="n"/>
      <c r="P176" s="52" t="n"/>
      <c r="Q176" s="52" t="n"/>
      <c r="R176" s="52" t="n"/>
      <c r="S176" s="52" t="n"/>
      <c r="T176" s="52" t="n"/>
      <c r="U176" s="52" t="n"/>
      <c r="V176" s="52" t="n"/>
      <c r="W176" s="52" t="n"/>
      <c r="X176" s="52" t="n"/>
      <c r="Y176" s="52" t="n"/>
      <c r="Z176" s="52" t="n"/>
    </row>
    <row r="177" ht="15.75" customHeight="1" s="673">
      <c r="A177" s="52" t="n"/>
      <c r="B177" s="52" t="n"/>
      <c r="C177" s="52" t="n"/>
      <c r="D177" s="52" t="n"/>
      <c r="E177" s="52" t="n"/>
      <c r="F177" s="52" t="n"/>
      <c r="G177" s="52" t="n"/>
      <c r="H177" s="52" t="n"/>
      <c r="I177" s="52" t="n"/>
      <c r="J177" s="52" t="n"/>
      <c r="K177" s="52" t="n"/>
      <c r="L177" s="52" t="n"/>
      <c r="M177" s="52" t="n"/>
      <c r="N177" s="52" t="n"/>
      <c r="O177" s="52" t="n"/>
      <c r="P177" s="52" t="n"/>
      <c r="Q177" s="52" t="n"/>
      <c r="R177" s="52" t="n"/>
      <c r="S177" s="52" t="n"/>
      <c r="T177" s="52" t="n"/>
      <c r="U177" s="52" t="n"/>
      <c r="V177" s="52" t="n"/>
      <c r="W177" s="52" t="n"/>
      <c r="X177" s="52" t="n"/>
      <c r="Y177" s="52" t="n"/>
      <c r="Z177" s="52" t="n"/>
    </row>
    <row r="178" ht="15.75" customHeight="1" s="673">
      <c r="A178" s="52" t="n"/>
      <c r="B178" s="52" t="n"/>
      <c r="C178" s="52" t="n"/>
      <c r="D178" s="52" t="n"/>
      <c r="E178" s="52" t="n"/>
      <c r="F178" s="52" t="n"/>
      <c r="G178" s="52" t="n"/>
      <c r="H178" s="52" t="n"/>
      <c r="I178" s="52" t="n"/>
      <c r="J178" s="52" t="n"/>
      <c r="K178" s="52" t="n"/>
      <c r="L178" s="52" t="n"/>
      <c r="M178" s="52" t="n"/>
      <c r="N178" s="52" t="n"/>
      <c r="O178" s="52" t="n"/>
      <c r="P178" s="52" t="n"/>
      <c r="Q178" s="52" t="n"/>
      <c r="R178" s="52" t="n"/>
      <c r="S178" s="52" t="n"/>
      <c r="T178" s="52" t="n"/>
      <c r="U178" s="52" t="n"/>
      <c r="V178" s="52" t="n"/>
      <c r="W178" s="52" t="n"/>
      <c r="X178" s="52" t="n"/>
      <c r="Y178" s="52" t="n"/>
      <c r="Z178" s="52" t="n"/>
    </row>
    <row r="179" ht="15.75" customHeight="1" s="673">
      <c r="A179" s="52" t="n"/>
      <c r="B179" s="52" t="n"/>
      <c r="C179" s="52" t="n"/>
      <c r="D179" s="52" t="n"/>
      <c r="E179" s="52" t="n"/>
      <c r="F179" s="52" t="n"/>
      <c r="G179" s="52" t="n"/>
      <c r="H179" s="52" t="n"/>
      <c r="I179" s="52" t="n"/>
      <c r="J179" s="52" t="n"/>
      <c r="K179" s="52" t="n"/>
      <c r="L179" s="52" t="n"/>
      <c r="M179" s="52" t="n"/>
      <c r="N179" s="52" t="n"/>
      <c r="O179" s="52" t="n"/>
      <c r="P179" s="52" t="n"/>
      <c r="Q179" s="52" t="n"/>
      <c r="R179" s="52" t="n"/>
      <c r="S179" s="52" t="n"/>
      <c r="T179" s="52" t="n"/>
      <c r="U179" s="52" t="n"/>
      <c r="V179" s="52" t="n"/>
      <c r="W179" s="52" t="n"/>
      <c r="X179" s="52" t="n"/>
      <c r="Y179" s="52" t="n"/>
      <c r="Z179" s="52" t="n"/>
    </row>
    <row r="180" ht="15.75" customHeight="1" s="673">
      <c r="A180" s="52" t="n"/>
      <c r="B180" s="52" t="n"/>
      <c r="C180" s="52" t="n"/>
      <c r="D180" s="52" t="n"/>
      <c r="E180" s="52" t="n"/>
      <c r="F180" s="52" t="n"/>
      <c r="G180" s="52" t="n"/>
      <c r="H180" s="52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  <c r="S180" s="52" t="n"/>
      <c r="T180" s="52" t="n"/>
      <c r="U180" s="52" t="n"/>
      <c r="V180" s="52" t="n"/>
      <c r="W180" s="52" t="n"/>
      <c r="X180" s="52" t="n"/>
      <c r="Y180" s="52" t="n"/>
      <c r="Z180" s="52" t="n"/>
    </row>
    <row r="181" ht="15.75" customHeight="1" s="673">
      <c r="A181" s="52" t="n"/>
      <c r="B181" s="52" t="n"/>
      <c r="C181" s="52" t="n"/>
      <c r="D181" s="52" t="n"/>
      <c r="E181" s="52" t="n"/>
      <c r="F181" s="52" t="n"/>
      <c r="G181" s="52" t="n"/>
      <c r="H181" s="52" t="n"/>
      <c r="I181" s="52" t="n"/>
      <c r="J181" s="52" t="n"/>
      <c r="K181" s="52" t="n"/>
      <c r="L181" s="52" t="n"/>
      <c r="M181" s="52" t="n"/>
      <c r="N181" s="52" t="n"/>
      <c r="O181" s="52" t="n"/>
      <c r="P181" s="52" t="n"/>
      <c r="Q181" s="52" t="n"/>
      <c r="R181" s="52" t="n"/>
      <c r="S181" s="52" t="n"/>
      <c r="T181" s="52" t="n"/>
      <c r="U181" s="52" t="n"/>
      <c r="V181" s="52" t="n"/>
      <c r="W181" s="52" t="n"/>
      <c r="X181" s="52" t="n"/>
      <c r="Y181" s="52" t="n"/>
      <c r="Z181" s="52" t="n"/>
    </row>
    <row r="182" ht="15.75" customHeight="1" s="673">
      <c r="A182" s="52" t="n"/>
      <c r="B182" s="52" t="n"/>
      <c r="C182" s="52" t="n"/>
      <c r="D182" s="52" t="n"/>
      <c r="E182" s="52" t="n"/>
      <c r="F182" s="52" t="n"/>
      <c r="G182" s="52" t="n"/>
      <c r="H182" s="52" t="n"/>
      <c r="I182" s="52" t="n"/>
      <c r="J182" s="52" t="n"/>
      <c r="K182" s="52" t="n"/>
      <c r="L182" s="52" t="n"/>
      <c r="M182" s="52" t="n"/>
      <c r="N182" s="52" t="n"/>
      <c r="O182" s="52" t="n"/>
      <c r="P182" s="52" t="n"/>
      <c r="Q182" s="52" t="n"/>
      <c r="R182" s="52" t="n"/>
      <c r="S182" s="52" t="n"/>
      <c r="T182" s="52" t="n"/>
      <c r="U182" s="52" t="n"/>
      <c r="V182" s="52" t="n"/>
      <c r="W182" s="52" t="n"/>
      <c r="X182" s="52" t="n"/>
      <c r="Y182" s="52" t="n"/>
      <c r="Z182" s="52" t="n"/>
    </row>
    <row r="183" ht="15.75" customHeight="1" s="673">
      <c r="A183" s="52" t="n"/>
      <c r="B183" s="52" t="n"/>
      <c r="C183" s="52" t="n"/>
      <c r="D183" s="52" t="n"/>
      <c r="E183" s="52" t="n"/>
      <c r="F183" s="52" t="n"/>
      <c r="G183" s="52" t="n"/>
      <c r="H183" s="52" t="n"/>
      <c r="I183" s="52" t="n"/>
      <c r="J183" s="52" t="n"/>
      <c r="K183" s="52" t="n"/>
      <c r="L183" s="52" t="n"/>
      <c r="M183" s="52" t="n"/>
      <c r="N183" s="52" t="n"/>
      <c r="O183" s="52" t="n"/>
      <c r="P183" s="52" t="n"/>
      <c r="Q183" s="52" t="n"/>
      <c r="R183" s="52" t="n"/>
      <c r="S183" s="52" t="n"/>
      <c r="T183" s="52" t="n"/>
      <c r="U183" s="52" t="n"/>
      <c r="V183" s="52" t="n"/>
      <c r="W183" s="52" t="n"/>
      <c r="X183" s="52" t="n"/>
      <c r="Y183" s="52" t="n"/>
      <c r="Z183" s="52" t="n"/>
    </row>
    <row r="184" ht="15.75" customHeight="1" s="673">
      <c r="A184" s="52" t="n"/>
      <c r="B184" s="52" t="n"/>
      <c r="C184" s="52" t="n"/>
      <c r="D184" s="52" t="n"/>
      <c r="E184" s="52" t="n"/>
      <c r="F184" s="52" t="n"/>
      <c r="G184" s="52" t="n"/>
      <c r="H184" s="52" t="n"/>
      <c r="I184" s="52" t="n"/>
      <c r="J184" s="52" t="n"/>
      <c r="K184" s="52" t="n"/>
      <c r="L184" s="52" t="n"/>
      <c r="M184" s="52" t="n"/>
      <c r="N184" s="52" t="n"/>
      <c r="O184" s="52" t="n"/>
      <c r="P184" s="52" t="n"/>
      <c r="Q184" s="52" t="n"/>
      <c r="R184" s="52" t="n"/>
      <c r="S184" s="52" t="n"/>
      <c r="T184" s="52" t="n"/>
      <c r="U184" s="52" t="n"/>
      <c r="V184" s="52" t="n"/>
      <c r="W184" s="52" t="n"/>
      <c r="X184" s="52" t="n"/>
      <c r="Y184" s="52" t="n"/>
      <c r="Z184" s="52" t="n"/>
    </row>
    <row r="185" ht="15.75" customHeight="1" s="673">
      <c r="A185" s="52" t="n"/>
      <c r="B185" s="52" t="n"/>
      <c r="C185" s="52" t="n"/>
      <c r="D185" s="52" t="n"/>
      <c r="E185" s="52" t="n"/>
      <c r="F185" s="52" t="n"/>
      <c r="G185" s="52" t="n"/>
      <c r="H185" s="52" t="n"/>
      <c r="I185" s="52" t="n"/>
      <c r="J185" s="52" t="n"/>
      <c r="K185" s="52" t="n"/>
      <c r="L185" s="52" t="n"/>
      <c r="M185" s="52" t="n"/>
      <c r="N185" s="52" t="n"/>
      <c r="O185" s="52" t="n"/>
      <c r="P185" s="52" t="n"/>
      <c r="Q185" s="52" t="n"/>
      <c r="R185" s="52" t="n"/>
      <c r="S185" s="52" t="n"/>
      <c r="T185" s="52" t="n"/>
      <c r="U185" s="52" t="n"/>
      <c r="V185" s="52" t="n"/>
      <c r="W185" s="52" t="n"/>
      <c r="X185" s="52" t="n"/>
      <c r="Y185" s="52" t="n"/>
      <c r="Z185" s="52" t="n"/>
    </row>
    <row r="186" ht="15.75" customHeight="1" s="673">
      <c r="A186" s="52" t="n"/>
      <c r="B186" s="52" t="n"/>
      <c r="C186" s="52" t="n"/>
      <c r="D186" s="52" t="n"/>
      <c r="E186" s="52" t="n"/>
      <c r="F186" s="52" t="n"/>
      <c r="G186" s="52" t="n"/>
      <c r="H186" s="52" t="n"/>
      <c r="I186" s="52" t="n"/>
      <c r="J186" s="52" t="n"/>
      <c r="K186" s="52" t="n"/>
      <c r="L186" s="52" t="n"/>
      <c r="M186" s="52" t="n"/>
      <c r="N186" s="52" t="n"/>
      <c r="O186" s="52" t="n"/>
      <c r="P186" s="52" t="n"/>
      <c r="Q186" s="52" t="n"/>
      <c r="R186" s="52" t="n"/>
      <c r="S186" s="52" t="n"/>
      <c r="T186" s="52" t="n"/>
      <c r="U186" s="52" t="n"/>
      <c r="V186" s="52" t="n"/>
      <c r="W186" s="52" t="n"/>
      <c r="X186" s="52" t="n"/>
      <c r="Y186" s="52" t="n"/>
      <c r="Z186" s="52" t="n"/>
    </row>
    <row r="187" ht="15.75" customHeight="1" s="673">
      <c r="A187" s="52" t="n"/>
      <c r="B187" s="52" t="n"/>
      <c r="C187" s="52" t="n"/>
      <c r="D187" s="52" t="n"/>
      <c r="E187" s="52" t="n"/>
      <c r="F187" s="52" t="n"/>
      <c r="G187" s="52" t="n"/>
      <c r="H187" s="52" t="n"/>
      <c r="I187" s="52" t="n"/>
      <c r="J187" s="52" t="n"/>
      <c r="K187" s="52" t="n"/>
      <c r="L187" s="52" t="n"/>
      <c r="M187" s="52" t="n"/>
      <c r="N187" s="52" t="n"/>
      <c r="O187" s="52" t="n"/>
      <c r="P187" s="52" t="n"/>
      <c r="Q187" s="52" t="n"/>
      <c r="R187" s="52" t="n"/>
      <c r="S187" s="52" t="n"/>
      <c r="T187" s="52" t="n"/>
      <c r="U187" s="52" t="n"/>
      <c r="V187" s="52" t="n"/>
      <c r="W187" s="52" t="n"/>
      <c r="X187" s="52" t="n"/>
      <c r="Y187" s="52" t="n"/>
      <c r="Z187" s="52" t="n"/>
    </row>
    <row r="188" ht="15.75" customHeight="1" s="673">
      <c r="A188" s="52" t="n"/>
      <c r="B188" s="52" t="n"/>
      <c r="C188" s="52" t="n"/>
      <c r="D188" s="52" t="n"/>
      <c r="E188" s="52" t="n"/>
      <c r="F188" s="52" t="n"/>
      <c r="G188" s="52" t="n"/>
      <c r="H188" s="52" t="n"/>
      <c r="I188" s="52" t="n"/>
      <c r="J188" s="52" t="n"/>
      <c r="K188" s="52" t="n"/>
      <c r="L188" s="52" t="n"/>
      <c r="M188" s="52" t="n"/>
      <c r="N188" s="52" t="n"/>
      <c r="O188" s="52" t="n"/>
      <c r="P188" s="52" t="n"/>
      <c r="Q188" s="52" t="n"/>
      <c r="R188" s="52" t="n"/>
      <c r="S188" s="52" t="n"/>
      <c r="T188" s="52" t="n"/>
      <c r="U188" s="52" t="n"/>
      <c r="V188" s="52" t="n"/>
      <c r="W188" s="52" t="n"/>
      <c r="X188" s="52" t="n"/>
      <c r="Y188" s="52" t="n"/>
      <c r="Z188" s="52" t="n"/>
    </row>
    <row r="189" ht="15.75" customHeight="1" s="673">
      <c r="A189" s="52" t="n"/>
      <c r="B189" s="52" t="n"/>
      <c r="C189" s="52" t="n"/>
      <c r="D189" s="52" t="n"/>
      <c r="E189" s="52" t="n"/>
      <c r="F189" s="52" t="n"/>
      <c r="G189" s="52" t="n"/>
      <c r="H189" s="52" t="n"/>
      <c r="I189" s="52" t="n"/>
      <c r="J189" s="52" t="n"/>
      <c r="K189" s="52" t="n"/>
      <c r="L189" s="52" t="n"/>
      <c r="M189" s="52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  <c r="X189" s="52" t="n"/>
      <c r="Y189" s="52" t="n"/>
      <c r="Z189" s="52" t="n"/>
    </row>
    <row r="190" ht="15.75" customHeight="1" s="673">
      <c r="A190" s="52" t="n"/>
      <c r="B190" s="52" t="n"/>
      <c r="C190" s="52" t="n"/>
      <c r="D190" s="52" t="n"/>
      <c r="E190" s="52" t="n"/>
      <c r="F190" s="52" t="n"/>
      <c r="G190" s="52" t="n"/>
      <c r="H190" s="52" t="n"/>
      <c r="I190" s="52" t="n"/>
      <c r="J190" s="52" t="n"/>
      <c r="K190" s="52" t="n"/>
      <c r="L190" s="52" t="n"/>
      <c r="M190" s="52" t="n"/>
      <c r="N190" s="52" t="n"/>
      <c r="O190" s="52" t="n"/>
      <c r="P190" s="52" t="n"/>
      <c r="Q190" s="52" t="n"/>
      <c r="R190" s="52" t="n"/>
      <c r="S190" s="52" t="n"/>
      <c r="T190" s="52" t="n"/>
      <c r="U190" s="52" t="n"/>
      <c r="V190" s="52" t="n"/>
      <c r="W190" s="52" t="n"/>
      <c r="X190" s="52" t="n"/>
      <c r="Y190" s="52" t="n"/>
      <c r="Z190" s="52" t="n"/>
    </row>
    <row r="191" ht="15.75" customHeight="1" s="673">
      <c r="A191" s="52" t="n"/>
      <c r="B191" s="52" t="n"/>
      <c r="C191" s="52" t="n"/>
      <c r="D191" s="52" t="n"/>
      <c r="E191" s="52" t="n"/>
      <c r="F191" s="52" t="n"/>
      <c r="G191" s="52" t="n"/>
      <c r="H191" s="52" t="n"/>
      <c r="I191" s="52" t="n"/>
      <c r="J191" s="52" t="n"/>
      <c r="K191" s="52" t="n"/>
      <c r="L191" s="52" t="n"/>
      <c r="M191" s="52" t="n"/>
      <c r="N191" s="52" t="n"/>
      <c r="O191" s="52" t="n"/>
      <c r="P191" s="52" t="n"/>
      <c r="Q191" s="52" t="n"/>
      <c r="R191" s="52" t="n"/>
      <c r="S191" s="52" t="n"/>
      <c r="T191" s="52" t="n"/>
      <c r="U191" s="52" t="n"/>
      <c r="V191" s="52" t="n"/>
      <c r="W191" s="52" t="n"/>
      <c r="X191" s="52" t="n"/>
      <c r="Y191" s="52" t="n"/>
      <c r="Z191" s="52" t="n"/>
    </row>
    <row r="192" ht="15.75" customHeight="1" s="673">
      <c r="A192" s="52" t="n"/>
      <c r="B192" s="52" t="n"/>
      <c r="C192" s="52" t="n"/>
      <c r="D192" s="52" t="n"/>
      <c r="E192" s="52" t="n"/>
      <c r="F192" s="52" t="n"/>
      <c r="G192" s="52" t="n"/>
      <c r="H192" s="52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  <c r="X192" s="52" t="n"/>
      <c r="Y192" s="52" t="n"/>
      <c r="Z192" s="52" t="n"/>
    </row>
    <row r="193" ht="15.75" customHeight="1" s="673">
      <c r="A193" s="52" t="n"/>
      <c r="B193" s="52" t="n"/>
      <c r="C193" s="52" t="n"/>
      <c r="D193" s="52" t="n"/>
      <c r="E193" s="52" t="n"/>
      <c r="F193" s="52" t="n"/>
      <c r="G193" s="52" t="n"/>
      <c r="H193" s="52" t="n"/>
      <c r="I193" s="52" t="n"/>
      <c r="J193" s="52" t="n"/>
      <c r="K193" s="52" t="n"/>
      <c r="L193" s="52" t="n"/>
      <c r="M193" s="52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  <c r="X193" s="52" t="n"/>
      <c r="Y193" s="52" t="n"/>
      <c r="Z193" s="52" t="n"/>
    </row>
    <row r="194" ht="15.75" customHeight="1" s="673">
      <c r="A194" s="52" t="n"/>
      <c r="B194" s="52" t="n"/>
      <c r="C194" s="52" t="n"/>
      <c r="D194" s="52" t="n"/>
      <c r="E194" s="52" t="n"/>
      <c r="F194" s="52" t="n"/>
      <c r="G194" s="52" t="n"/>
      <c r="H194" s="52" t="n"/>
      <c r="I194" s="52" t="n"/>
      <c r="J194" s="52" t="n"/>
      <c r="K194" s="52" t="n"/>
      <c r="L194" s="52" t="n"/>
      <c r="M194" s="52" t="n"/>
      <c r="N194" s="52" t="n"/>
      <c r="O194" s="52" t="n"/>
      <c r="P194" s="52" t="n"/>
      <c r="Q194" s="52" t="n"/>
      <c r="R194" s="52" t="n"/>
      <c r="S194" s="52" t="n"/>
      <c r="T194" s="52" t="n"/>
      <c r="U194" s="52" t="n"/>
      <c r="V194" s="52" t="n"/>
      <c r="W194" s="52" t="n"/>
      <c r="X194" s="52" t="n"/>
      <c r="Y194" s="52" t="n"/>
      <c r="Z194" s="52" t="n"/>
    </row>
    <row r="195" ht="15.75" customHeight="1" s="673">
      <c r="A195" s="52" t="n"/>
      <c r="B195" s="52" t="n"/>
      <c r="C195" s="52" t="n"/>
      <c r="D195" s="52" t="n"/>
      <c r="E195" s="52" t="n"/>
      <c r="F195" s="52" t="n"/>
      <c r="G195" s="52" t="n"/>
      <c r="H195" s="52" t="n"/>
      <c r="I195" s="52" t="n"/>
      <c r="J195" s="52" t="n"/>
      <c r="K195" s="52" t="n"/>
      <c r="L195" s="52" t="n"/>
      <c r="M195" s="52" t="n"/>
      <c r="N195" s="52" t="n"/>
      <c r="O195" s="52" t="n"/>
      <c r="P195" s="52" t="n"/>
      <c r="Q195" s="52" t="n"/>
      <c r="R195" s="52" t="n"/>
      <c r="S195" s="52" t="n"/>
      <c r="T195" s="52" t="n"/>
      <c r="U195" s="52" t="n"/>
      <c r="V195" s="52" t="n"/>
      <c r="W195" s="52" t="n"/>
      <c r="X195" s="52" t="n"/>
      <c r="Y195" s="52" t="n"/>
      <c r="Z195" s="52" t="n"/>
    </row>
    <row r="196" ht="15.75" customHeight="1" s="673">
      <c r="A196" s="52" t="n"/>
      <c r="B196" s="52" t="n"/>
      <c r="C196" s="52" t="n"/>
      <c r="D196" s="52" t="n"/>
      <c r="E196" s="52" t="n"/>
      <c r="F196" s="52" t="n"/>
      <c r="G196" s="52" t="n"/>
      <c r="H196" s="52" t="n"/>
      <c r="I196" s="52" t="n"/>
      <c r="J196" s="52" t="n"/>
      <c r="K196" s="52" t="n"/>
      <c r="L196" s="52" t="n"/>
      <c r="M196" s="52" t="n"/>
      <c r="N196" s="52" t="n"/>
      <c r="O196" s="52" t="n"/>
      <c r="P196" s="52" t="n"/>
      <c r="Q196" s="52" t="n"/>
      <c r="R196" s="52" t="n"/>
      <c r="S196" s="52" t="n"/>
      <c r="T196" s="52" t="n"/>
      <c r="U196" s="52" t="n"/>
      <c r="V196" s="52" t="n"/>
      <c r="W196" s="52" t="n"/>
      <c r="X196" s="52" t="n"/>
      <c r="Y196" s="52" t="n"/>
      <c r="Z196" s="52" t="n"/>
    </row>
    <row r="197" ht="15.75" customHeight="1" s="673">
      <c r="A197" s="52" t="n"/>
      <c r="B197" s="52" t="n"/>
      <c r="C197" s="52" t="n"/>
      <c r="D197" s="52" t="n"/>
      <c r="E197" s="52" t="n"/>
      <c r="F197" s="52" t="n"/>
      <c r="G197" s="52" t="n"/>
      <c r="H197" s="52" t="n"/>
      <c r="I197" s="52" t="n"/>
      <c r="J197" s="52" t="n"/>
      <c r="K197" s="52" t="n"/>
      <c r="L197" s="52" t="n"/>
      <c r="M197" s="52" t="n"/>
      <c r="N197" s="52" t="n"/>
      <c r="O197" s="52" t="n"/>
      <c r="P197" s="52" t="n"/>
      <c r="Q197" s="52" t="n"/>
      <c r="R197" s="52" t="n"/>
      <c r="S197" s="52" t="n"/>
      <c r="T197" s="52" t="n"/>
      <c r="U197" s="52" t="n"/>
      <c r="V197" s="52" t="n"/>
      <c r="W197" s="52" t="n"/>
      <c r="X197" s="52" t="n"/>
      <c r="Y197" s="52" t="n"/>
      <c r="Z197" s="52" t="n"/>
    </row>
    <row r="198" ht="15.75" customHeight="1" s="673">
      <c r="A198" s="52" t="n"/>
      <c r="B198" s="52" t="n"/>
      <c r="C198" s="52" t="n"/>
      <c r="D198" s="52" t="n"/>
      <c r="E198" s="52" t="n"/>
      <c r="F198" s="52" t="n"/>
      <c r="G198" s="52" t="n"/>
      <c r="H198" s="52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  <c r="S198" s="52" t="n"/>
      <c r="T198" s="52" t="n"/>
      <c r="U198" s="52" t="n"/>
      <c r="V198" s="52" t="n"/>
      <c r="W198" s="52" t="n"/>
      <c r="X198" s="52" t="n"/>
      <c r="Y198" s="52" t="n"/>
      <c r="Z198" s="52" t="n"/>
    </row>
    <row r="199" ht="15.75" customHeight="1" s="673">
      <c r="A199" s="52" t="n"/>
      <c r="B199" s="52" t="n"/>
      <c r="C199" s="52" t="n"/>
      <c r="D199" s="52" t="n"/>
      <c r="E199" s="52" t="n"/>
      <c r="F199" s="52" t="n"/>
      <c r="G199" s="52" t="n"/>
      <c r="H199" s="52" t="n"/>
      <c r="I199" s="52" t="n"/>
      <c r="J199" s="52" t="n"/>
      <c r="K199" s="52" t="n"/>
      <c r="L199" s="52" t="n"/>
      <c r="M199" s="52" t="n"/>
      <c r="N199" s="52" t="n"/>
      <c r="O199" s="52" t="n"/>
      <c r="P199" s="52" t="n"/>
      <c r="Q199" s="52" t="n"/>
      <c r="R199" s="52" t="n"/>
      <c r="S199" s="52" t="n"/>
      <c r="T199" s="52" t="n"/>
      <c r="U199" s="52" t="n"/>
      <c r="V199" s="52" t="n"/>
      <c r="W199" s="52" t="n"/>
      <c r="X199" s="52" t="n"/>
      <c r="Y199" s="52" t="n"/>
      <c r="Z199" s="52" t="n"/>
    </row>
    <row r="200" ht="15.75" customHeight="1" s="673">
      <c r="A200" s="52" t="n"/>
      <c r="B200" s="52" t="n"/>
      <c r="C200" s="52" t="n"/>
      <c r="D200" s="52" t="n"/>
      <c r="E200" s="52" t="n"/>
      <c r="F200" s="52" t="n"/>
      <c r="G200" s="52" t="n"/>
      <c r="H200" s="52" t="n"/>
      <c r="I200" s="52" t="n"/>
      <c r="J200" s="52" t="n"/>
      <c r="K200" s="52" t="n"/>
      <c r="L200" s="52" t="n"/>
      <c r="M200" s="52" t="n"/>
      <c r="N200" s="52" t="n"/>
      <c r="O200" s="52" t="n"/>
      <c r="P200" s="52" t="n"/>
      <c r="Q200" s="52" t="n"/>
      <c r="R200" s="52" t="n"/>
      <c r="S200" s="52" t="n"/>
      <c r="T200" s="52" t="n"/>
      <c r="U200" s="52" t="n"/>
      <c r="V200" s="52" t="n"/>
      <c r="W200" s="52" t="n"/>
      <c r="X200" s="52" t="n"/>
      <c r="Y200" s="52" t="n"/>
      <c r="Z200" s="52" t="n"/>
    </row>
    <row r="201" ht="15.75" customHeight="1" s="673">
      <c r="A201" s="52" t="n"/>
      <c r="B201" s="52" t="n"/>
      <c r="C201" s="52" t="n"/>
      <c r="D201" s="52" t="n"/>
      <c r="E201" s="52" t="n"/>
      <c r="F201" s="52" t="n"/>
      <c r="G201" s="52" t="n"/>
      <c r="H201" s="52" t="n"/>
      <c r="I201" s="52" t="n"/>
      <c r="J201" s="52" t="n"/>
      <c r="K201" s="52" t="n"/>
      <c r="L201" s="52" t="n"/>
      <c r="M201" s="52" t="n"/>
      <c r="N201" s="52" t="n"/>
      <c r="O201" s="52" t="n"/>
      <c r="P201" s="52" t="n"/>
      <c r="Q201" s="52" t="n"/>
      <c r="R201" s="52" t="n"/>
      <c r="S201" s="52" t="n"/>
      <c r="T201" s="52" t="n"/>
      <c r="U201" s="52" t="n"/>
      <c r="V201" s="52" t="n"/>
      <c r="W201" s="52" t="n"/>
      <c r="X201" s="52" t="n"/>
      <c r="Y201" s="52" t="n"/>
      <c r="Z201" s="52" t="n"/>
    </row>
    <row r="202" ht="15.75" customHeight="1" s="673">
      <c r="A202" s="52" t="n"/>
      <c r="B202" s="52" t="n"/>
      <c r="C202" s="52" t="n"/>
      <c r="D202" s="52" t="n"/>
      <c r="E202" s="52" t="n"/>
      <c r="F202" s="52" t="n"/>
      <c r="G202" s="52" t="n"/>
      <c r="H202" s="52" t="n"/>
      <c r="I202" s="52" t="n"/>
      <c r="J202" s="52" t="n"/>
      <c r="K202" s="52" t="n"/>
      <c r="L202" s="52" t="n"/>
      <c r="M202" s="52" t="n"/>
      <c r="N202" s="52" t="n"/>
      <c r="O202" s="52" t="n"/>
      <c r="P202" s="52" t="n"/>
      <c r="Q202" s="52" t="n"/>
      <c r="R202" s="52" t="n"/>
      <c r="S202" s="52" t="n"/>
      <c r="T202" s="52" t="n"/>
      <c r="U202" s="52" t="n"/>
      <c r="V202" s="52" t="n"/>
      <c r="W202" s="52" t="n"/>
      <c r="X202" s="52" t="n"/>
      <c r="Y202" s="52" t="n"/>
      <c r="Z202" s="52" t="n"/>
    </row>
    <row r="203" ht="15.75" customHeight="1" s="673">
      <c r="A203" s="52" t="n"/>
      <c r="B203" s="52" t="n"/>
      <c r="C203" s="52" t="n"/>
      <c r="D203" s="52" t="n"/>
      <c r="E203" s="52" t="n"/>
      <c r="F203" s="52" t="n"/>
      <c r="G203" s="52" t="n"/>
      <c r="H203" s="52" t="n"/>
      <c r="I203" s="52" t="n"/>
      <c r="J203" s="52" t="n"/>
      <c r="K203" s="52" t="n"/>
      <c r="L203" s="52" t="n"/>
      <c r="M203" s="52" t="n"/>
      <c r="N203" s="52" t="n"/>
      <c r="O203" s="52" t="n"/>
      <c r="P203" s="52" t="n"/>
      <c r="Q203" s="52" t="n"/>
      <c r="R203" s="52" t="n"/>
      <c r="S203" s="52" t="n"/>
      <c r="T203" s="52" t="n"/>
      <c r="U203" s="52" t="n"/>
      <c r="V203" s="52" t="n"/>
      <c r="W203" s="52" t="n"/>
      <c r="X203" s="52" t="n"/>
      <c r="Y203" s="52" t="n"/>
      <c r="Z203" s="52" t="n"/>
    </row>
    <row r="204" ht="15.75" customHeight="1" s="673">
      <c r="A204" s="52" t="n"/>
      <c r="B204" s="52" t="n"/>
      <c r="C204" s="52" t="n"/>
      <c r="D204" s="52" t="n"/>
      <c r="E204" s="52" t="n"/>
      <c r="F204" s="52" t="n"/>
      <c r="G204" s="52" t="n"/>
      <c r="H204" s="52" t="n"/>
      <c r="I204" s="52" t="n"/>
      <c r="J204" s="52" t="n"/>
      <c r="K204" s="52" t="n"/>
      <c r="L204" s="52" t="n"/>
      <c r="M204" s="52" t="n"/>
      <c r="N204" s="52" t="n"/>
      <c r="O204" s="52" t="n"/>
      <c r="P204" s="52" t="n"/>
      <c r="Q204" s="52" t="n"/>
      <c r="R204" s="52" t="n"/>
      <c r="S204" s="52" t="n"/>
      <c r="T204" s="52" t="n"/>
      <c r="U204" s="52" t="n"/>
      <c r="V204" s="52" t="n"/>
      <c r="W204" s="52" t="n"/>
      <c r="X204" s="52" t="n"/>
      <c r="Y204" s="52" t="n"/>
      <c r="Z204" s="52" t="n"/>
    </row>
    <row r="205" ht="15.75" customHeight="1" s="673">
      <c r="A205" s="52" t="n"/>
      <c r="B205" s="52" t="n"/>
      <c r="C205" s="52" t="n"/>
      <c r="D205" s="52" t="n"/>
      <c r="E205" s="52" t="n"/>
      <c r="F205" s="52" t="n"/>
      <c r="G205" s="52" t="n"/>
      <c r="H205" s="52" t="n"/>
      <c r="I205" s="52" t="n"/>
      <c r="J205" s="52" t="n"/>
      <c r="K205" s="52" t="n"/>
      <c r="L205" s="52" t="n"/>
      <c r="M205" s="52" t="n"/>
      <c r="N205" s="52" t="n"/>
      <c r="O205" s="52" t="n"/>
      <c r="P205" s="52" t="n"/>
      <c r="Q205" s="52" t="n"/>
      <c r="R205" s="52" t="n"/>
      <c r="S205" s="52" t="n"/>
      <c r="T205" s="52" t="n"/>
      <c r="U205" s="52" t="n"/>
      <c r="V205" s="52" t="n"/>
      <c r="W205" s="52" t="n"/>
      <c r="X205" s="52" t="n"/>
      <c r="Y205" s="52" t="n"/>
      <c r="Z205" s="52" t="n"/>
    </row>
    <row r="206" ht="15.75" customHeight="1" s="673">
      <c r="A206" s="52" t="n"/>
      <c r="B206" s="52" t="n"/>
      <c r="C206" s="52" t="n"/>
      <c r="D206" s="52" t="n"/>
      <c r="E206" s="52" t="n"/>
      <c r="F206" s="52" t="n"/>
      <c r="G206" s="52" t="n"/>
      <c r="H206" s="52" t="n"/>
      <c r="I206" s="52" t="n"/>
      <c r="J206" s="52" t="n"/>
      <c r="K206" s="52" t="n"/>
      <c r="L206" s="52" t="n"/>
      <c r="M206" s="52" t="n"/>
      <c r="N206" s="52" t="n"/>
      <c r="O206" s="52" t="n"/>
      <c r="P206" s="52" t="n"/>
      <c r="Q206" s="52" t="n"/>
      <c r="R206" s="52" t="n"/>
      <c r="S206" s="52" t="n"/>
      <c r="T206" s="52" t="n"/>
      <c r="U206" s="52" t="n"/>
      <c r="V206" s="52" t="n"/>
      <c r="W206" s="52" t="n"/>
      <c r="X206" s="52" t="n"/>
      <c r="Y206" s="52" t="n"/>
      <c r="Z206" s="52" t="n"/>
    </row>
    <row r="207" ht="15.75" customHeight="1" s="673">
      <c r="A207" s="52" t="n"/>
      <c r="B207" s="52" t="n"/>
      <c r="C207" s="52" t="n"/>
      <c r="D207" s="52" t="n"/>
      <c r="E207" s="52" t="n"/>
      <c r="F207" s="52" t="n"/>
      <c r="G207" s="52" t="n"/>
      <c r="H207" s="52" t="n"/>
      <c r="I207" s="52" t="n"/>
      <c r="J207" s="52" t="n"/>
      <c r="K207" s="52" t="n"/>
      <c r="L207" s="52" t="n"/>
      <c r="M207" s="52" t="n"/>
      <c r="N207" s="52" t="n"/>
      <c r="O207" s="52" t="n"/>
      <c r="P207" s="52" t="n"/>
      <c r="Q207" s="52" t="n"/>
      <c r="R207" s="52" t="n"/>
      <c r="S207" s="52" t="n"/>
      <c r="T207" s="52" t="n"/>
      <c r="U207" s="52" t="n"/>
      <c r="V207" s="52" t="n"/>
      <c r="W207" s="52" t="n"/>
      <c r="X207" s="52" t="n"/>
      <c r="Y207" s="52" t="n"/>
      <c r="Z207" s="52" t="n"/>
    </row>
    <row r="208" ht="15.75" customHeight="1" s="673">
      <c r="A208" s="52" t="n"/>
      <c r="B208" s="52" t="n"/>
      <c r="C208" s="52" t="n"/>
      <c r="D208" s="52" t="n"/>
      <c r="E208" s="52" t="n"/>
      <c r="F208" s="52" t="n"/>
      <c r="G208" s="52" t="n"/>
      <c r="H208" s="52" t="n"/>
      <c r="I208" s="52" t="n"/>
      <c r="J208" s="52" t="n"/>
      <c r="K208" s="52" t="n"/>
      <c r="L208" s="52" t="n"/>
      <c r="M208" s="52" t="n"/>
      <c r="N208" s="52" t="n"/>
      <c r="O208" s="52" t="n"/>
      <c r="P208" s="52" t="n"/>
      <c r="Q208" s="52" t="n"/>
      <c r="R208" s="52" t="n"/>
      <c r="S208" s="52" t="n"/>
      <c r="T208" s="52" t="n"/>
      <c r="U208" s="52" t="n"/>
      <c r="V208" s="52" t="n"/>
      <c r="W208" s="52" t="n"/>
      <c r="X208" s="52" t="n"/>
      <c r="Y208" s="52" t="n"/>
      <c r="Z208" s="52" t="n"/>
    </row>
    <row r="209" ht="15.75" customHeight="1" s="673">
      <c r="A209" s="52" t="n"/>
      <c r="B209" s="52" t="n"/>
      <c r="C209" s="52" t="n"/>
      <c r="D209" s="52" t="n"/>
      <c r="E209" s="52" t="n"/>
      <c r="F209" s="52" t="n"/>
      <c r="G209" s="52" t="n"/>
      <c r="H209" s="52" t="n"/>
      <c r="I209" s="52" t="n"/>
      <c r="J209" s="52" t="n"/>
      <c r="K209" s="52" t="n"/>
      <c r="L209" s="52" t="n"/>
      <c r="M209" s="52" t="n"/>
      <c r="N209" s="52" t="n"/>
      <c r="O209" s="52" t="n"/>
      <c r="P209" s="52" t="n"/>
      <c r="Q209" s="52" t="n"/>
      <c r="R209" s="52" t="n"/>
      <c r="S209" s="52" t="n"/>
      <c r="T209" s="52" t="n"/>
      <c r="U209" s="52" t="n"/>
      <c r="V209" s="52" t="n"/>
      <c r="W209" s="52" t="n"/>
      <c r="X209" s="52" t="n"/>
      <c r="Y209" s="52" t="n"/>
      <c r="Z209" s="52" t="n"/>
    </row>
    <row r="210" ht="15.75" customHeight="1" s="673">
      <c r="A210" s="52" t="n"/>
      <c r="B210" s="52" t="n"/>
      <c r="C210" s="52" t="n"/>
      <c r="D210" s="52" t="n"/>
      <c r="E210" s="52" t="n"/>
      <c r="F210" s="52" t="n"/>
      <c r="G210" s="52" t="n"/>
      <c r="H210" s="52" t="n"/>
      <c r="I210" s="52" t="n"/>
      <c r="J210" s="52" t="n"/>
      <c r="K210" s="52" t="n"/>
      <c r="L210" s="52" t="n"/>
      <c r="M210" s="52" t="n"/>
      <c r="N210" s="52" t="n"/>
      <c r="O210" s="52" t="n"/>
      <c r="P210" s="52" t="n"/>
      <c r="Q210" s="52" t="n"/>
      <c r="R210" s="52" t="n"/>
      <c r="S210" s="52" t="n"/>
      <c r="T210" s="52" t="n"/>
      <c r="U210" s="52" t="n"/>
      <c r="V210" s="52" t="n"/>
      <c r="W210" s="52" t="n"/>
      <c r="X210" s="52" t="n"/>
      <c r="Y210" s="52" t="n"/>
      <c r="Z210" s="52" t="n"/>
    </row>
    <row r="211" ht="15.75" customHeight="1" s="673">
      <c r="A211" s="52" t="n"/>
      <c r="B211" s="52" t="n"/>
      <c r="C211" s="52" t="n"/>
      <c r="D211" s="52" t="n"/>
      <c r="E211" s="52" t="n"/>
      <c r="F211" s="52" t="n"/>
      <c r="G211" s="52" t="n"/>
      <c r="H211" s="52" t="n"/>
      <c r="I211" s="52" t="n"/>
      <c r="J211" s="52" t="n"/>
      <c r="K211" s="52" t="n"/>
      <c r="L211" s="52" t="n"/>
      <c r="M211" s="52" t="n"/>
      <c r="N211" s="52" t="n"/>
      <c r="O211" s="52" t="n"/>
      <c r="P211" s="52" t="n"/>
      <c r="Q211" s="52" t="n"/>
      <c r="R211" s="52" t="n"/>
      <c r="S211" s="52" t="n"/>
      <c r="T211" s="52" t="n"/>
      <c r="U211" s="52" t="n"/>
      <c r="V211" s="52" t="n"/>
      <c r="W211" s="52" t="n"/>
      <c r="X211" s="52" t="n"/>
      <c r="Y211" s="52" t="n"/>
      <c r="Z211" s="52" t="n"/>
    </row>
    <row r="212" ht="15.75" customHeight="1" s="673">
      <c r="A212" s="52" t="n"/>
      <c r="B212" s="52" t="n"/>
      <c r="C212" s="52" t="n"/>
      <c r="D212" s="52" t="n"/>
      <c r="E212" s="52" t="n"/>
      <c r="F212" s="52" t="n"/>
      <c r="G212" s="52" t="n"/>
      <c r="H212" s="52" t="n"/>
      <c r="I212" s="52" t="n"/>
      <c r="J212" s="52" t="n"/>
      <c r="K212" s="52" t="n"/>
      <c r="L212" s="52" t="n"/>
      <c r="M212" s="52" t="n"/>
      <c r="N212" s="52" t="n"/>
      <c r="O212" s="52" t="n"/>
      <c r="P212" s="52" t="n"/>
      <c r="Q212" s="52" t="n"/>
      <c r="R212" s="52" t="n"/>
      <c r="S212" s="52" t="n"/>
      <c r="T212" s="52" t="n"/>
      <c r="U212" s="52" t="n"/>
      <c r="V212" s="52" t="n"/>
      <c r="W212" s="52" t="n"/>
      <c r="X212" s="52" t="n"/>
      <c r="Y212" s="52" t="n"/>
      <c r="Z212" s="52" t="n"/>
    </row>
    <row r="213" ht="15.75" customHeight="1" s="673">
      <c r="A213" s="52" t="n"/>
      <c r="B213" s="52" t="n"/>
      <c r="C213" s="52" t="n"/>
      <c r="D213" s="52" t="n"/>
      <c r="E213" s="52" t="n"/>
      <c r="F213" s="52" t="n"/>
      <c r="G213" s="52" t="n"/>
      <c r="H213" s="52" t="n"/>
      <c r="I213" s="52" t="n"/>
      <c r="J213" s="52" t="n"/>
      <c r="K213" s="52" t="n"/>
      <c r="L213" s="52" t="n"/>
      <c r="M213" s="52" t="n"/>
      <c r="N213" s="52" t="n"/>
      <c r="O213" s="52" t="n"/>
      <c r="P213" s="52" t="n"/>
      <c r="Q213" s="52" t="n"/>
      <c r="R213" s="52" t="n"/>
      <c r="S213" s="52" t="n"/>
      <c r="T213" s="52" t="n"/>
      <c r="U213" s="52" t="n"/>
      <c r="V213" s="52" t="n"/>
      <c r="W213" s="52" t="n"/>
      <c r="X213" s="52" t="n"/>
      <c r="Y213" s="52" t="n"/>
      <c r="Z213" s="52" t="n"/>
    </row>
    <row r="214" ht="15.75" customHeight="1" s="673">
      <c r="A214" s="52" t="n"/>
      <c r="B214" s="52" t="n"/>
      <c r="C214" s="52" t="n"/>
      <c r="D214" s="52" t="n"/>
      <c r="E214" s="52" t="n"/>
      <c r="F214" s="52" t="n"/>
      <c r="G214" s="52" t="n"/>
      <c r="H214" s="52" t="n"/>
      <c r="I214" s="52" t="n"/>
      <c r="J214" s="52" t="n"/>
      <c r="K214" s="52" t="n"/>
      <c r="L214" s="52" t="n"/>
      <c r="M214" s="52" t="n"/>
      <c r="N214" s="52" t="n"/>
      <c r="O214" s="52" t="n"/>
      <c r="P214" s="52" t="n"/>
      <c r="Q214" s="52" t="n"/>
      <c r="R214" s="52" t="n"/>
      <c r="S214" s="52" t="n"/>
      <c r="T214" s="52" t="n"/>
      <c r="U214" s="52" t="n"/>
      <c r="V214" s="52" t="n"/>
      <c r="W214" s="52" t="n"/>
      <c r="X214" s="52" t="n"/>
      <c r="Y214" s="52" t="n"/>
      <c r="Z214" s="52" t="n"/>
    </row>
    <row r="215" ht="15.75" customHeight="1" s="673">
      <c r="A215" s="52" t="n"/>
      <c r="B215" s="52" t="n"/>
      <c r="C215" s="52" t="n"/>
      <c r="D215" s="52" t="n"/>
      <c r="E215" s="52" t="n"/>
      <c r="F215" s="52" t="n"/>
      <c r="G215" s="52" t="n"/>
      <c r="H215" s="52" t="n"/>
      <c r="I215" s="52" t="n"/>
      <c r="J215" s="52" t="n"/>
      <c r="K215" s="52" t="n"/>
      <c r="L215" s="52" t="n"/>
      <c r="M215" s="52" t="n"/>
      <c r="N215" s="52" t="n"/>
      <c r="O215" s="52" t="n"/>
      <c r="P215" s="52" t="n"/>
      <c r="Q215" s="52" t="n"/>
      <c r="R215" s="52" t="n"/>
      <c r="S215" s="52" t="n"/>
      <c r="T215" s="52" t="n"/>
      <c r="U215" s="52" t="n"/>
      <c r="V215" s="52" t="n"/>
      <c r="W215" s="52" t="n"/>
      <c r="X215" s="52" t="n"/>
      <c r="Y215" s="52" t="n"/>
      <c r="Z215" s="52" t="n"/>
    </row>
    <row r="216" ht="15.75" customHeight="1" s="673">
      <c r="A216" s="52" t="n"/>
      <c r="B216" s="52" t="n"/>
      <c r="C216" s="52" t="n"/>
      <c r="D216" s="52" t="n"/>
      <c r="E216" s="52" t="n"/>
      <c r="F216" s="52" t="n"/>
      <c r="G216" s="52" t="n"/>
      <c r="H216" s="52" t="n"/>
      <c r="I216" s="52" t="n"/>
      <c r="J216" s="52" t="n"/>
      <c r="K216" s="52" t="n"/>
      <c r="L216" s="52" t="n"/>
      <c r="M216" s="52" t="n"/>
      <c r="N216" s="52" t="n"/>
      <c r="O216" s="52" t="n"/>
      <c r="P216" s="52" t="n"/>
      <c r="Q216" s="52" t="n"/>
      <c r="R216" s="52" t="n"/>
      <c r="S216" s="52" t="n"/>
      <c r="T216" s="52" t="n"/>
      <c r="U216" s="52" t="n"/>
      <c r="V216" s="52" t="n"/>
      <c r="W216" s="52" t="n"/>
      <c r="X216" s="52" t="n"/>
      <c r="Y216" s="52" t="n"/>
      <c r="Z216" s="52" t="n"/>
    </row>
    <row r="217" ht="15.75" customHeight="1" s="673">
      <c r="A217" s="52" t="n"/>
      <c r="B217" s="52" t="n"/>
      <c r="C217" s="52" t="n"/>
      <c r="D217" s="52" t="n"/>
      <c r="E217" s="52" t="n"/>
      <c r="F217" s="52" t="n"/>
      <c r="G217" s="52" t="n"/>
      <c r="H217" s="52" t="n"/>
      <c r="I217" s="52" t="n"/>
      <c r="J217" s="52" t="n"/>
      <c r="K217" s="52" t="n"/>
      <c r="L217" s="52" t="n"/>
      <c r="M217" s="52" t="n"/>
      <c r="N217" s="52" t="n"/>
      <c r="O217" s="52" t="n"/>
      <c r="P217" s="52" t="n"/>
      <c r="Q217" s="52" t="n"/>
      <c r="R217" s="52" t="n"/>
      <c r="S217" s="52" t="n"/>
      <c r="T217" s="52" t="n"/>
      <c r="U217" s="52" t="n"/>
      <c r="V217" s="52" t="n"/>
      <c r="W217" s="52" t="n"/>
      <c r="X217" s="52" t="n"/>
      <c r="Y217" s="52" t="n"/>
      <c r="Z217" s="52" t="n"/>
    </row>
    <row r="218" ht="15.75" customHeight="1" s="673">
      <c r="A218" s="52" t="n"/>
      <c r="B218" s="52" t="n"/>
      <c r="C218" s="52" t="n"/>
      <c r="D218" s="52" t="n"/>
      <c r="E218" s="52" t="n"/>
      <c r="F218" s="52" t="n"/>
      <c r="G218" s="52" t="n"/>
      <c r="H218" s="52" t="n"/>
      <c r="I218" s="52" t="n"/>
      <c r="J218" s="52" t="n"/>
      <c r="K218" s="52" t="n"/>
      <c r="L218" s="52" t="n"/>
      <c r="M218" s="52" t="n"/>
      <c r="N218" s="52" t="n"/>
      <c r="O218" s="52" t="n"/>
      <c r="P218" s="52" t="n"/>
      <c r="Q218" s="52" t="n"/>
      <c r="R218" s="52" t="n"/>
      <c r="S218" s="52" t="n"/>
      <c r="T218" s="52" t="n"/>
      <c r="U218" s="52" t="n"/>
      <c r="V218" s="52" t="n"/>
      <c r="W218" s="52" t="n"/>
      <c r="X218" s="52" t="n"/>
      <c r="Y218" s="52" t="n"/>
      <c r="Z218" s="52" t="n"/>
    </row>
    <row r="219" ht="15.75" customHeight="1" s="673">
      <c r="A219" s="52" t="n"/>
      <c r="B219" s="52" t="n"/>
      <c r="C219" s="52" t="n"/>
      <c r="D219" s="52" t="n"/>
      <c r="E219" s="52" t="n"/>
      <c r="F219" s="52" t="n"/>
      <c r="G219" s="52" t="n"/>
      <c r="H219" s="52" t="n"/>
      <c r="I219" s="52" t="n"/>
      <c r="J219" s="52" t="n"/>
      <c r="K219" s="52" t="n"/>
      <c r="L219" s="52" t="n"/>
      <c r="M219" s="52" t="n"/>
      <c r="N219" s="52" t="n"/>
      <c r="O219" s="52" t="n"/>
      <c r="P219" s="52" t="n"/>
      <c r="Q219" s="52" t="n"/>
      <c r="R219" s="52" t="n"/>
      <c r="S219" s="52" t="n"/>
      <c r="T219" s="52" t="n"/>
      <c r="U219" s="52" t="n"/>
      <c r="V219" s="52" t="n"/>
      <c r="W219" s="52" t="n"/>
      <c r="X219" s="52" t="n"/>
      <c r="Y219" s="52" t="n"/>
      <c r="Z219" s="52" t="n"/>
    </row>
    <row r="220" ht="15.75" customHeight="1" s="673">
      <c r="A220" s="52" t="n"/>
      <c r="B220" s="52" t="n"/>
      <c r="C220" s="52" t="n"/>
      <c r="D220" s="52" t="n"/>
      <c r="E220" s="52" t="n"/>
      <c r="F220" s="52" t="n"/>
      <c r="G220" s="52" t="n"/>
      <c r="H220" s="52" t="n"/>
      <c r="I220" s="52" t="n"/>
      <c r="J220" s="52" t="n"/>
      <c r="K220" s="52" t="n"/>
      <c r="L220" s="52" t="n"/>
      <c r="M220" s="52" t="n"/>
      <c r="N220" s="52" t="n"/>
      <c r="O220" s="52" t="n"/>
      <c r="P220" s="52" t="n"/>
      <c r="Q220" s="52" t="n"/>
      <c r="R220" s="52" t="n"/>
      <c r="S220" s="52" t="n"/>
      <c r="T220" s="52" t="n"/>
      <c r="U220" s="52" t="n"/>
      <c r="V220" s="52" t="n"/>
      <c r="W220" s="52" t="n"/>
      <c r="X220" s="52" t="n"/>
      <c r="Y220" s="52" t="n"/>
      <c r="Z220" s="52" t="n"/>
    </row>
    <row r="221" ht="15.75" customHeight="1" s="673">
      <c r="A221" s="52" t="n"/>
      <c r="B221" s="52" t="n"/>
      <c r="C221" s="52" t="n"/>
      <c r="D221" s="52" t="n"/>
      <c r="E221" s="52" t="n"/>
      <c r="F221" s="52" t="n"/>
      <c r="G221" s="52" t="n"/>
      <c r="H221" s="52" t="n"/>
      <c r="I221" s="52" t="n"/>
      <c r="J221" s="52" t="n"/>
      <c r="K221" s="52" t="n"/>
      <c r="L221" s="52" t="n"/>
      <c r="M221" s="52" t="n"/>
      <c r="N221" s="52" t="n"/>
      <c r="O221" s="52" t="n"/>
      <c r="P221" s="52" t="n"/>
      <c r="Q221" s="52" t="n"/>
      <c r="R221" s="52" t="n"/>
      <c r="S221" s="52" t="n"/>
      <c r="T221" s="52" t="n"/>
      <c r="U221" s="52" t="n"/>
      <c r="V221" s="52" t="n"/>
      <c r="W221" s="52" t="n"/>
      <c r="X221" s="52" t="n"/>
      <c r="Y221" s="52" t="n"/>
      <c r="Z221" s="52" t="n"/>
    </row>
    <row r="222" ht="15.75" customHeight="1" s="673">
      <c r="A222" s="52" t="n"/>
      <c r="B222" s="52" t="n"/>
      <c r="C222" s="52" t="n"/>
      <c r="D222" s="52" t="n"/>
      <c r="E222" s="52" t="n"/>
      <c r="F222" s="52" t="n"/>
      <c r="G222" s="52" t="n"/>
      <c r="H222" s="52" t="n"/>
      <c r="I222" s="52" t="n"/>
      <c r="J222" s="52" t="n"/>
      <c r="K222" s="52" t="n"/>
      <c r="L222" s="52" t="n"/>
      <c r="M222" s="52" t="n"/>
      <c r="N222" s="52" t="n"/>
      <c r="O222" s="52" t="n"/>
      <c r="P222" s="52" t="n"/>
      <c r="Q222" s="52" t="n"/>
      <c r="R222" s="52" t="n"/>
      <c r="S222" s="52" t="n"/>
      <c r="T222" s="52" t="n"/>
      <c r="U222" s="52" t="n"/>
      <c r="V222" s="52" t="n"/>
      <c r="W222" s="52" t="n"/>
      <c r="X222" s="52" t="n"/>
      <c r="Y222" s="52" t="n"/>
      <c r="Z222" s="52" t="n"/>
    </row>
    <row r="223" ht="15.75" customHeight="1" s="673">
      <c r="A223" s="52" t="n"/>
      <c r="B223" s="52" t="n"/>
      <c r="C223" s="52" t="n"/>
      <c r="D223" s="52" t="n"/>
      <c r="E223" s="52" t="n"/>
      <c r="F223" s="52" t="n"/>
      <c r="G223" s="52" t="n"/>
      <c r="H223" s="52" t="n"/>
      <c r="I223" s="52" t="n"/>
      <c r="J223" s="52" t="n"/>
      <c r="K223" s="52" t="n"/>
      <c r="L223" s="52" t="n"/>
      <c r="M223" s="52" t="n"/>
      <c r="N223" s="52" t="n"/>
      <c r="O223" s="52" t="n"/>
      <c r="P223" s="52" t="n"/>
      <c r="Q223" s="52" t="n"/>
      <c r="R223" s="52" t="n"/>
      <c r="S223" s="52" t="n"/>
      <c r="T223" s="52" t="n"/>
      <c r="U223" s="52" t="n"/>
      <c r="V223" s="52" t="n"/>
      <c r="W223" s="52" t="n"/>
      <c r="X223" s="52" t="n"/>
      <c r="Y223" s="52" t="n"/>
      <c r="Z223" s="52" t="n"/>
    </row>
    <row r="224" ht="15.75" customHeight="1" s="673">
      <c r="A224" s="52" t="n"/>
      <c r="B224" s="52" t="n"/>
      <c r="C224" s="52" t="n"/>
      <c r="D224" s="52" t="n"/>
      <c r="E224" s="52" t="n"/>
      <c r="F224" s="52" t="n"/>
      <c r="G224" s="52" t="n"/>
      <c r="H224" s="52" t="n"/>
      <c r="I224" s="52" t="n"/>
      <c r="J224" s="52" t="n"/>
      <c r="K224" s="52" t="n"/>
      <c r="L224" s="52" t="n"/>
      <c r="M224" s="52" t="n"/>
      <c r="N224" s="52" t="n"/>
      <c r="O224" s="52" t="n"/>
      <c r="P224" s="52" t="n"/>
      <c r="Q224" s="52" t="n"/>
      <c r="R224" s="52" t="n"/>
      <c r="S224" s="52" t="n"/>
      <c r="T224" s="52" t="n"/>
      <c r="U224" s="52" t="n"/>
      <c r="V224" s="52" t="n"/>
      <c r="W224" s="52" t="n"/>
      <c r="X224" s="52" t="n"/>
      <c r="Y224" s="52" t="n"/>
      <c r="Z224" s="52" t="n"/>
    </row>
    <row r="225" ht="15.75" customHeight="1" s="673">
      <c r="A225" s="52" t="n"/>
      <c r="B225" s="52" t="n"/>
      <c r="C225" s="52" t="n"/>
      <c r="D225" s="52" t="n"/>
      <c r="E225" s="52" t="n"/>
      <c r="F225" s="52" t="n"/>
      <c r="G225" s="52" t="n"/>
      <c r="H225" s="52" t="n"/>
      <c r="I225" s="52" t="n"/>
      <c r="J225" s="52" t="n"/>
      <c r="K225" s="52" t="n"/>
      <c r="L225" s="52" t="n"/>
      <c r="M225" s="52" t="n"/>
      <c r="N225" s="52" t="n"/>
      <c r="O225" s="52" t="n"/>
      <c r="P225" s="52" t="n"/>
      <c r="Q225" s="52" t="n"/>
      <c r="R225" s="52" t="n"/>
      <c r="S225" s="52" t="n"/>
      <c r="T225" s="52" t="n"/>
      <c r="U225" s="52" t="n"/>
      <c r="V225" s="52" t="n"/>
      <c r="W225" s="52" t="n"/>
      <c r="X225" s="52" t="n"/>
      <c r="Y225" s="52" t="n"/>
      <c r="Z225" s="52" t="n"/>
    </row>
    <row r="226" ht="15.75" customHeight="1" s="673">
      <c r="A226" s="52" t="n"/>
      <c r="B226" s="52" t="n"/>
      <c r="C226" s="52" t="n"/>
      <c r="D226" s="52" t="n"/>
      <c r="E226" s="52" t="n"/>
      <c r="F226" s="52" t="n"/>
      <c r="G226" s="52" t="n"/>
      <c r="H226" s="52" t="n"/>
      <c r="I226" s="52" t="n"/>
      <c r="J226" s="52" t="n"/>
      <c r="K226" s="52" t="n"/>
      <c r="L226" s="52" t="n"/>
      <c r="M226" s="52" t="n"/>
      <c r="N226" s="52" t="n"/>
      <c r="O226" s="52" t="n"/>
      <c r="P226" s="52" t="n"/>
      <c r="Q226" s="52" t="n"/>
      <c r="R226" s="52" t="n"/>
      <c r="S226" s="52" t="n"/>
      <c r="T226" s="52" t="n"/>
      <c r="U226" s="52" t="n"/>
      <c r="V226" s="52" t="n"/>
      <c r="W226" s="52" t="n"/>
      <c r="X226" s="52" t="n"/>
      <c r="Y226" s="52" t="n"/>
      <c r="Z226" s="52" t="n"/>
    </row>
    <row r="227" ht="15.75" customHeight="1" s="673">
      <c r="A227" s="52" t="n"/>
      <c r="B227" s="52" t="n"/>
      <c r="C227" s="52" t="n"/>
      <c r="D227" s="52" t="n"/>
      <c r="E227" s="52" t="n"/>
      <c r="F227" s="52" t="n"/>
      <c r="G227" s="52" t="n"/>
      <c r="H227" s="52" t="n"/>
      <c r="I227" s="52" t="n"/>
      <c r="J227" s="52" t="n"/>
      <c r="K227" s="52" t="n"/>
      <c r="L227" s="52" t="n"/>
      <c r="M227" s="52" t="n"/>
      <c r="N227" s="52" t="n"/>
      <c r="O227" s="52" t="n"/>
      <c r="P227" s="52" t="n"/>
      <c r="Q227" s="52" t="n"/>
      <c r="R227" s="52" t="n"/>
      <c r="S227" s="52" t="n"/>
      <c r="T227" s="52" t="n"/>
      <c r="U227" s="52" t="n"/>
      <c r="V227" s="52" t="n"/>
      <c r="W227" s="52" t="n"/>
      <c r="X227" s="52" t="n"/>
      <c r="Y227" s="52" t="n"/>
      <c r="Z227" s="52" t="n"/>
    </row>
    <row r="228" ht="15.75" customHeight="1" s="673">
      <c r="A228" s="52" t="n"/>
      <c r="B228" s="52" t="n"/>
      <c r="C228" s="52" t="n"/>
      <c r="D228" s="52" t="n"/>
      <c r="E228" s="52" t="n"/>
      <c r="F228" s="52" t="n"/>
      <c r="G228" s="52" t="n"/>
      <c r="H228" s="52" t="n"/>
      <c r="I228" s="52" t="n"/>
      <c r="J228" s="52" t="n"/>
      <c r="K228" s="52" t="n"/>
      <c r="L228" s="52" t="n"/>
      <c r="M228" s="52" t="n"/>
      <c r="N228" s="52" t="n"/>
      <c r="O228" s="52" t="n"/>
      <c r="P228" s="52" t="n"/>
      <c r="Q228" s="52" t="n"/>
      <c r="R228" s="52" t="n"/>
      <c r="S228" s="52" t="n"/>
      <c r="T228" s="52" t="n"/>
      <c r="U228" s="52" t="n"/>
      <c r="V228" s="52" t="n"/>
      <c r="W228" s="52" t="n"/>
      <c r="X228" s="52" t="n"/>
      <c r="Y228" s="52" t="n"/>
      <c r="Z228" s="52" t="n"/>
    </row>
    <row r="229" ht="15.75" customHeight="1" s="673">
      <c r="A229" s="52" t="n"/>
      <c r="B229" s="52" t="n"/>
      <c r="C229" s="52" t="n"/>
      <c r="D229" s="52" t="n"/>
      <c r="E229" s="52" t="n"/>
      <c r="F229" s="52" t="n"/>
      <c r="G229" s="52" t="n"/>
      <c r="H229" s="52" t="n"/>
      <c r="I229" s="52" t="n"/>
      <c r="J229" s="52" t="n"/>
      <c r="K229" s="52" t="n"/>
      <c r="L229" s="52" t="n"/>
      <c r="M229" s="52" t="n"/>
      <c r="N229" s="52" t="n"/>
      <c r="O229" s="52" t="n"/>
      <c r="P229" s="52" t="n"/>
      <c r="Q229" s="52" t="n"/>
      <c r="R229" s="52" t="n"/>
      <c r="S229" s="52" t="n"/>
      <c r="T229" s="52" t="n"/>
      <c r="U229" s="52" t="n"/>
      <c r="V229" s="52" t="n"/>
      <c r="W229" s="52" t="n"/>
      <c r="X229" s="52" t="n"/>
      <c r="Y229" s="52" t="n"/>
      <c r="Z229" s="52" t="n"/>
    </row>
    <row r="230" ht="15.75" customHeight="1" s="673">
      <c r="A230" s="52" t="n"/>
      <c r="B230" s="52" t="n"/>
      <c r="C230" s="52" t="n"/>
      <c r="D230" s="52" t="n"/>
      <c r="E230" s="52" t="n"/>
      <c r="F230" s="52" t="n"/>
      <c r="G230" s="52" t="n"/>
      <c r="H230" s="52" t="n"/>
      <c r="I230" s="52" t="n"/>
      <c r="J230" s="52" t="n"/>
      <c r="K230" s="52" t="n"/>
      <c r="L230" s="52" t="n"/>
      <c r="M230" s="52" t="n"/>
      <c r="N230" s="52" t="n"/>
      <c r="O230" s="52" t="n"/>
      <c r="P230" s="52" t="n"/>
      <c r="Q230" s="52" t="n"/>
      <c r="R230" s="52" t="n"/>
      <c r="S230" s="52" t="n"/>
      <c r="T230" s="52" t="n"/>
      <c r="U230" s="52" t="n"/>
      <c r="V230" s="52" t="n"/>
      <c r="W230" s="52" t="n"/>
      <c r="X230" s="52" t="n"/>
      <c r="Y230" s="52" t="n"/>
      <c r="Z230" s="52" t="n"/>
    </row>
    <row r="231" ht="15.75" customHeight="1" s="673">
      <c r="A231" s="52" t="n"/>
      <c r="B231" s="52" t="n"/>
      <c r="C231" s="52" t="n"/>
      <c r="D231" s="52" t="n"/>
      <c r="E231" s="52" t="n"/>
      <c r="F231" s="52" t="n"/>
      <c r="G231" s="52" t="n"/>
      <c r="H231" s="52" t="n"/>
      <c r="I231" s="52" t="n"/>
      <c r="J231" s="52" t="n"/>
      <c r="K231" s="52" t="n"/>
      <c r="L231" s="52" t="n"/>
      <c r="M231" s="52" t="n"/>
      <c r="N231" s="52" t="n"/>
      <c r="O231" s="52" t="n"/>
      <c r="P231" s="52" t="n"/>
      <c r="Q231" s="52" t="n"/>
      <c r="R231" s="52" t="n"/>
      <c r="S231" s="52" t="n"/>
      <c r="T231" s="52" t="n"/>
      <c r="U231" s="52" t="n"/>
      <c r="V231" s="52" t="n"/>
      <c r="W231" s="52" t="n"/>
      <c r="X231" s="52" t="n"/>
      <c r="Y231" s="52" t="n"/>
      <c r="Z231" s="52" t="n"/>
    </row>
    <row r="232" ht="15.75" customHeight="1" s="673">
      <c r="A232" s="52" t="n"/>
      <c r="B232" s="52" t="n"/>
      <c r="C232" s="52" t="n"/>
      <c r="D232" s="52" t="n"/>
      <c r="E232" s="52" t="n"/>
      <c r="F232" s="52" t="n"/>
      <c r="G232" s="52" t="n"/>
      <c r="H232" s="52" t="n"/>
      <c r="I232" s="52" t="n"/>
      <c r="J232" s="52" t="n"/>
      <c r="K232" s="52" t="n"/>
      <c r="L232" s="52" t="n"/>
      <c r="M232" s="52" t="n"/>
      <c r="N232" s="52" t="n"/>
      <c r="O232" s="52" t="n"/>
      <c r="P232" s="52" t="n"/>
      <c r="Q232" s="52" t="n"/>
      <c r="R232" s="52" t="n"/>
      <c r="S232" s="52" t="n"/>
      <c r="T232" s="52" t="n"/>
      <c r="U232" s="52" t="n"/>
      <c r="V232" s="52" t="n"/>
      <c r="W232" s="52" t="n"/>
      <c r="X232" s="52" t="n"/>
      <c r="Y232" s="52" t="n"/>
      <c r="Z232" s="52" t="n"/>
    </row>
    <row r="233" ht="15.75" customHeight="1" s="673">
      <c r="A233" s="52" t="n"/>
      <c r="B233" s="52" t="n"/>
      <c r="C233" s="52" t="n"/>
      <c r="D233" s="52" t="n"/>
      <c r="E233" s="52" t="n"/>
      <c r="F233" s="52" t="n"/>
      <c r="G233" s="52" t="n"/>
      <c r="H233" s="52" t="n"/>
      <c r="I233" s="52" t="n"/>
      <c r="J233" s="52" t="n"/>
      <c r="K233" s="52" t="n"/>
      <c r="L233" s="52" t="n"/>
      <c r="M233" s="52" t="n"/>
      <c r="N233" s="52" t="n"/>
      <c r="O233" s="52" t="n"/>
      <c r="P233" s="52" t="n"/>
      <c r="Q233" s="52" t="n"/>
      <c r="R233" s="52" t="n"/>
      <c r="S233" s="52" t="n"/>
      <c r="T233" s="52" t="n"/>
      <c r="U233" s="52" t="n"/>
      <c r="V233" s="52" t="n"/>
      <c r="W233" s="52" t="n"/>
      <c r="X233" s="52" t="n"/>
      <c r="Y233" s="52" t="n"/>
      <c r="Z233" s="52" t="n"/>
    </row>
    <row r="234" ht="15.75" customHeight="1" s="673">
      <c r="A234" s="52" t="n"/>
      <c r="B234" s="52" t="n"/>
      <c r="C234" s="52" t="n"/>
      <c r="D234" s="52" t="n"/>
      <c r="E234" s="52" t="n"/>
      <c r="F234" s="52" t="n"/>
      <c r="G234" s="52" t="n"/>
      <c r="H234" s="52" t="n"/>
      <c r="I234" s="52" t="n"/>
      <c r="J234" s="52" t="n"/>
      <c r="K234" s="52" t="n"/>
      <c r="L234" s="52" t="n"/>
      <c r="M234" s="52" t="n"/>
      <c r="N234" s="52" t="n"/>
      <c r="O234" s="52" t="n"/>
      <c r="P234" s="52" t="n"/>
      <c r="Q234" s="52" t="n"/>
      <c r="R234" s="52" t="n"/>
      <c r="S234" s="52" t="n"/>
      <c r="T234" s="52" t="n"/>
      <c r="U234" s="52" t="n"/>
      <c r="V234" s="52" t="n"/>
      <c r="W234" s="52" t="n"/>
      <c r="X234" s="52" t="n"/>
      <c r="Y234" s="52" t="n"/>
      <c r="Z234" s="52" t="n"/>
    </row>
    <row r="235" ht="15.75" customHeight="1" s="673">
      <c r="A235" s="52" t="n"/>
      <c r="B235" s="52" t="n"/>
      <c r="C235" s="52" t="n"/>
      <c r="D235" s="52" t="n"/>
      <c r="E235" s="52" t="n"/>
      <c r="F235" s="52" t="n"/>
      <c r="G235" s="52" t="n"/>
      <c r="H235" s="52" t="n"/>
      <c r="I235" s="52" t="n"/>
      <c r="J235" s="52" t="n"/>
      <c r="K235" s="52" t="n"/>
      <c r="L235" s="52" t="n"/>
      <c r="M235" s="52" t="n"/>
      <c r="N235" s="52" t="n"/>
      <c r="O235" s="52" t="n"/>
      <c r="P235" s="52" t="n"/>
      <c r="Q235" s="52" t="n"/>
      <c r="R235" s="52" t="n"/>
      <c r="S235" s="52" t="n"/>
      <c r="T235" s="52" t="n"/>
      <c r="U235" s="52" t="n"/>
      <c r="V235" s="52" t="n"/>
      <c r="W235" s="52" t="n"/>
      <c r="X235" s="52" t="n"/>
      <c r="Y235" s="52" t="n"/>
      <c r="Z235" s="52" t="n"/>
    </row>
    <row r="236" ht="15.75" customHeight="1" s="673">
      <c r="A236" s="52" t="n"/>
      <c r="B236" s="52" t="n"/>
      <c r="C236" s="52" t="n"/>
      <c r="D236" s="52" t="n"/>
      <c r="E236" s="52" t="n"/>
      <c r="F236" s="52" t="n"/>
      <c r="G236" s="52" t="n"/>
      <c r="H236" s="52" t="n"/>
      <c r="I236" s="52" t="n"/>
      <c r="J236" s="52" t="n"/>
      <c r="K236" s="52" t="n"/>
      <c r="L236" s="52" t="n"/>
      <c r="M236" s="52" t="n"/>
      <c r="N236" s="52" t="n"/>
      <c r="O236" s="52" t="n"/>
      <c r="P236" s="52" t="n"/>
      <c r="Q236" s="52" t="n"/>
      <c r="R236" s="52" t="n"/>
      <c r="S236" s="52" t="n"/>
      <c r="T236" s="52" t="n"/>
      <c r="U236" s="52" t="n"/>
      <c r="V236" s="52" t="n"/>
      <c r="W236" s="52" t="n"/>
      <c r="X236" s="52" t="n"/>
      <c r="Y236" s="52" t="n"/>
      <c r="Z236" s="52" t="n"/>
    </row>
    <row r="237" ht="15.75" customHeight="1" s="673">
      <c r="A237" s="52" t="n"/>
      <c r="B237" s="52" t="n"/>
      <c r="C237" s="52" t="n"/>
      <c r="D237" s="52" t="n"/>
      <c r="E237" s="52" t="n"/>
      <c r="F237" s="52" t="n"/>
      <c r="G237" s="52" t="n"/>
      <c r="H237" s="52" t="n"/>
      <c r="I237" s="52" t="n"/>
      <c r="J237" s="52" t="n"/>
      <c r="K237" s="52" t="n"/>
      <c r="L237" s="52" t="n"/>
      <c r="M237" s="52" t="n"/>
      <c r="N237" s="52" t="n"/>
      <c r="O237" s="52" t="n"/>
      <c r="P237" s="52" t="n"/>
      <c r="Q237" s="52" t="n"/>
      <c r="R237" s="52" t="n"/>
      <c r="S237" s="52" t="n"/>
      <c r="T237" s="52" t="n"/>
      <c r="U237" s="52" t="n"/>
      <c r="V237" s="52" t="n"/>
      <c r="W237" s="52" t="n"/>
      <c r="X237" s="52" t="n"/>
      <c r="Y237" s="52" t="n"/>
      <c r="Z237" s="52" t="n"/>
    </row>
    <row r="238" ht="15.75" customHeight="1" s="673">
      <c r="A238" s="52" t="n"/>
      <c r="B238" s="52" t="n"/>
      <c r="C238" s="52" t="n"/>
      <c r="D238" s="52" t="n"/>
      <c r="E238" s="52" t="n"/>
      <c r="F238" s="52" t="n"/>
      <c r="G238" s="52" t="n"/>
      <c r="H238" s="52" t="n"/>
      <c r="I238" s="52" t="n"/>
      <c r="J238" s="52" t="n"/>
      <c r="K238" s="52" t="n"/>
      <c r="L238" s="52" t="n"/>
      <c r="M238" s="52" t="n"/>
      <c r="N238" s="52" t="n"/>
      <c r="O238" s="52" t="n"/>
      <c r="P238" s="52" t="n"/>
      <c r="Q238" s="52" t="n"/>
      <c r="R238" s="52" t="n"/>
      <c r="S238" s="52" t="n"/>
      <c r="T238" s="52" t="n"/>
      <c r="U238" s="52" t="n"/>
      <c r="V238" s="52" t="n"/>
      <c r="W238" s="52" t="n"/>
      <c r="X238" s="52" t="n"/>
      <c r="Y238" s="52" t="n"/>
      <c r="Z238" s="52" t="n"/>
    </row>
    <row r="239" ht="15.75" customHeight="1" s="673">
      <c r="A239" s="52" t="n"/>
      <c r="B239" s="52" t="n"/>
      <c r="C239" s="52" t="n"/>
      <c r="D239" s="52" t="n"/>
      <c r="E239" s="52" t="n"/>
      <c r="F239" s="52" t="n"/>
      <c r="G239" s="52" t="n"/>
      <c r="H239" s="52" t="n"/>
      <c r="I239" s="52" t="n"/>
      <c r="J239" s="52" t="n"/>
      <c r="K239" s="52" t="n"/>
      <c r="L239" s="52" t="n"/>
      <c r="M239" s="52" t="n"/>
      <c r="N239" s="52" t="n"/>
      <c r="O239" s="52" t="n"/>
      <c r="P239" s="52" t="n"/>
      <c r="Q239" s="52" t="n"/>
      <c r="R239" s="52" t="n"/>
      <c r="S239" s="52" t="n"/>
      <c r="T239" s="52" t="n"/>
      <c r="U239" s="52" t="n"/>
      <c r="V239" s="52" t="n"/>
      <c r="W239" s="52" t="n"/>
      <c r="X239" s="52" t="n"/>
      <c r="Y239" s="52" t="n"/>
      <c r="Z239" s="52" t="n"/>
    </row>
    <row r="240" ht="15.75" customHeight="1" s="673">
      <c r="A240" s="52" t="n"/>
      <c r="B240" s="52" t="n"/>
      <c r="C240" s="52" t="n"/>
      <c r="D240" s="52" t="n"/>
      <c r="E240" s="52" t="n"/>
      <c r="F240" s="52" t="n"/>
      <c r="G240" s="52" t="n"/>
      <c r="H240" s="52" t="n"/>
      <c r="I240" s="52" t="n"/>
      <c r="J240" s="52" t="n"/>
      <c r="K240" s="52" t="n"/>
      <c r="L240" s="52" t="n"/>
      <c r="M240" s="52" t="n"/>
      <c r="N240" s="52" t="n"/>
      <c r="O240" s="52" t="n"/>
      <c r="P240" s="52" t="n"/>
      <c r="Q240" s="52" t="n"/>
      <c r="R240" s="52" t="n"/>
      <c r="S240" s="52" t="n"/>
      <c r="T240" s="52" t="n"/>
      <c r="U240" s="52" t="n"/>
      <c r="V240" s="52" t="n"/>
      <c r="W240" s="52" t="n"/>
      <c r="X240" s="52" t="n"/>
      <c r="Y240" s="52" t="n"/>
      <c r="Z240" s="52" t="n"/>
    </row>
    <row r="241" ht="15.75" customHeight="1" s="673">
      <c r="A241" s="52" t="n"/>
      <c r="B241" s="52" t="n"/>
      <c r="C241" s="52" t="n"/>
      <c r="D241" s="52" t="n"/>
      <c r="E241" s="52" t="n"/>
      <c r="F241" s="52" t="n"/>
      <c r="G241" s="52" t="n"/>
      <c r="H241" s="52" t="n"/>
      <c r="I241" s="52" t="n"/>
      <c r="J241" s="52" t="n"/>
      <c r="K241" s="52" t="n"/>
      <c r="L241" s="52" t="n"/>
      <c r="M241" s="52" t="n"/>
      <c r="N241" s="52" t="n"/>
      <c r="O241" s="52" t="n"/>
      <c r="P241" s="52" t="n"/>
      <c r="Q241" s="52" t="n"/>
      <c r="R241" s="52" t="n"/>
      <c r="S241" s="52" t="n"/>
      <c r="T241" s="52" t="n"/>
      <c r="U241" s="52" t="n"/>
      <c r="V241" s="52" t="n"/>
      <c r="W241" s="52" t="n"/>
      <c r="X241" s="52" t="n"/>
      <c r="Y241" s="52" t="n"/>
      <c r="Z241" s="52" t="n"/>
    </row>
    <row r="242" ht="15.75" customHeight="1" s="673">
      <c r="A242" s="52" t="n"/>
      <c r="B242" s="52" t="n"/>
      <c r="C242" s="52" t="n"/>
      <c r="D242" s="52" t="n"/>
      <c r="E242" s="52" t="n"/>
      <c r="F242" s="52" t="n"/>
      <c r="G242" s="52" t="n"/>
      <c r="H242" s="52" t="n"/>
      <c r="I242" s="52" t="n"/>
      <c r="J242" s="52" t="n"/>
      <c r="K242" s="52" t="n"/>
      <c r="L242" s="52" t="n"/>
      <c r="M242" s="52" t="n"/>
      <c r="N242" s="52" t="n"/>
      <c r="O242" s="52" t="n"/>
      <c r="P242" s="52" t="n"/>
      <c r="Q242" s="52" t="n"/>
      <c r="R242" s="52" t="n"/>
      <c r="S242" s="52" t="n"/>
      <c r="T242" s="52" t="n"/>
      <c r="U242" s="52" t="n"/>
      <c r="V242" s="52" t="n"/>
      <c r="W242" s="52" t="n"/>
      <c r="X242" s="52" t="n"/>
      <c r="Y242" s="52" t="n"/>
      <c r="Z242" s="52" t="n"/>
    </row>
    <row r="243" ht="15.75" customHeight="1" s="673">
      <c r="A243" s="52" t="n"/>
      <c r="B243" s="52" t="n"/>
      <c r="C243" s="52" t="n"/>
      <c r="D243" s="52" t="n"/>
      <c r="E243" s="52" t="n"/>
      <c r="F243" s="52" t="n"/>
      <c r="G243" s="52" t="n"/>
      <c r="H243" s="52" t="n"/>
      <c r="I243" s="52" t="n"/>
      <c r="J243" s="52" t="n"/>
      <c r="K243" s="52" t="n"/>
      <c r="L243" s="52" t="n"/>
      <c r="M243" s="52" t="n"/>
      <c r="N243" s="52" t="n"/>
      <c r="O243" s="52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2" t="n"/>
    </row>
    <row r="244" ht="15.75" customHeight="1" s="673">
      <c r="A244" s="52" t="n"/>
      <c r="B244" s="52" t="n"/>
      <c r="C244" s="52" t="n"/>
      <c r="D244" s="52" t="n"/>
      <c r="E244" s="52" t="n"/>
      <c r="F244" s="52" t="n"/>
      <c r="G244" s="52" t="n"/>
      <c r="H244" s="52" t="n"/>
      <c r="I244" s="52" t="n"/>
      <c r="J244" s="52" t="n"/>
      <c r="K244" s="52" t="n"/>
      <c r="L244" s="52" t="n"/>
      <c r="M244" s="52" t="n"/>
      <c r="N244" s="52" t="n"/>
      <c r="O244" s="52" t="n"/>
      <c r="P244" s="52" t="n"/>
      <c r="Q244" s="52" t="n"/>
      <c r="R244" s="52" t="n"/>
      <c r="S244" s="52" t="n"/>
      <c r="T244" s="52" t="n"/>
      <c r="U244" s="52" t="n"/>
      <c r="V244" s="52" t="n"/>
      <c r="W244" s="52" t="n"/>
      <c r="X244" s="52" t="n"/>
      <c r="Y244" s="52" t="n"/>
      <c r="Z244" s="52" t="n"/>
    </row>
    <row r="245" ht="15.75" customHeight="1" s="673">
      <c r="A245" s="52" t="n"/>
      <c r="B245" s="52" t="n"/>
      <c r="C245" s="52" t="n"/>
      <c r="D245" s="52" t="n"/>
      <c r="E245" s="52" t="n"/>
      <c r="F245" s="52" t="n"/>
      <c r="G245" s="52" t="n"/>
      <c r="H245" s="52" t="n"/>
      <c r="I245" s="52" t="n"/>
      <c r="J245" s="52" t="n"/>
      <c r="K245" s="52" t="n"/>
      <c r="L245" s="52" t="n"/>
      <c r="M245" s="52" t="n"/>
      <c r="N245" s="52" t="n"/>
      <c r="O245" s="52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2" t="n"/>
    </row>
    <row r="246" ht="15.75" customHeight="1" s="673">
      <c r="A246" s="52" t="n"/>
      <c r="B246" s="52" t="n"/>
      <c r="C246" s="52" t="n"/>
      <c r="D246" s="52" t="n"/>
      <c r="E246" s="52" t="n"/>
      <c r="F246" s="52" t="n"/>
      <c r="G246" s="52" t="n"/>
      <c r="H246" s="52" t="n"/>
      <c r="I246" s="52" t="n"/>
      <c r="J246" s="52" t="n"/>
      <c r="K246" s="52" t="n"/>
      <c r="L246" s="52" t="n"/>
      <c r="M246" s="52" t="n"/>
      <c r="N246" s="52" t="n"/>
      <c r="O246" s="52" t="n"/>
      <c r="P246" s="52" t="n"/>
      <c r="Q246" s="52" t="n"/>
      <c r="R246" s="52" t="n"/>
      <c r="S246" s="52" t="n"/>
      <c r="T246" s="52" t="n"/>
      <c r="U246" s="52" t="n"/>
      <c r="V246" s="52" t="n"/>
      <c r="W246" s="52" t="n"/>
      <c r="X246" s="52" t="n"/>
      <c r="Y246" s="52" t="n"/>
      <c r="Z246" s="52" t="n"/>
    </row>
    <row r="247" ht="15.75" customHeight="1" s="673">
      <c r="A247" s="52" t="n"/>
      <c r="B247" s="52" t="n"/>
      <c r="C247" s="52" t="n"/>
      <c r="D247" s="52" t="n"/>
      <c r="E247" s="52" t="n"/>
      <c r="F247" s="52" t="n"/>
      <c r="G247" s="52" t="n"/>
      <c r="H247" s="52" t="n"/>
      <c r="I247" s="52" t="n"/>
      <c r="J247" s="52" t="n"/>
      <c r="K247" s="52" t="n"/>
      <c r="L247" s="52" t="n"/>
      <c r="M247" s="52" t="n"/>
      <c r="N247" s="52" t="n"/>
      <c r="O247" s="52" t="n"/>
      <c r="P247" s="52" t="n"/>
      <c r="Q247" s="52" t="n"/>
      <c r="R247" s="52" t="n"/>
      <c r="S247" s="52" t="n"/>
      <c r="T247" s="52" t="n"/>
      <c r="U247" s="52" t="n"/>
      <c r="V247" s="52" t="n"/>
      <c r="W247" s="52" t="n"/>
      <c r="X247" s="52" t="n"/>
      <c r="Y247" s="52" t="n"/>
      <c r="Z247" s="52" t="n"/>
    </row>
    <row r="248" ht="15.75" customHeight="1" s="673">
      <c r="A248" s="52" t="n"/>
      <c r="B248" s="52" t="n"/>
      <c r="C248" s="52" t="n"/>
      <c r="D248" s="52" t="n"/>
      <c r="E248" s="52" t="n"/>
      <c r="F248" s="52" t="n"/>
      <c r="G248" s="52" t="n"/>
      <c r="H248" s="52" t="n"/>
      <c r="I248" s="52" t="n"/>
      <c r="J248" s="52" t="n"/>
      <c r="K248" s="52" t="n"/>
      <c r="L248" s="52" t="n"/>
      <c r="M248" s="52" t="n"/>
      <c r="N248" s="52" t="n"/>
      <c r="O248" s="52" t="n"/>
      <c r="P248" s="52" t="n"/>
      <c r="Q248" s="52" t="n"/>
      <c r="R248" s="52" t="n"/>
      <c r="S248" s="52" t="n"/>
      <c r="T248" s="52" t="n"/>
      <c r="U248" s="52" t="n"/>
      <c r="V248" s="52" t="n"/>
      <c r="W248" s="52" t="n"/>
      <c r="X248" s="52" t="n"/>
      <c r="Y248" s="52" t="n"/>
      <c r="Z248" s="52" t="n"/>
    </row>
    <row r="249" ht="15.75" customHeight="1" s="673">
      <c r="A249" s="52" t="n"/>
      <c r="B249" s="52" t="n"/>
      <c r="C249" s="52" t="n"/>
      <c r="D249" s="52" t="n"/>
      <c r="E249" s="52" t="n"/>
      <c r="F249" s="52" t="n"/>
      <c r="G249" s="52" t="n"/>
      <c r="H249" s="52" t="n"/>
      <c r="I249" s="52" t="n"/>
      <c r="J249" s="52" t="n"/>
      <c r="K249" s="52" t="n"/>
      <c r="L249" s="52" t="n"/>
      <c r="M249" s="52" t="n"/>
      <c r="N249" s="52" t="n"/>
      <c r="O249" s="52" t="n"/>
      <c r="P249" s="52" t="n"/>
      <c r="Q249" s="52" t="n"/>
      <c r="R249" s="52" t="n"/>
      <c r="S249" s="52" t="n"/>
      <c r="T249" s="52" t="n"/>
      <c r="U249" s="52" t="n"/>
      <c r="V249" s="52" t="n"/>
      <c r="W249" s="52" t="n"/>
      <c r="X249" s="52" t="n"/>
      <c r="Y249" s="52" t="n"/>
      <c r="Z249" s="52" t="n"/>
    </row>
    <row r="250" ht="15.75" customHeight="1" s="673">
      <c r="A250" s="52" t="n"/>
      <c r="B250" s="52" t="n"/>
      <c r="C250" s="52" t="n"/>
      <c r="D250" s="52" t="n"/>
      <c r="E250" s="52" t="n"/>
      <c r="F250" s="52" t="n"/>
      <c r="G250" s="52" t="n"/>
      <c r="H250" s="52" t="n"/>
      <c r="I250" s="52" t="n"/>
      <c r="J250" s="52" t="n"/>
      <c r="K250" s="52" t="n"/>
      <c r="L250" s="52" t="n"/>
      <c r="M250" s="52" t="n"/>
      <c r="N250" s="52" t="n"/>
      <c r="O250" s="52" t="n"/>
      <c r="P250" s="52" t="n"/>
      <c r="Q250" s="52" t="n"/>
      <c r="R250" s="52" t="n"/>
      <c r="S250" s="52" t="n"/>
      <c r="T250" s="52" t="n"/>
      <c r="U250" s="52" t="n"/>
      <c r="V250" s="52" t="n"/>
      <c r="W250" s="52" t="n"/>
      <c r="X250" s="52" t="n"/>
      <c r="Y250" s="52" t="n"/>
      <c r="Z250" s="52" t="n"/>
    </row>
    <row r="251" ht="15.75" customHeight="1" s="673">
      <c r="A251" s="52" t="n"/>
      <c r="B251" s="52" t="n"/>
      <c r="C251" s="52" t="n"/>
      <c r="D251" s="52" t="n"/>
      <c r="E251" s="52" t="n"/>
      <c r="F251" s="52" t="n"/>
      <c r="G251" s="52" t="n"/>
      <c r="H251" s="52" t="n"/>
      <c r="I251" s="52" t="n"/>
      <c r="J251" s="52" t="n"/>
      <c r="K251" s="52" t="n"/>
      <c r="L251" s="52" t="n"/>
      <c r="M251" s="52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  <c r="X251" s="52" t="n"/>
      <c r="Y251" s="52" t="n"/>
      <c r="Z251" s="52" t="n"/>
    </row>
    <row r="252" ht="15.75" customHeight="1" s="673">
      <c r="A252" s="52" t="n"/>
      <c r="B252" s="52" t="n"/>
      <c r="C252" s="52" t="n"/>
      <c r="D252" s="52" t="n"/>
      <c r="E252" s="52" t="n"/>
      <c r="F252" s="52" t="n"/>
      <c r="G252" s="52" t="n"/>
      <c r="H252" s="52" t="n"/>
      <c r="I252" s="52" t="n"/>
      <c r="J252" s="52" t="n"/>
      <c r="K252" s="52" t="n"/>
      <c r="L252" s="52" t="n"/>
      <c r="M252" s="52" t="n"/>
      <c r="N252" s="52" t="n"/>
      <c r="O252" s="52" t="n"/>
      <c r="P252" s="52" t="n"/>
      <c r="Q252" s="52" t="n"/>
      <c r="R252" s="52" t="n"/>
      <c r="S252" s="52" t="n"/>
      <c r="T252" s="52" t="n"/>
      <c r="U252" s="52" t="n"/>
      <c r="V252" s="52" t="n"/>
      <c r="W252" s="52" t="n"/>
      <c r="X252" s="52" t="n"/>
      <c r="Y252" s="52" t="n"/>
      <c r="Z252" s="52" t="n"/>
    </row>
    <row r="253" ht="15.75" customHeight="1" s="673">
      <c r="A253" s="52" t="n"/>
      <c r="B253" s="52" t="n"/>
      <c r="C253" s="52" t="n"/>
      <c r="D253" s="52" t="n"/>
      <c r="E253" s="52" t="n"/>
      <c r="F253" s="52" t="n"/>
      <c r="G253" s="52" t="n"/>
      <c r="H253" s="52" t="n"/>
      <c r="I253" s="52" t="n"/>
      <c r="J253" s="52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  <c r="X253" s="52" t="n"/>
      <c r="Y253" s="52" t="n"/>
      <c r="Z253" s="52" t="n"/>
    </row>
    <row r="254" ht="15.75" customHeight="1" s="673">
      <c r="A254" s="52" t="n"/>
      <c r="B254" s="52" t="n"/>
      <c r="C254" s="52" t="n"/>
      <c r="D254" s="52" t="n"/>
      <c r="E254" s="52" t="n"/>
      <c r="F254" s="52" t="n"/>
      <c r="G254" s="52" t="n"/>
      <c r="H254" s="52" t="n"/>
      <c r="I254" s="52" t="n"/>
      <c r="J254" s="52" t="n"/>
      <c r="K254" s="52" t="n"/>
      <c r="L254" s="52" t="n"/>
      <c r="M254" s="52" t="n"/>
      <c r="N254" s="52" t="n"/>
      <c r="O254" s="52" t="n"/>
      <c r="P254" s="52" t="n"/>
      <c r="Q254" s="52" t="n"/>
      <c r="R254" s="52" t="n"/>
      <c r="S254" s="52" t="n"/>
      <c r="T254" s="52" t="n"/>
      <c r="U254" s="52" t="n"/>
      <c r="V254" s="52" t="n"/>
      <c r="W254" s="52" t="n"/>
      <c r="X254" s="52" t="n"/>
      <c r="Y254" s="52" t="n"/>
      <c r="Z254" s="52" t="n"/>
    </row>
    <row r="255" ht="15.75" customHeight="1" s="673">
      <c r="A255" s="52" t="n"/>
      <c r="B255" s="52" t="n"/>
      <c r="C255" s="52" t="n"/>
      <c r="D255" s="52" t="n"/>
      <c r="E255" s="52" t="n"/>
      <c r="F255" s="52" t="n"/>
      <c r="G255" s="52" t="n"/>
      <c r="H255" s="52" t="n"/>
      <c r="I255" s="52" t="n"/>
      <c r="J255" s="52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52" t="n"/>
      <c r="T255" s="52" t="n"/>
      <c r="U255" s="52" t="n"/>
      <c r="V255" s="52" t="n"/>
      <c r="W255" s="52" t="n"/>
      <c r="X255" s="52" t="n"/>
      <c r="Y255" s="52" t="n"/>
      <c r="Z255" s="52" t="n"/>
    </row>
    <row r="256" ht="15.75" customHeight="1" s="673">
      <c r="A256" s="52" t="n"/>
      <c r="B256" s="52" t="n"/>
      <c r="C256" s="52" t="n"/>
      <c r="D256" s="52" t="n"/>
      <c r="E256" s="52" t="n"/>
      <c r="F256" s="52" t="n"/>
      <c r="G256" s="52" t="n"/>
      <c r="H256" s="52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  <c r="X256" s="52" t="n"/>
      <c r="Y256" s="52" t="n"/>
      <c r="Z256" s="52" t="n"/>
    </row>
    <row r="257" ht="15.75" customHeight="1" s="673">
      <c r="A257" s="52" t="n"/>
      <c r="B257" s="52" t="n"/>
      <c r="C257" s="52" t="n"/>
      <c r="D257" s="52" t="n"/>
      <c r="E257" s="52" t="n"/>
      <c r="F257" s="52" t="n"/>
      <c r="G257" s="52" t="n"/>
      <c r="H257" s="52" t="n"/>
      <c r="I257" s="52" t="n"/>
      <c r="J257" s="52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  <c r="X257" s="52" t="n"/>
      <c r="Y257" s="52" t="n"/>
      <c r="Z257" s="52" t="n"/>
    </row>
    <row r="258" ht="15.75" customHeight="1" s="673">
      <c r="A258" s="52" t="n"/>
      <c r="B258" s="52" t="n"/>
      <c r="C258" s="52" t="n"/>
      <c r="D258" s="52" t="n"/>
      <c r="E258" s="52" t="n"/>
      <c r="F258" s="52" t="n"/>
      <c r="G258" s="52" t="n"/>
      <c r="H258" s="52" t="n"/>
      <c r="I258" s="52" t="n"/>
      <c r="J258" s="52" t="n"/>
      <c r="K258" s="52" t="n"/>
      <c r="L258" s="52" t="n"/>
      <c r="M258" s="52" t="n"/>
      <c r="N258" s="52" t="n"/>
      <c r="O258" s="52" t="n"/>
      <c r="P258" s="52" t="n"/>
      <c r="Q258" s="52" t="n"/>
      <c r="R258" s="52" t="n"/>
      <c r="S258" s="52" t="n"/>
      <c r="T258" s="52" t="n"/>
      <c r="U258" s="52" t="n"/>
      <c r="V258" s="52" t="n"/>
      <c r="W258" s="52" t="n"/>
      <c r="X258" s="52" t="n"/>
      <c r="Y258" s="52" t="n"/>
      <c r="Z258" s="52" t="n"/>
    </row>
    <row r="259" ht="15.75" customHeight="1" s="673">
      <c r="A259" s="52" t="n"/>
      <c r="B259" s="52" t="n"/>
      <c r="C259" s="52" t="n"/>
      <c r="D259" s="52" t="n"/>
      <c r="E259" s="52" t="n"/>
      <c r="F259" s="52" t="n"/>
      <c r="G259" s="52" t="n"/>
      <c r="H259" s="52" t="n"/>
      <c r="I259" s="52" t="n"/>
      <c r="J259" s="52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  <c r="X259" s="52" t="n"/>
      <c r="Y259" s="52" t="n"/>
      <c r="Z259" s="52" t="n"/>
    </row>
    <row r="260" ht="15.75" customHeight="1" s="673">
      <c r="A260" s="52" t="n"/>
      <c r="B260" s="52" t="n"/>
      <c r="C260" s="52" t="n"/>
      <c r="D260" s="52" t="n"/>
      <c r="E260" s="52" t="n"/>
      <c r="F260" s="52" t="n"/>
      <c r="G260" s="52" t="n"/>
      <c r="H260" s="52" t="n"/>
      <c r="I260" s="52" t="n"/>
      <c r="J260" s="52" t="n"/>
      <c r="K260" s="52" t="n"/>
      <c r="L260" s="52" t="n"/>
      <c r="M260" s="52" t="n"/>
      <c r="N260" s="52" t="n"/>
      <c r="O260" s="52" t="n"/>
      <c r="P260" s="52" t="n"/>
      <c r="Q260" s="52" t="n"/>
      <c r="R260" s="52" t="n"/>
      <c r="S260" s="52" t="n"/>
      <c r="T260" s="52" t="n"/>
      <c r="U260" s="52" t="n"/>
      <c r="V260" s="52" t="n"/>
      <c r="W260" s="52" t="n"/>
      <c r="X260" s="52" t="n"/>
      <c r="Y260" s="52" t="n"/>
      <c r="Z260" s="52" t="n"/>
    </row>
    <row r="261" ht="15.75" customHeight="1" s="673">
      <c r="A261" s="52" t="n"/>
      <c r="B261" s="52" t="n"/>
      <c r="C261" s="52" t="n"/>
      <c r="D261" s="52" t="n"/>
      <c r="E261" s="52" t="n"/>
      <c r="F261" s="52" t="n"/>
      <c r="G261" s="52" t="n"/>
      <c r="H261" s="52" t="n"/>
      <c r="I261" s="52" t="n"/>
      <c r="J261" s="52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  <c r="X261" s="52" t="n"/>
      <c r="Y261" s="52" t="n"/>
      <c r="Z261" s="52" t="n"/>
    </row>
    <row r="262" ht="15.75" customHeight="1" s="673">
      <c r="A262" s="52" t="n"/>
      <c r="B262" s="52" t="n"/>
      <c r="C262" s="52" t="n"/>
      <c r="D262" s="52" t="n"/>
      <c r="E262" s="52" t="n"/>
      <c r="F262" s="52" t="n"/>
      <c r="G262" s="52" t="n"/>
      <c r="H262" s="52" t="n"/>
      <c r="I262" s="52" t="n"/>
      <c r="J262" s="52" t="n"/>
      <c r="K262" s="52" t="n"/>
      <c r="L262" s="52" t="n"/>
      <c r="M262" s="52" t="n"/>
      <c r="N262" s="52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  <c r="X262" s="52" t="n"/>
      <c r="Y262" s="52" t="n"/>
      <c r="Z262" s="52" t="n"/>
    </row>
    <row r="263" ht="15.75" customHeight="1" s="673">
      <c r="A263" s="52" t="n"/>
      <c r="B263" s="52" t="n"/>
      <c r="C263" s="52" t="n"/>
      <c r="D263" s="52" t="n"/>
      <c r="E263" s="52" t="n"/>
      <c r="F263" s="52" t="n"/>
      <c r="G263" s="52" t="n"/>
      <c r="H263" s="52" t="n"/>
      <c r="I263" s="52" t="n"/>
      <c r="J263" s="52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  <c r="X263" s="52" t="n"/>
      <c r="Y263" s="52" t="n"/>
      <c r="Z263" s="52" t="n"/>
    </row>
    <row r="264" ht="15.75" customHeight="1" s="673">
      <c r="A264" s="52" t="n"/>
      <c r="B264" s="52" t="n"/>
      <c r="C264" s="52" t="n"/>
      <c r="D264" s="52" t="n"/>
      <c r="E264" s="52" t="n"/>
      <c r="F264" s="52" t="n"/>
      <c r="G264" s="52" t="n"/>
      <c r="H264" s="52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  <c r="X264" s="52" t="n"/>
      <c r="Y264" s="52" t="n"/>
      <c r="Z264" s="52" t="n"/>
    </row>
    <row r="265" ht="15.75" customHeight="1" s="673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  <c r="Z265" s="52" t="n"/>
    </row>
    <row r="266" ht="15.75" customHeight="1" s="673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</row>
    <row r="267" ht="15.75" customHeight="1" s="673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</row>
    <row r="268" ht="15.75" customHeight="1" s="673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</row>
    <row r="269" ht="15.75" customHeight="1" s="673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mergeCells count="50">
    <mergeCell ref="D20:E20"/>
    <mergeCell ref="B47:C47"/>
    <mergeCell ref="B16:C16"/>
    <mergeCell ref="D19:E19"/>
    <mergeCell ref="B46:C46"/>
    <mergeCell ref="B22:C22"/>
    <mergeCell ref="D46:E46"/>
    <mergeCell ref="D22:E22"/>
    <mergeCell ref="B18:C18"/>
    <mergeCell ref="D45:E45"/>
    <mergeCell ref="B43:C43"/>
    <mergeCell ref="D21:E21"/>
    <mergeCell ref="B12:C12"/>
    <mergeCell ref="B52:C52"/>
    <mergeCell ref="B21:C21"/>
    <mergeCell ref="B48:C48"/>
    <mergeCell ref="D52:E52"/>
    <mergeCell ref="B11:C11"/>
    <mergeCell ref="D11:E11"/>
    <mergeCell ref="D13:E13"/>
    <mergeCell ref="D49:E49"/>
    <mergeCell ref="B42:C42"/>
    <mergeCell ref="B14:C14"/>
    <mergeCell ref="B17:C17"/>
    <mergeCell ref="D41:E41"/>
    <mergeCell ref="D48:E48"/>
    <mergeCell ref="D17:E17"/>
    <mergeCell ref="B13:C13"/>
    <mergeCell ref="D47:E47"/>
    <mergeCell ref="D16:E16"/>
    <mergeCell ref="B44:C44"/>
    <mergeCell ref="B19:C19"/>
    <mergeCell ref="D43:E43"/>
    <mergeCell ref="B41:C41"/>
    <mergeCell ref="B10:C10"/>
    <mergeCell ref="B40:C40"/>
    <mergeCell ref="D18:E18"/>
    <mergeCell ref="B49:C49"/>
    <mergeCell ref="D12:E12"/>
    <mergeCell ref="B15:C15"/>
    <mergeCell ref="D42:E42"/>
    <mergeCell ref="D15:E15"/>
    <mergeCell ref="B51:C51"/>
    <mergeCell ref="B20:C20"/>
    <mergeCell ref="D51:E51"/>
    <mergeCell ref="B45:C45"/>
    <mergeCell ref="D14:E14"/>
    <mergeCell ref="B50:C50"/>
    <mergeCell ref="D50:E50"/>
    <mergeCell ref="D44:E44"/>
  </mergeCells>
  <pageMargins left="0.511811024" right="0.511811024" top="0.787401575" bottom="0.787401575" header="0" footer="0"/>
  <pageSetup orientation="portrait" paperSize="9" fitToHeight="0"/>
</worksheet>
</file>

<file path=xl/worksheets/sheet15.xml><?xml version="1.0" encoding="utf-8"?>
<worksheet xmlns="http://schemas.openxmlformats.org/spreadsheetml/2006/main">
  <sheetPr>
    <tabColor rgb="FF4A9B82"/>
    <outlinePr summaryBelow="1" summaryRight="1"/>
    <pageSetUpPr fitToPage="1"/>
  </sheetPr>
  <dimension ref="A1:Y1000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style="673" min="1" max="1"/>
    <col width="34.13" customWidth="1" style="673" min="2" max="2"/>
    <col width="15.25" customWidth="1" style="673" min="3" max="3"/>
    <col width="21.75" customWidth="1" style="673" min="4" max="4"/>
    <col width="17" customWidth="1" style="673" min="5" max="6"/>
    <col width="15.63" customWidth="1" style="673" min="7" max="7"/>
    <col width="11.5" customWidth="1" style="673" min="8" max="8"/>
    <col width="19.63" customWidth="1" style="673" min="9" max="9"/>
    <col width="13.5" customWidth="1" style="673" min="10" max="10"/>
    <col width="13.13" customWidth="1" style="673" min="11" max="11"/>
    <col width="19.63" customWidth="1" style="673" min="12" max="12"/>
    <col width="23.5" customWidth="1" style="673" min="13" max="13"/>
    <col width="16.75" customWidth="1" style="673" min="14" max="14"/>
    <col width="8.75" customWidth="1" style="673" min="15" max="25"/>
  </cols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>
      <c r="A2" s="10" t="n"/>
      <c r="B2" s="211" t="inlineStr">
        <is>
          <t>CONTROLE DE PRODUÇÃO</t>
        </is>
      </c>
      <c r="C2" s="212" t="n"/>
      <c r="D2" s="212" t="n"/>
      <c r="E2" s="212" t="n"/>
      <c r="F2" s="212" t="n"/>
      <c r="G2" s="212" t="n"/>
      <c r="H2" s="212" t="n"/>
      <c r="I2" s="212" t="n"/>
      <c r="J2" s="212" t="n"/>
      <c r="K2" s="212" t="n"/>
      <c r="L2" s="212" t="n"/>
      <c r="M2" s="212" t="n"/>
      <c r="N2" s="212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</row>
    <row r="3">
      <c r="A3" s="10" t="n"/>
      <c r="B3" s="686">
        <f>RECEITAS!B13</f>
        <v/>
      </c>
      <c r="G3" s="214" t="n"/>
      <c r="H3" s="214" t="n"/>
      <c r="I3" s="214" t="n"/>
      <c r="J3" s="214" t="n"/>
      <c r="K3" s="214" t="n"/>
      <c r="L3" s="214" t="n"/>
      <c r="M3" s="214" t="n"/>
      <c r="N3" s="214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</row>
    <row r="4">
      <c r="A4" s="10" t="n"/>
      <c r="B4" s="215" t="n"/>
      <c r="C4" s="216" t="n"/>
      <c r="D4" s="216" t="n"/>
      <c r="E4" s="216" t="n"/>
      <c r="F4" s="216" t="n"/>
      <c r="G4" s="216" t="n"/>
      <c r="H4" s="216" t="n"/>
      <c r="I4" s="216" t="n"/>
      <c r="J4" s="216" t="n"/>
      <c r="K4" s="216" t="n"/>
      <c r="L4" s="216" t="n"/>
      <c r="M4" s="216" t="n"/>
      <c r="N4" s="216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</row>
    <row r="5">
      <c r="A5" s="10" t="n"/>
      <c r="B5" s="424" t="inlineStr">
        <is>
          <t>Período Inicial</t>
        </is>
      </c>
      <c r="C5" s="425" t="inlineStr">
        <is>
          <t>Período Final</t>
        </is>
      </c>
      <c r="D5" s="425" t="n"/>
      <c r="E5" s="426" t="n"/>
      <c r="F5" s="427" t="n"/>
      <c r="G5" s="426" t="n"/>
      <c r="H5" s="426" t="n"/>
      <c r="I5" s="426" t="n"/>
      <c r="J5" s="428" t="n"/>
      <c r="K5" s="428" t="n"/>
      <c r="L5" s="428" t="n"/>
      <c r="M5" s="426" t="n"/>
      <c r="N5" s="426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</row>
    <row r="6">
      <c r="A6" s="10" t="n"/>
      <c r="B6" s="429">
        <f>RECEITAS!H14</f>
        <v/>
      </c>
      <c r="C6" s="430">
        <f>RECEITAS!I14</f>
        <v/>
      </c>
      <c r="D6" s="431" t="n"/>
      <c r="E6" s="426" t="n"/>
      <c r="F6" s="426" t="n"/>
      <c r="G6" s="426" t="n"/>
      <c r="H6" s="426" t="n"/>
      <c r="I6" s="428" t="n"/>
      <c r="J6" s="428" t="n"/>
      <c r="K6" s="428" t="n"/>
      <c r="L6" s="428" t="n"/>
      <c r="M6" s="428" t="n"/>
      <c r="N6" s="428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</row>
    <row r="7">
      <c r="A7" s="10" t="n"/>
      <c r="B7" s="432" t="n"/>
      <c r="C7" s="432" t="n"/>
      <c r="D7" s="432" t="n"/>
      <c r="E7" s="432" t="n"/>
      <c r="F7" s="426" t="n"/>
      <c r="G7" s="432" t="n"/>
      <c r="H7" s="432" t="n"/>
      <c r="I7" s="426" t="n"/>
      <c r="J7" s="426" t="n"/>
      <c r="K7" s="426" t="n"/>
      <c r="L7" s="426" t="n"/>
      <c r="M7" s="426" t="n"/>
      <c r="N7" s="426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724" t="inlineStr">
        <is>
          <t>TABELA PARA TRANSFERÊNCIA DE PRODUTOS, CONFORME PERCENTUAL ESTIPULADO NO CONTRATO DE PARCERIA ENTRE PF X PJ</t>
        </is>
      </c>
      <c r="C8" s="715" t="n"/>
      <c r="D8" s="715" t="n"/>
      <c r="E8" s="715" t="n"/>
      <c r="F8" s="715" t="n"/>
      <c r="G8" s="715" t="n"/>
      <c r="H8" s="715" t="n"/>
      <c r="I8" s="715" t="n"/>
      <c r="J8" s="715" t="n"/>
      <c r="K8" s="715" t="n"/>
      <c r="L8" s="715" t="n"/>
      <c r="M8" s="715" t="n"/>
      <c r="N8" s="716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>
      <c r="A9" s="10" t="n"/>
      <c r="B9" s="434" t="n"/>
      <c r="C9" s="434" t="n"/>
      <c r="D9" s="434" t="n"/>
      <c r="E9" s="434" t="n"/>
      <c r="F9" s="434" t="n"/>
      <c r="G9" s="434" t="n"/>
      <c r="H9" s="434" t="n"/>
      <c r="I9" s="434" t="n"/>
      <c r="J9" s="434" t="n"/>
      <c r="K9" s="434" t="n"/>
      <c r="L9" s="434" t="n"/>
      <c r="M9" s="434" t="n"/>
      <c r="N9" s="434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</row>
    <row r="10">
      <c r="A10" s="10" t="n"/>
      <c r="B10" s="435" t="inlineStr">
        <is>
          <t>CULTURAS</t>
        </is>
      </c>
      <c r="C10" s="436" t="inlineStr">
        <is>
          <t>ÁREA</t>
        </is>
      </c>
      <c r="D10" s="436" t="inlineStr">
        <is>
          <t>PRODUTIVIDADE</t>
        </is>
      </c>
      <c r="E10" s="436" t="inlineStr">
        <is>
          <t>PRODUÇÃO</t>
        </is>
      </c>
      <c r="F10" s="437" t="n">
        <v>0.8</v>
      </c>
      <c r="G10" s="438" t="n">
        <v>0.2</v>
      </c>
      <c r="H10" s="436" t="inlineStr">
        <is>
          <t>PREÇO</t>
        </is>
      </c>
      <c r="I10" s="436" t="inlineStr">
        <is>
          <t>TOTAL</t>
        </is>
      </c>
      <c r="J10" s="436" t="inlineStr">
        <is>
          <t>PRODUTO</t>
        </is>
      </c>
      <c r="K10" s="436" t="inlineStr">
        <is>
          <t>%</t>
        </is>
      </c>
      <c r="L10" s="436" t="inlineStr">
        <is>
          <t>EQUIVALÊNCIA</t>
        </is>
      </c>
      <c r="M10" s="436" t="inlineStr">
        <is>
          <t xml:space="preserve">VENDAS </t>
        </is>
      </c>
      <c r="N10" s="436" t="inlineStr">
        <is>
          <t xml:space="preserve">SALDO </t>
        </is>
      </c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</row>
    <row r="11">
      <c r="A11" s="10" t="n"/>
      <c r="B11" s="439" t="inlineStr">
        <is>
          <t>ARROZ</t>
        </is>
      </c>
      <c r="C11" s="440" t="n"/>
      <c r="D11" s="441">
        <f>E11/C11</f>
        <v/>
      </c>
      <c r="E11" s="441" t="n"/>
      <c r="F11" s="442">
        <f>E11*$F$10</f>
        <v/>
      </c>
      <c r="G11" s="442">
        <f>E11*$G$10</f>
        <v/>
      </c>
      <c r="H11" s="443" t="n"/>
      <c r="I11" s="444">
        <f>G11*H11</f>
        <v/>
      </c>
      <c r="J11" s="445" t="inlineStr">
        <is>
          <t>soja</t>
        </is>
      </c>
      <c r="K11" s="446" t="n"/>
      <c r="L11" s="447">
        <f>($I$14/H11)*K11</f>
        <v/>
      </c>
      <c r="M11" s="448" t="n"/>
      <c r="N11" s="449">
        <f>L11-M11</f>
        <v/>
      </c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</row>
    <row r="12">
      <c r="A12" s="10" t="n"/>
      <c r="B12" s="439" t="inlineStr">
        <is>
          <t>SOJA</t>
        </is>
      </c>
      <c r="C12" s="440" t="n"/>
      <c r="D12" s="441">
        <f>E12/C12</f>
        <v/>
      </c>
      <c r="E12" s="441" t="n"/>
      <c r="F12" s="442">
        <f>E12*$F$10</f>
        <v/>
      </c>
      <c r="G12" s="442">
        <f>E12*$G$10</f>
        <v/>
      </c>
      <c r="H12" s="443" t="n"/>
      <c r="I12" s="444">
        <f>G12*H12</f>
        <v/>
      </c>
      <c r="J12" s="445" t="inlineStr">
        <is>
          <t>soja</t>
        </is>
      </c>
      <c r="K12" s="450" t="n"/>
      <c r="L12" s="447">
        <f>($I$14/H12)*K12</f>
        <v/>
      </c>
      <c r="M12" s="451" t="n"/>
      <c r="N12" s="447">
        <f>L12-M12</f>
        <v/>
      </c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439" t="inlineStr">
        <is>
          <t>PECUÁRIA</t>
        </is>
      </c>
      <c r="C13" s="440" t="n"/>
      <c r="D13" s="441">
        <f>E13/C13</f>
        <v/>
      </c>
      <c r="E13" s="441" t="n"/>
      <c r="F13" s="442">
        <f>E13*$F$10</f>
        <v/>
      </c>
      <c r="G13" s="442">
        <f>E13*$G$10</f>
        <v/>
      </c>
      <c r="H13" s="443" t="n"/>
      <c r="I13" s="444">
        <f>G13*H13</f>
        <v/>
      </c>
      <c r="J13" s="445" t="inlineStr">
        <is>
          <t>soja</t>
        </is>
      </c>
      <c r="K13" s="446" t="n"/>
      <c r="L13" s="447">
        <f>($I$14/H13)*K13</f>
        <v/>
      </c>
      <c r="M13" s="448" t="n"/>
      <c r="N13" s="449">
        <f>L13-M13</f>
        <v/>
      </c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452" t="inlineStr">
        <is>
          <t>TOTAL</t>
        </is>
      </c>
      <c r="C14" s="453">
        <f>SUM(C11:C13)</f>
        <v/>
      </c>
      <c r="D14" s="454" t="n"/>
      <c r="E14" s="454" t="n"/>
      <c r="F14" s="455" t="n"/>
      <c r="G14" s="456" t="n"/>
      <c r="H14" s="454" t="n"/>
      <c r="I14" s="457">
        <f>SUM(I11:I13)</f>
        <v/>
      </c>
      <c r="J14" s="454" t="n"/>
      <c r="K14" s="458">
        <f>SUM(K11:K13)</f>
        <v/>
      </c>
      <c r="L14" s="453">
        <f>SUM(L11:L13)</f>
        <v/>
      </c>
      <c r="M14" s="453">
        <f>SUM(M11:M13)</f>
        <v/>
      </c>
      <c r="N14" s="453">
        <f>SUM(N11:N13)</f>
        <v/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725" t="inlineStr">
        <is>
          <t>(*) Na produção total, considerar apenas o que foi colhido nas áreas próprias e que estão incorporadas na Pessoa Jurídica.</t>
        </is>
      </c>
      <c r="C15" s="726" t="n"/>
      <c r="D15" s="726" t="n"/>
      <c r="E15" s="727" t="n"/>
      <c r="F15" s="434" t="n"/>
      <c r="G15" s="434" t="n"/>
      <c r="H15" s="434" t="n"/>
      <c r="I15" s="434" t="n"/>
      <c r="J15" s="434" t="n"/>
      <c r="K15" s="434" t="n"/>
      <c r="L15" s="434" t="n"/>
      <c r="M15" s="426" t="n"/>
      <c r="N15" s="426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462" t="n"/>
      <c r="C16" s="434" t="n"/>
      <c r="D16" s="434" t="n"/>
      <c r="E16" s="434" t="n"/>
      <c r="F16" s="434" t="n"/>
      <c r="G16" s="434" t="n"/>
      <c r="H16" s="463" t="n"/>
      <c r="I16" s="464" t="n"/>
      <c r="J16" s="434" t="n"/>
      <c r="K16" s="728" t="inlineStr">
        <is>
          <t>ADIANTAMENTO SAFRAS ANTERIORES</t>
        </is>
      </c>
      <c r="L16" s="715" t="n"/>
      <c r="M16" s="729" t="n"/>
      <c r="N16" s="467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462" t="n"/>
      <c r="C17" s="468" t="n"/>
      <c r="D17" s="434" t="n"/>
      <c r="E17" s="434" t="n"/>
      <c r="F17" s="434" t="n"/>
      <c r="G17" s="434" t="n"/>
      <c r="H17" s="463" t="n"/>
      <c r="I17" s="464" t="n"/>
      <c r="J17" s="469" t="n"/>
      <c r="K17" s="730" t="inlineStr">
        <is>
          <t>CRÉDITO SAFRAS ANTERIORES</t>
        </is>
      </c>
      <c r="M17" s="731" t="n"/>
      <c r="N17" s="472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473" t="inlineStr">
        <is>
          <t>Cotações:</t>
        </is>
      </c>
      <c r="C18" s="474" t="n"/>
      <c r="D18" s="474" t="n"/>
      <c r="E18" s="434" t="n"/>
      <c r="F18" s="434" t="n"/>
      <c r="G18" s="434" t="n"/>
      <c r="H18" s="463" t="n"/>
      <c r="I18" s="464" t="n"/>
      <c r="J18" s="475" t="n"/>
      <c r="K18" s="434" t="n"/>
      <c r="L18" s="434" t="n"/>
      <c r="M18" s="470" t="inlineStr">
        <is>
          <t>SOJA A VENDER PJ</t>
        </is>
      </c>
      <c r="N18" s="476">
        <f>N14-N16+N17</f>
        <v/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222" t="n"/>
      <c r="B19" s="477" t="inlineStr">
        <is>
          <t>TOTAL ÁREA PF (HA)</t>
        </is>
      </c>
      <c r="C19" s="478" t="n"/>
      <c r="D19" s="479" t="n"/>
      <c r="E19" s="462" t="n"/>
      <c r="F19" s="434" t="n"/>
      <c r="G19" s="434" t="n"/>
      <c r="H19" s="463" t="n"/>
      <c r="I19" s="480" t="n"/>
      <c r="J19" s="475" t="n"/>
      <c r="K19" s="434" t="n"/>
      <c r="L19" s="434" t="n"/>
      <c r="M19" s="470" t="n"/>
      <c r="N19" s="481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477" t="inlineStr">
        <is>
          <t>TOTAL ÁREA PJ (HA)</t>
        </is>
      </c>
      <c r="C20" s="482" t="n"/>
      <c r="D20" s="479" t="n"/>
      <c r="E20" s="434" t="n"/>
      <c r="F20" s="434" t="n"/>
      <c r="G20" s="483" t="n"/>
      <c r="H20" s="434" t="n"/>
      <c r="I20" s="480" t="n"/>
      <c r="J20" s="475" t="n"/>
      <c r="K20" s="434" t="n"/>
      <c r="L20" s="434" t="n"/>
      <c r="M20" s="480" t="n"/>
      <c r="N20" s="434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5.75" customHeight="1" s="673">
      <c r="A21" s="10" t="n"/>
      <c r="B21" s="484" t="inlineStr">
        <is>
          <t>PARCERIA PJ X PF</t>
        </is>
      </c>
      <c r="C21" s="485" t="n">
        <v>0.2</v>
      </c>
      <c r="D21" s="434" t="n"/>
      <c r="E21" s="434" t="n"/>
      <c r="F21" s="434" t="n"/>
      <c r="G21" s="434" t="n"/>
      <c r="H21" s="434" t="n"/>
      <c r="I21" s="480" t="n"/>
      <c r="J21" s="475" t="n"/>
      <c r="K21" s="434" t="n"/>
      <c r="L21" s="434" t="n"/>
      <c r="M21" s="434" t="n"/>
      <c r="N21" s="434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 ht="15.75" customHeight="1" s="673">
      <c r="A22" s="10" t="n"/>
      <c r="B22" s="10" t="n"/>
      <c r="C22" s="221" t="n"/>
      <c r="D22" s="221" t="n"/>
      <c r="E22" s="221" t="n"/>
      <c r="F22" s="221" t="n"/>
      <c r="G22" s="221" t="n"/>
      <c r="H22" s="221" t="n"/>
      <c r="I22" s="221" t="n"/>
      <c r="J22" s="221" t="n"/>
      <c r="K22" s="221" t="n"/>
      <c r="L22" s="221" t="n"/>
      <c r="M22" s="221" t="n"/>
      <c r="N22" s="221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</row>
    <row r="23" ht="15.75" customHeight="1" s="67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</row>
    <row r="24" ht="15.75" customHeight="1" s="673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</row>
    <row r="25" ht="15.75" customHeight="1" s="673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</row>
    <row r="26" ht="15.75" customHeight="1" s="673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</row>
    <row r="27" ht="15.75" customHeight="1" s="673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</row>
    <row r="28" ht="15.75" customHeight="1" s="673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</row>
    <row r="29" ht="15.75" customHeight="1" s="673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</row>
    <row r="30" ht="15.75" customHeight="1" s="673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</row>
    <row r="31" ht="15.75" customHeight="1" s="673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 ht="15.75" customHeight="1" s="673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5.75" customHeight="1" s="67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</row>
    <row r="34" ht="15.75" customHeight="1" s="673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</row>
    <row r="35" ht="15.75" customHeight="1" s="673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</row>
    <row r="36" ht="15.75" customHeight="1" s="673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</row>
    <row r="37" ht="15.75" customHeight="1" s="673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</row>
    <row r="38" ht="15.75" customHeight="1" s="673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</row>
    <row r="39" ht="15.75" customHeight="1" s="673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</row>
    <row r="40" ht="15.75" customHeight="1" s="673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</row>
    <row r="41" ht="15.75" customHeight="1" s="673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 ht="15.75" customHeight="1" s="673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5.75" customHeight="1" s="67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</row>
    <row r="44" ht="15.75" customHeight="1" s="673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</row>
    <row r="45" ht="15.75" customHeight="1" s="673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</row>
    <row r="46" ht="15.75" customHeight="1" s="673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</row>
    <row r="47" ht="15.75" customHeight="1" s="673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</row>
    <row r="48" ht="15.75" customHeight="1" s="673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</row>
    <row r="49" ht="15.75" customHeight="1" s="673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</row>
    <row r="50" ht="15.75" customHeight="1" s="673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</row>
    <row r="51" ht="15.75" customHeight="1" s="673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</row>
    <row r="52" ht="15.75" customHeight="1" s="673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</row>
    <row r="53" ht="15.75" customHeight="1" s="67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5.75" customHeight="1" s="673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</row>
    <row r="55" ht="15.75" customHeight="1" s="673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</row>
    <row r="56" ht="15.75" customHeight="1" s="673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</row>
    <row r="57" ht="15.75" customHeight="1" s="673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</row>
    <row r="58" ht="15.75" customHeight="1" s="673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</row>
    <row r="59" ht="15.75" customHeight="1" s="673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</row>
    <row r="60" ht="15.75" customHeight="1" s="673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</row>
    <row r="61" ht="15.75" customHeight="1" s="673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</row>
    <row r="62" ht="15.75" customHeight="1" s="673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</row>
    <row r="63" ht="15.75" customHeight="1" s="67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</row>
    <row r="64" ht="15.75" customHeight="1" s="673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</row>
    <row r="65" ht="15.75" customHeight="1" s="673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</row>
    <row r="66" ht="15.75" customHeight="1" s="673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</row>
    <row r="67" ht="15.75" customHeight="1" s="673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</row>
    <row r="68" ht="15.75" customHeight="1" s="673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</row>
    <row r="69" ht="15.75" customHeight="1" s="673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</row>
    <row r="70" ht="15.75" customHeight="1" s="673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</row>
    <row r="71" ht="15.75" customHeight="1" s="673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</row>
    <row r="72" ht="15.75" customHeight="1" s="673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</row>
    <row r="73" ht="15.75" customHeight="1" s="6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</row>
    <row r="74" ht="15.75" customHeight="1" s="673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</row>
    <row r="75" ht="15.75" customHeight="1" s="673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</row>
    <row r="76" ht="15.75" customHeight="1" s="673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</row>
    <row r="77" ht="15.75" customHeight="1" s="673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</row>
    <row r="78" ht="15.75" customHeight="1" s="673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</row>
    <row r="79" ht="15.75" customHeight="1" s="673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</row>
    <row r="80" ht="15.75" customHeight="1" s="673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</row>
    <row r="81" ht="15.75" customHeight="1" s="673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</row>
    <row r="82" ht="15.75" customHeight="1" s="673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</row>
    <row r="83" ht="15.75" customHeight="1" s="67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</row>
    <row r="84" ht="15.75" customHeight="1" s="673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</row>
    <row r="85" ht="15.75" customHeight="1" s="673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</row>
    <row r="86" ht="15.75" customHeight="1" s="673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</row>
    <row r="87" ht="15.75" customHeight="1" s="673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</row>
    <row r="88" ht="15.75" customHeight="1" s="673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</row>
    <row r="89" ht="15.75" customHeight="1" s="673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</row>
    <row r="90" ht="15.75" customHeight="1" s="673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</row>
    <row r="91" ht="15.75" customHeight="1" s="67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</row>
    <row r="92" ht="15.75" customHeight="1" s="67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</row>
    <row r="93" ht="15.75" customHeight="1" s="67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</row>
    <row r="94" ht="15.75" customHeight="1" s="67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</row>
    <row r="95" ht="15.75" customHeight="1" s="67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</row>
    <row r="96" ht="15.75" customHeight="1" s="67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</row>
    <row r="97" ht="15.75" customHeight="1" s="67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</row>
    <row r="98" ht="15.75" customHeight="1" s="67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</row>
    <row r="99" ht="15.75" customHeight="1" s="67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</row>
    <row r="100" ht="15.75" customHeight="1" s="67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</row>
    <row r="101" ht="15.75" customHeight="1" s="67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</row>
    <row r="102" ht="15.75" customHeight="1" s="67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</row>
    <row r="103" ht="15.75" customHeight="1" s="67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</row>
    <row r="104" ht="15.75" customHeight="1" s="67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</row>
    <row r="105" ht="15.75" customHeight="1" s="67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</row>
    <row r="106" ht="15.75" customHeight="1" s="67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</row>
    <row r="107" ht="15.75" customHeight="1" s="67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</row>
    <row r="108" ht="15.75" customHeight="1" s="67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</row>
    <row r="109" ht="15.75" customHeight="1" s="67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</row>
    <row r="110" ht="15.75" customHeight="1" s="67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</row>
    <row r="111" ht="15.75" customHeight="1" s="67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</row>
    <row r="112" ht="15.75" customHeight="1" s="67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</row>
    <row r="113" ht="15.75" customHeight="1" s="67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</row>
    <row r="114" ht="15.75" customHeight="1" s="67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</row>
    <row r="115" ht="15.75" customHeight="1" s="67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</row>
    <row r="116" ht="15.75" customHeight="1" s="67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</row>
    <row r="117" ht="15.75" customHeight="1" s="67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</row>
    <row r="118" ht="15.75" customHeight="1" s="67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</row>
    <row r="119" ht="15.75" customHeight="1" s="67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</row>
    <row r="120" ht="15.75" customHeight="1" s="67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</row>
    <row r="121" ht="15.75" customHeight="1" s="67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</row>
    <row r="122" ht="15.75" customHeight="1" s="67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</row>
    <row r="123" ht="15.75" customHeight="1" s="67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</row>
    <row r="124" ht="15.75" customHeight="1" s="67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</row>
    <row r="125" ht="15.75" customHeight="1" s="67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</row>
    <row r="126" ht="15.75" customHeight="1" s="67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</row>
    <row r="127" ht="15.75" customHeight="1" s="67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</row>
    <row r="128" ht="15.75" customHeight="1" s="67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</row>
    <row r="129" ht="15.75" customHeight="1" s="67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</row>
    <row r="130" ht="15.75" customHeight="1" s="67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</row>
    <row r="131" ht="15.75" customHeight="1" s="67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</row>
    <row r="132" ht="15.75" customHeight="1" s="67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</row>
    <row r="133" ht="15.75" customHeight="1" s="67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</row>
    <row r="134" ht="15.75" customHeight="1" s="67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</row>
    <row r="135" ht="15.75" customHeight="1" s="67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</row>
    <row r="136" ht="15.75" customHeight="1" s="67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</row>
    <row r="137" ht="15.75" customHeight="1" s="67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</row>
    <row r="138" ht="15.75" customHeight="1" s="67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</row>
    <row r="139" ht="15.75" customHeight="1" s="67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</row>
    <row r="140" ht="15.75" customHeight="1" s="67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</row>
    <row r="141" ht="15.75" customHeight="1" s="67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</row>
    <row r="142" ht="15.75" customHeight="1" s="67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</row>
    <row r="143" ht="15.75" customHeight="1" s="67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</row>
    <row r="144" ht="15.75" customHeight="1" s="67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</row>
    <row r="145" ht="15.75" customHeight="1" s="67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</row>
    <row r="146" ht="15.75" customHeight="1" s="67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</row>
    <row r="147" ht="15.75" customHeight="1" s="67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</row>
    <row r="148" ht="15.75" customHeight="1" s="67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</row>
    <row r="149" ht="15.75" customHeight="1" s="67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</row>
    <row r="150" ht="15.75" customHeight="1" s="67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</row>
    <row r="151" ht="15.75" customHeight="1" s="67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</row>
    <row r="152" ht="15.75" customHeight="1" s="67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</row>
    <row r="153" ht="15.75" customHeight="1" s="67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</row>
    <row r="154" ht="15.75" customHeight="1" s="67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</row>
    <row r="155" ht="15.75" customHeight="1" s="67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</row>
    <row r="156" ht="15.75" customHeight="1" s="67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</row>
    <row r="157" ht="15.75" customHeight="1" s="67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</row>
    <row r="158" ht="15.75" customHeight="1" s="67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</row>
    <row r="159" ht="15.75" customHeight="1" s="67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</row>
    <row r="160" ht="15.75" customHeight="1" s="67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</row>
    <row r="161" ht="15.75" customHeight="1" s="67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</row>
    <row r="162" ht="15.75" customHeight="1" s="67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</row>
    <row r="163" ht="15.75" customHeight="1" s="67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</row>
    <row r="164" ht="15.75" customHeight="1" s="67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</row>
    <row r="165" ht="15.75" customHeight="1" s="67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</row>
    <row r="166" ht="15.75" customHeight="1" s="67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</row>
    <row r="167" ht="15.75" customHeight="1" s="67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</row>
    <row r="168" ht="15.75" customHeight="1" s="67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</row>
    <row r="169" ht="15.75" customHeight="1" s="67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</row>
    <row r="170" ht="15.75" customHeight="1" s="67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</row>
    <row r="171" ht="15.75" customHeight="1" s="67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</row>
    <row r="172" ht="15.75" customHeight="1" s="67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</row>
    <row r="173" ht="15.75" customHeight="1" s="6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</row>
    <row r="174" ht="15.75" customHeight="1" s="67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</row>
    <row r="175" ht="15.75" customHeight="1" s="67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</row>
    <row r="176" ht="15.75" customHeight="1" s="67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</row>
    <row r="177" ht="15.75" customHeight="1" s="67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</row>
    <row r="178" ht="15.75" customHeight="1" s="67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</row>
    <row r="179" ht="15.75" customHeight="1" s="67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</row>
    <row r="180" ht="15.75" customHeight="1" s="67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</row>
    <row r="181" ht="15.75" customHeight="1" s="67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</row>
    <row r="182" ht="15.75" customHeight="1" s="67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</row>
    <row r="183" ht="15.75" customHeight="1" s="67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</row>
    <row r="184" ht="15.75" customHeight="1" s="67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</row>
    <row r="185" ht="15.75" customHeight="1" s="67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</row>
    <row r="186" ht="15.75" customHeight="1" s="67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</row>
    <row r="187" ht="15.75" customHeight="1" s="67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</row>
    <row r="188" ht="15.75" customHeight="1" s="67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</row>
    <row r="189" ht="15.75" customHeight="1" s="67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</row>
    <row r="190" ht="15.75" customHeight="1" s="67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</row>
    <row r="191" ht="15.75" customHeight="1" s="67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</row>
    <row r="192" ht="15.75" customHeight="1" s="67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</row>
    <row r="193" ht="15.75" customHeight="1" s="67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</row>
    <row r="194" ht="15.75" customHeight="1" s="67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</row>
    <row r="195" ht="15.75" customHeight="1" s="67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</row>
    <row r="196" ht="15.75" customHeight="1" s="67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</row>
    <row r="197" ht="15.75" customHeight="1" s="67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</row>
    <row r="198" ht="15.75" customHeight="1" s="67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</row>
    <row r="199" ht="15.75" customHeight="1" s="67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</row>
    <row r="200" ht="15.75" customHeight="1" s="67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</row>
    <row r="201" ht="15.75" customHeight="1" s="673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</row>
    <row r="202" ht="15.75" customHeight="1" s="673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</row>
    <row r="203" ht="15.75" customHeight="1" s="67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</row>
    <row r="204" ht="15.75" customHeight="1" s="673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</row>
    <row r="205" ht="15.75" customHeight="1" s="673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</row>
    <row r="206" ht="15.75" customHeight="1" s="673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</row>
    <row r="207" ht="15.75" customHeight="1" s="673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</row>
    <row r="208" ht="15.75" customHeight="1" s="673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</row>
    <row r="209" ht="15.75" customHeight="1" s="673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</row>
    <row r="210" ht="15.75" customHeight="1" s="673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</row>
    <row r="211" ht="15.75" customHeight="1" s="673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</row>
    <row r="212" ht="15.75" customHeight="1" s="673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</row>
    <row r="213" ht="15.75" customHeight="1" s="67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</row>
    <row r="214" ht="15.75" customHeight="1" s="673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</row>
    <row r="215" ht="15.75" customHeight="1" s="673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</row>
    <row r="216" ht="15.75" customHeight="1" s="673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</row>
    <row r="217" ht="15.75" customHeight="1" s="673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</row>
    <row r="218" ht="15.75" customHeight="1" s="673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</row>
    <row r="219" ht="15.75" customHeight="1" s="673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</row>
    <row r="220" ht="15.75" customHeight="1" s="673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</row>
    <row r="221" ht="15.75" customHeight="1" s="673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</row>
    <row r="222" ht="15.75" customHeight="1" s="673">
      <c r="A222" s="52" t="n"/>
      <c r="B222" s="52" t="n"/>
      <c r="C222" s="52" t="n"/>
      <c r="D222" s="52" t="n"/>
      <c r="E222" s="52" t="n"/>
      <c r="F222" s="52" t="n"/>
      <c r="G222" s="52" t="n"/>
      <c r="H222" s="52" t="n"/>
      <c r="I222" s="52" t="n"/>
      <c r="J222" s="52" t="n"/>
      <c r="K222" s="52" t="n"/>
      <c r="L222" s="52" t="n"/>
      <c r="M222" s="52" t="n"/>
      <c r="N222" s="52" t="n"/>
      <c r="O222" s="52" t="n"/>
      <c r="P222" s="52" t="n"/>
      <c r="Q222" s="52" t="n"/>
      <c r="R222" s="52" t="n"/>
      <c r="S222" s="52" t="n"/>
      <c r="T222" s="52" t="n"/>
      <c r="U222" s="52" t="n"/>
      <c r="V222" s="52" t="n"/>
      <c r="W222" s="52" t="n"/>
      <c r="X222" s="52" t="n"/>
      <c r="Y222" s="52" t="n"/>
    </row>
    <row r="223" ht="15.75" customHeight="1" s="673">
      <c r="A223" s="52" t="n"/>
      <c r="B223" s="52" t="n"/>
      <c r="C223" s="52" t="n"/>
      <c r="D223" s="52" t="n"/>
      <c r="E223" s="52" t="n"/>
      <c r="F223" s="52" t="n"/>
      <c r="G223" s="52" t="n"/>
      <c r="H223" s="52" t="n"/>
      <c r="I223" s="52" t="n"/>
      <c r="J223" s="52" t="n"/>
      <c r="K223" s="52" t="n"/>
      <c r="L223" s="52" t="n"/>
      <c r="M223" s="52" t="n"/>
      <c r="N223" s="52" t="n"/>
      <c r="O223" s="52" t="n"/>
      <c r="P223" s="52" t="n"/>
      <c r="Q223" s="52" t="n"/>
      <c r="R223" s="52" t="n"/>
      <c r="S223" s="52" t="n"/>
      <c r="T223" s="52" t="n"/>
      <c r="U223" s="52" t="n"/>
      <c r="V223" s="52" t="n"/>
      <c r="W223" s="52" t="n"/>
      <c r="X223" s="52" t="n"/>
      <c r="Y223" s="52" t="n"/>
    </row>
    <row r="224" ht="15.75" customHeight="1" s="673">
      <c r="A224" s="52" t="n"/>
      <c r="B224" s="52" t="n"/>
      <c r="C224" s="52" t="n"/>
      <c r="D224" s="52" t="n"/>
      <c r="E224" s="52" t="n"/>
      <c r="F224" s="52" t="n"/>
      <c r="G224" s="52" t="n"/>
      <c r="H224" s="52" t="n"/>
      <c r="I224" s="52" t="n"/>
      <c r="J224" s="52" t="n"/>
      <c r="K224" s="52" t="n"/>
      <c r="L224" s="52" t="n"/>
      <c r="M224" s="52" t="n"/>
      <c r="N224" s="52" t="n"/>
      <c r="O224" s="52" t="n"/>
      <c r="P224" s="52" t="n"/>
      <c r="Q224" s="52" t="n"/>
      <c r="R224" s="52" t="n"/>
      <c r="S224" s="52" t="n"/>
      <c r="T224" s="52" t="n"/>
      <c r="U224" s="52" t="n"/>
      <c r="V224" s="52" t="n"/>
      <c r="W224" s="52" t="n"/>
      <c r="X224" s="52" t="n"/>
      <c r="Y224" s="52" t="n"/>
    </row>
    <row r="225" ht="15.75" customHeight="1" s="673">
      <c r="A225" s="52" t="n"/>
      <c r="B225" s="52" t="n"/>
      <c r="C225" s="52" t="n"/>
      <c r="D225" s="52" t="n"/>
      <c r="E225" s="52" t="n"/>
      <c r="F225" s="52" t="n"/>
      <c r="G225" s="52" t="n"/>
      <c r="H225" s="52" t="n"/>
      <c r="I225" s="52" t="n"/>
      <c r="J225" s="52" t="n"/>
      <c r="K225" s="52" t="n"/>
      <c r="L225" s="52" t="n"/>
      <c r="M225" s="52" t="n"/>
      <c r="N225" s="52" t="n"/>
      <c r="O225" s="52" t="n"/>
      <c r="P225" s="52" t="n"/>
      <c r="Q225" s="52" t="n"/>
      <c r="R225" s="52" t="n"/>
      <c r="S225" s="52" t="n"/>
      <c r="T225" s="52" t="n"/>
      <c r="U225" s="52" t="n"/>
      <c r="V225" s="52" t="n"/>
      <c r="W225" s="52" t="n"/>
      <c r="X225" s="52" t="n"/>
      <c r="Y225" s="52" t="n"/>
    </row>
    <row r="226" ht="15.75" customHeight="1" s="673">
      <c r="A226" s="52" t="n"/>
      <c r="B226" s="52" t="n"/>
      <c r="C226" s="52" t="n"/>
      <c r="D226" s="52" t="n"/>
      <c r="E226" s="52" t="n"/>
      <c r="F226" s="52" t="n"/>
      <c r="G226" s="52" t="n"/>
      <c r="H226" s="52" t="n"/>
      <c r="I226" s="52" t="n"/>
      <c r="J226" s="52" t="n"/>
      <c r="K226" s="52" t="n"/>
      <c r="L226" s="52" t="n"/>
      <c r="M226" s="52" t="n"/>
      <c r="N226" s="52" t="n"/>
      <c r="O226" s="52" t="n"/>
      <c r="P226" s="52" t="n"/>
      <c r="Q226" s="52" t="n"/>
      <c r="R226" s="52" t="n"/>
      <c r="S226" s="52" t="n"/>
      <c r="T226" s="52" t="n"/>
      <c r="U226" s="52" t="n"/>
      <c r="V226" s="52" t="n"/>
      <c r="W226" s="52" t="n"/>
      <c r="X226" s="52" t="n"/>
      <c r="Y226" s="52" t="n"/>
    </row>
    <row r="227" ht="15.75" customHeight="1" s="673">
      <c r="A227" s="52" t="n"/>
      <c r="B227" s="52" t="n"/>
      <c r="C227" s="52" t="n"/>
      <c r="D227" s="52" t="n"/>
      <c r="E227" s="52" t="n"/>
      <c r="F227" s="52" t="n"/>
      <c r="G227" s="52" t="n"/>
      <c r="H227" s="52" t="n"/>
      <c r="I227" s="52" t="n"/>
      <c r="J227" s="52" t="n"/>
      <c r="K227" s="52" t="n"/>
      <c r="L227" s="52" t="n"/>
      <c r="M227" s="52" t="n"/>
      <c r="N227" s="52" t="n"/>
      <c r="O227" s="52" t="n"/>
      <c r="P227" s="52" t="n"/>
      <c r="Q227" s="52" t="n"/>
      <c r="R227" s="52" t="n"/>
      <c r="S227" s="52" t="n"/>
      <c r="T227" s="52" t="n"/>
      <c r="U227" s="52" t="n"/>
      <c r="V227" s="52" t="n"/>
      <c r="W227" s="52" t="n"/>
      <c r="X227" s="52" t="n"/>
      <c r="Y227" s="52" t="n"/>
    </row>
    <row r="228" ht="15.75" customHeight="1" s="673">
      <c r="A228" s="52" t="n"/>
      <c r="B228" s="52" t="n"/>
      <c r="C228" s="52" t="n"/>
      <c r="D228" s="52" t="n"/>
      <c r="E228" s="52" t="n"/>
      <c r="F228" s="52" t="n"/>
      <c r="G228" s="52" t="n"/>
      <c r="H228" s="52" t="n"/>
      <c r="I228" s="52" t="n"/>
      <c r="J228" s="52" t="n"/>
      <c r="K228" s="52" t="n"/>
      <c r="L228" s="52" t="n"/>
      <c r="M228" s="52" t="n"/>
      <c r="N228" s="52" t="n"/>
      <c r="O228" s="52" t="n"/>
      <c r="P228" s="52" t="n"/>
      <c r="Q228" s="52" t="n"/>
      <c r="R228" s="52" t="n"/>
      <c r="S228" s="52" t="n"/>
      <c r="T228" s="52" t="n"/>
      <c r="U228" s="52" t="n"/>
      <c r="V228" s="52" t="n"/>
      <c r="W228" s="52" t="n"/>
      <c r="X228" s="52" t="n"/>
      <c r="Y228" s="52" t="n"/>
    </row>
    <row r="229" ht="15.75" customHeight="1" s="673">
      <c r="A229" s="52" t="n"/>
      <c r="B229" s="52" t="n"/>
      <c r="C229" s="52" t="n"/>
      <c r="D229" s="52" t="n"/>
      <c r="E229" s="52" t="n"/>
      <c r="F229" s="52" t="n"/>
      <c r="G229" s="52" t="n"/>
      <c r="H229" s="52" t="n"/>
      <c r="I229" s="52" t="n"/>
      <c r="J229" s="52" t="n"/>
      <c r="K229" s="52" t="n"/>
      <c r="L229" s="52" t="n"/>
      <c r="M229" s="52" t="n"/>
      <c r="N229" s="52" t="n"/>
      <c r="O229" s="52" t="n"/>
      <c r="P229" s="52" t="n"/>
      <c r="Q229" s="52" t="n"/>
      <c r="R229" s="52" t="n"/>
      <c r="S229" s="52" t="n"/>
      <c r="T229" s="52" t="n"/>
      <c r="U229" s="52" t="n"/>
      <c r="V229" s="52" t="n"/>
      <c r="W229" s="52" t="n"/>
      <c r="X229" s="52" t="n"/>
      <c r="Y229" s="52" t="n"/>
    </row>
    <row r="230" ht="15.75" customHeight="1" s="673">
      <c r="A230" s="52" t="n"/>
      <c r="B230" s="52" t="n"/>
      <c r="C230" s="52" t="n"/>
      <c r="D230" s="52" t="n"/>
      <c r="E230" s="52" t="n"/>
      <c r="F230" s="52" t="n"/>
      <c r="G230" s="52" t="n"/>
      <c r="H230" s="52" t="n"/>
      <c r="I230" s="52" t="n"/>
      <c r="J230" s="52" t="n"/>
      <c r="K230" s="52" t="n"/>
      <c r="L230" s="52" t="n"/>
      <c r="M230" s="52" t="n"/>
      <c r="N230" s="52" t="n"/>
      <c r="O230" s="52" t="n"/>
      <c r="P230" s="52" t="n"/>
      <c r="Q230" s="52" t="n"/>
      <c r="R230" s="52" t="n"/>
      <c r="S230" s="52" t="n"/>
      <c r="T230" s="52" t="n"/>
      <c r="U230" s="52" t="n"/>
      <c r="V230" s="52" t="n"/>
      <c r="W230" s="52" t="n"/>
      <c r="X230" s="52" t="n"/>
      <c r="Y230" s="52" t="n"/>
    </row>
    <row r="231" ht="15.75" customHeight="1" s="673">
      <c r="A231" s="52" t="n"/>
      <c r="B231" s="52" t="n"/>
      <c r="C231" s="52" t="n"/>
      <c r="D231" s="52" t="n"/>
      <c r="E231" s="52" t="n"/>
      <c r="F231" s="52" t="n"/>
      <c r="G231" s="52" t="n"/>
      <c r="H231" s="52" t="n"/>
      <c r="I231" s="52" t="n"/>
      <c r="J231" s="52" t="n"/>
      <c r="K231" s="52" t="n"/>
      <c r="L231" s="52" t="n"/>
      <c r="M231" s="52" t="n"/>
      <c r="N231" s="52" t="n"/>
      <c r="O231" s="52" t="n"/>
      <c r="P231" s="52" t="n"/>
      <c r="Q231" s="52" t="n"/>
      <c r="R231" s="52" t="n"/>
      <c r="S231" s="52" t="n"/>
      <c r="T231" s="52" t="n"/>
      <c r="U231" s="52" t="n"/>
      <c r="V231" s="52" t="n"/>
      <c r="W231" s="52" t="n"/>
      <c r="X231" s="52" t="n"/>
      <c r="Y231" s="52" t="n"/>
    </row>
    <row r="232" ht="15.75" customHeight="1" s="673">
      <c r="A232" s="52" t="n"/>
      <c r="B232" s="52" t="n"/>
      <c r="C232" s="52" t="n"/>
      <c r="D232" s="52" t="n"/>
      <c r="E232" s="52" t="n"/>
      <c r="F232" s="52" t="n"/>
      <c r="G232" s="52" t="n"/>
      <c r="H232" s="52" t="n"/>
      <c r="I232" s="52" t="n"/>
      <c r="J232" s="52" t="n"/>
      <c r="K232" s="52" t="n"/>
      <c r="L232" s="52" t="n"/>
      <c r="M232" s="52" t="n"/>
      <c r="N232" s="52" t="n"/>
      <c r="O232" s="52" t="n"/>
      <c r="P232" s="52" t="n"/>
      <c r="Q232" s="52" t="n"/>
      <c r="R232" s="52" t="n"/>
      <c r="S232" s="52" t="n"/>
      <c r="T232" s="52" t="n"/>
      <c r="U232" s="52" t="n"/>
      <c r="V232" s="52" t="n"/>
      <c r="W232" s="52" t="n"/>
      <c r="X232" s="52" t="n"/>
      <c r="Y232" s="52" t="n"/>
    </row>
    <row r="233" ht="15.75" customHeight="1" s="673">
      <c r="A233" s="52" t="n"/>
      <c r="B233" s="52" t="n"/>
      <c r="C233" s="52" t="n"/>
      <c r="D233" s="52" t="n"/>
      <c r="E233" s="52" t="n"/>
      <c r="F233" s="52" t="n"/>
      <c r="G233" s="52" t="n"/>
      <c r="H233" s="52" t="n"/>
      <c r="I233" s="52" t="n"/>
      <c r="J233" s="52" t="n"/>
      <c r="K233" s="52" t="n"/>
      <c r="L233" s="52" t="n"/>
      <c r="M233" s="52" t="n"/>
      <c r="N233" s="52" t="n"/>
      <c r="O233" s="52" t="n"/>
      <c r="P233" s="52" t="n"/>
      <c r="Q233" s="52" t="n"/>
      <c r="R233" s="52" t="n"/>
      <c r="S233" s="52" t="n"/>
      <c r="T233" s="52" t="n"/>
      <c r="U233" s="52" t="n"/>
      <c r="V233" s="52" t="n"/>
      <c r="W233" s="52" t="n"/>
      <c r="X233" s="52" t="n"/>
      <c r="Y233" s="52" t="n"/>
    </row>
    <row r="234" ht="15.75" customHeight="1" s="673">
      <c r="A234" s="52" t="n"/>
      <c r="B234" s="52" t="n"/>
      <c r="C234" s="52" t="n"/>
      <c r="D234" s="52" t="n"/>
      <c r="E234" s="52" t="n"/>
      <c r="F234" s="52" t="n"/>
      <c r="G234" s="52" t="n"/>
      <c r="H234" s="52" t="n"/>
      <c r="I234" s="52" t="n"/>
      <c r="J234" s="52" t="n"/>
      <c r="K234" s="52" t="n"/>
      <c r="L234" s="52" t="n"/>
      <c r="M234" s="52" t="n"/>
      <c r="N234" s="52" t="n"/>
      <c r="O234" s="52" t="n"/>
      <c r="P234" s="52" t="n"/>
      <c r="Q234" s="52" t="n"/>
      <c r="R234" s="52" t="n"/>
      <c r="S234" s="52" t="n"/>
      <c r="T234" s="52" t="n"/>
      <c r="U234" s="52" t="n"/>
      <c r="V234" s="52" t="n"/>
      <c r="W234" s="52" t="n"/>
      <c r="X234" s="52" t="n"/>
      <c r="Y234" s="52" t="n"/>
    </row>
    <row r="235" ht="15.75" customHeight="1" s="673">
      <c r="A235" s="52" t="n"/>
      <c r="B235" s="52" t="n"/>
      <c r="C235" s="52" t="n"/>
      <c r="D235" s="52" t="n"/>
      <c r="E235" s="52" t="n"/>
      <c r="F235" s="52" t="n"/>
      <c r="G235" s="52" t="n"/>
      <c r="H235" s="52" t="n"/>
      <c r="I235" s="52" t="n"/>
      <c r="J235" s="52" t="n"/>
      <c r="K235" s="52" t="n"/>
      <c r="L235" s="52" t="n"/>
      <c r="M235" s="52" t="n"/>
      <c r="N235" s="52" t="n"/>
      <c r="O235" s="52" t="n"/>
      <c r="P235" s="52" t="n"/>
      <c r="Q235" s="52" t="n"/>
      <c r="R235" s="52" t="n"/>
      <c r="S235" s="52" t="n"/>
      <c r="T235" s="52" t="n"/>
      <c r="U235" s="52" t="n"/>
      <c r="V235" s="52" t="n"/>
      <c r="W235" s="52" t="n"/>
      <c r="X235" s="52" t="n"/>
      <c r="Y235" s="52" t="n"/>
    </row>
    <row r="236" ht="15.75" customHeight="1" s="673">
      <c r="A236" s="52" t="n"/>
      <c r="B236" s="52" t="n"/>
      <c r="C236" s="52" t="n"/>
      <c r="D236" s="52" t="n"/>
      <c r="E236" s="52" t="n"/>
      <c r="F236" s="52" t="n"/>
      <c r="G236" s="52" t="n"/>
      <c r="H236" s="52" t="n"/>
      <c r="I236" s="52" t="n"/>
      <c r="J236" s="52" t="n"/>
      <c r="K236" s="52" t="n"/>
      <c r="L236" s="52" t="n"/>
      <c r="M236" s="52" t="n"/>
      <c r="N236" s="52" t="n"/>
      <c r="O236" s="52" t="n"/>
      <c r="P236" s="52" t="n"/>
      <c r="Q236" s="52" t="n"/>
      <c r="R236" s="52" t="n"/>
      <c r="S236" s="52" t="n"/>
      <c r="T236" s="52" t="n"/>
      <c r="U236" s="52" t="n"/>
      <c r="V236" s="52" t="n"/>
      <c r="W236" s="52" t="n"/>
      <c r="X236" s="52" t="n"/>
      <c r="Y236" s="52" t="n"/>
    </row>
    <row r="237" ht="15.75" customHeight="1" s="673">
      <c r="A237" s="52" t="n"/>
      <c r="B237" s="52" t="n"/>
      <c r="C237" s="52" t="n"/>
      <c r="D237" s="52" t="n"/>
      <c r="E237" s="52" t="n"/>
      <c r="F237" s="52" t="n"/>
      <c r="G237" s="52" t="n"/>
      <c r="H237" s="52" t="n"/>
      <c r="I237" s="52" t="n"/>
      <c r="J237" s="52" t="n"/>
      <c r="K237" s="52" t="n"/>
      <c r="L237" s="52" t="n"/>
      <c r="M237" s="52" t="n"/>
      <c r="N237" s="52" t="n"/>
      <c r="O237" s="52" t="n"/>
      <c r="P237" s="52" t="n"/>
      <c r="Q237" s="52" t="n"/>
      <c r="R237" s="52" t="n"/>
      <c r="S237" s="52" t="n"/>
      <c r="T237" s="52" t="n"/>
      <c r="U237" s="52" t="n"/>
      <c r="V237" s="52" t="n"/>
      <c r="W237" s="52" t="n"/>
      <c r="X237" s="52" t="n"/>
      <c r="Y237" s="52" t="n"/>
    </row>
    <row r="238" ht="15.75" customHeight="1" s="673">
      <c r="A238" s="52" t="n"/>
      <c r="B238" s="52" t="n"/>
      <c r="C238" s="52" t="n"/>
      <c r="D238" s="52" t="n"/>
      <c r="E238" s="52" t="n"/>
      <c r="F238" s="52" t="n"/>
      <c r="G238" s="52" t="n"/>
      <c r="H238" s="52" t="n"/>
      <c r="I238" s="52" t="n"/>
      <c r="J238" s="52" t="n"/>
      <c r="K238" s="52" t="n"/>
      <c r="L238" s="52" t="n"/>
      <c r="M238" s="52" t="n"/>
      <c r="N238" s="52" t="n"/>
      <c r="O238" s="52" t="n"/>
      <c r="P238" s="52" t="n"/>
      <c r="Q238" s="52" t="n"/>
      <c r="R238" s="52" t="n"/>
      <c r="S238" s="52" t="n"/>
      <c r="T238" s="52" t="n"/>
      <c r="U238" s="52" t="n"/>
      <c r="V238" s="52" t="n"/>
      <c r="W238" s="52" t="n"/>
      <c r="X238" s="52" t="n"/>
      <c r="Y238" s="52" t="n"/>
    </row>
    <row r="239" ht="15.75" customHeight="1" s="673">
      <c r="A239" s="52" t="n"/>
      <c r="B239" s="52" t="n"/>
      <c r="C239" s="52" t="n"/>
      <c r="D239" s="52" t="n"/>
      <c r="E239" s="52" t="n"/>
      <c r="F239" s="52" t="n"/>
      <c r="G239" s="52" t="n"/>
      <c r="H239" s="52" t="n"/>
      <c r="I239" s="52" t="n"/>
      <c r="J239" s="52" t="n"/>
      <c r="K239" s="52" t="n"/>
      <c r="L239" s="52" t="n"/>
      <c r="M239" s="52" t="n"/>
      <c r="N239" s="52" t="n"/>
      <c r="O239" s="52" t="n"/>
      <c r="P239" s="52" t="n"/>
      <c r="Q239" s="52" t="n"/>
      <c r="R239" s="52" t="n"/>
      <c r="S239" s="52" t="n"/>
      <c r="T239" s="52" t="n"/>
      <c r="U239" s="52" t="n"/>
      <c r="V239" s="52" t="n"/>
      <c r="W239" s="52" t="n"/>
      <c r="X239" s="52" t="n"/>
      <c r="Y239" s="52" t="n"/>
    </row>
    <row r="240" ht="15.75" customHeight="1" s="673">
      <c r="A240" s="52" t="n"/>
      <c r="B240" s="52" t="n"/>
      <c r="C240" s="52" t="n"/>
      <c r="D240" s="52" t="n"/>
      <c r="E240" s="52" t="n"/>
      <c r="F240" s="52" t="n"/>
      <c r="G240" s="52" t="n"/>
      <c r="H240" s="52" t="n"/>
      <c r="I240" s="52" t="n"/>
      <c r="J240" s="52" t="n"/>
      <c r="K240" s="52" t="n"/>
      <c r="L240" s="52" t="n"/>
      <c r="M240" s="52" t="n"/>
      <c r="N240" s="52" t="n"/>
      <c r="O240" s="52" t="n"/>
      <c r="P240" s="52" t="n"/>
      <c r="Q240" s="52" t="n"/>
      <c r="R240" s="52" t="n"/>
      <c r="S240" s="52" t="n"/>
      <c r="T240" s="52" t="n"/>
      <c r="U240" s="52" t="n"/>
      <c r="V240" s="52" t="n"/>
      <c r="W240" s="52" t="n"/>
      <c r="X240" s="52" t="n"/>
      <c r="Y240" s="52" t="n"/>
    </row>
    <row r="241" ht="15.75" customHeight="1" s="673">
      <c r="A241" s="52" t="n"/>
      <c r="B241" s="52" t="n"/>
      <c r="C241" s="52" t="n"/>
      <c r="D241" s="52" t="n"/>
      <c r="E241" s="52" t="n"/>
      <c r="F241" s="52" t="n"/>
      <c r="G241" s="52" t="n"/>
      <c r="H241" s="52" t="n"/>
      <c r="I241" s="52" t="n"/>
      <c r="J241" s="52" t="n"/>
      <c r="K241" s="52" t="n"/>
      <c r="L241" s="52" t="n"/>
      <c r="M241" s="52" t="n"/>
      <c r="N241" s="52" t="n"/>
      <c r="O241" s="52" t="n"/>
      <c r="P241" s="52" t="n"/>
      <c r="Q241" s="52" t="n"/>
      <c r="R241" s="52" t="n"/>
      <c r="S241" s="52" t="n"/>
      <c r="T241" s="52" t="n"/>
      <c r="U241" s="52" t="n"/>
      <c r="V241" s="52" t="n"/>
      <c r="W241" s="52" t="n"/>
      <c r="X241" s="52" t="n"/>
      <c r="Y241" s="52" t="n"/>
    </row>
    <row r="242" ht="15.75" customHeight="1" s="673">
      <c r="A242" s="52" t="n"/>
      <c r="B242" s="52" t="n"/>
      <c r="C242" s="52" t="n"/>
      <c r="D242" s="52" t="n"/>
      <c r="E242" s="52" t="n"/>
      <c r="F242" s="52" t="n"/>
      <c r="G242" s="52" t="n"/>
      <c r="H242" s="52" t="n"/>
      <c r="I242" s="52" t="n"/>
      <c r="J242" s="52" t="n"/>
      <c r="K242" s="52" t="n"/>
      <c r="L242" s="52" t="n"/>
      <c r="M242" s="52" t="n"/>
      <c r="N242" s="52" t="n"/>
      <c r="O242" s="52" t="n"/>
      <c r="P242" s="52" t="n"/>
      <c r="Q242" s="52" t="n"/>
      <c r="R242" s="52" t="n"/>
      <c r="S242" s="52" t="n"/>
      <c r="T242" s="52" t="n"/>
      <c r="U242" s="52" t="n"/>
      <c r="V242" s="52" t="n"/>
      <c r="W242" s="52" t="n"/>
      <c r="X242" s="52" t="n"/>
      <c r="Y242" s="52" t="n"/>
    </row>
    <row r="243" ht="15.75" customHeight="1" s="673">
      <c r="A243" s="52" t="n"/>
      <c r="B243" s="52" t="n"/>
      <c r="C243" s="52" t="n"/>
      <c r="D243" s="52" t="n"/>
      <c r="E243" s="52" t="n"/>
      <c r="F243" s="52" t="n"/>
      <c r="G243" s="52" t="n"/>
      <c r="H243" s="52" t="n"/>
      <c r="I243" s="52" t="n"/>
      <c r="J243" s="52" t="n"/>
      <c r="K243" s="52" t="n"/>
      <c r="L243" s="52" t="n"/>
      <c r="M243" s="52" t="n"/>
      <c r="N243" s="52" t="n"/>
      <c r="O243" s="52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</row>
    <row r="244" ht="15.75" customHeight="1" s="673">
      <c r="A244" s="52" t="n"/>
      <c r="B244" s="52" t="n"/>
      <c r="C244" s="52" t="n"/>
      <c r="D244" s="52" t="n"/>
      <c r="E244" s="52" t="n"/>
      <c r="F244" s="52" t="n"/>
      <c r="G244" s="52" t="n"/>
      <c r="H244" s="52" t="n"/>
      <c r="I244" s="52" t="n"/>
      <c r="J244" s="52" t="n"/>
      <c r="K244" s="52" t="n"/>
      <c r="L244" s="52" t="n"/>
      <c r="M244" s="52" t="n"/>
      <c r="N244" s="52" t="n"/>
      <c r="O244" s="52" t="n"/>
      <c r="P244" s="52" t="n"/>
      <c r="Q244" s="52" t="n"/>
      <c r="R244" s="52" t="n"/>
      <c r="S244" s="52" t="n"/>
      <c r="T244" s="52" t="n"/>
      <c r="U244" s="52" t="n"/>
      <c r="V244" s="52" t="n"/>
      <c r="W244" s="52" t="n"/>
      <c r="X244" s="52" t="n"/>
      <c r="Y244" s="52" t="n"/>
    </row>
    <row r="245" ht="15.75" customHeight="1" s="673">
      <c r="A245" s="52" t="n"/>
      <c r="B245" s="52" t="n"/>
      <c r="C245" s="52" t="n"/>
      <c r="D245" s="52" t="n"/>
      <c r="E245" s="52" t="n"/>
      <c r="F245" s="52" t="n"/>
      <c r="G245" s="52" t="n"/>
      <c r="H245" s="52" t="n"/>
      <c r="I245" s="52" t="n"/>
      <c r="J245" s="52" t="n"/>
      <c r="K245" s="52" t="n"/>
      <c r="L245" s="52" t="n"/>
      <c r="M245" s="52" t="n"/>
      <c r="N245" s="52" t="n"/>
      <c r="O245" s="52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</row>
    <row r="246" ht="15.75" customHeight="1" s="673">
      <c r="A246" s="52" t="n"/>
      <c r="B246" s="52" t="n"/>
      <c r="C246" s="52" t="n"/>
      <c r="D246" s="52" t="n"/>
      <c r="E246" s="52" t="n"/>
      <c r="F246" s="52" t="n"/>
      <c r="G246" s="52" t="n"/>
      <c r="H246" s="52" t="n"/>
      <c r="I246" s="52" t="n"/>
      <c r="J246" s="52" t="n"/>
      <c r="K246" s="52" t="n"/>
      <c r="L246" s="52" t="n"/>
      <c r="M246" s="52" t="n"/>
      <c r="N246" s="52" t="n"/>
      <c r="O246" s="52" t="n"/>
      <c r="P246" s="52" t="n"/>
      <c r="Q246" s="52" t="n"/>
      <c r="R246" s="52" t="n"/>
      <c r="S246" s="52" t="n"/>
      <c r="T246" s="52" t="n"/>
      <c r="U246" s="52" t="n"/>
      <c r="V246" s="52" t="n"/>
      <c r="W246" s="52" t="n"/>
      <c r="X246" s="52" t="n"/>
      <c r="Y246" s="52" t="n"/>
    </row>
    <row r="247" ht="15.75" customHeight="1" s="673">
      <c r="A247" s="52" t="n"/>
      <c r="B247" s="52" t="n"/>
      <c r="C247" s="52" t="n"/>
      <c r="D247" s="52" t="n"/>
      <c r="E247" s="52" t="n"/>
      <c r="F247" s="52" t="n"/>
      <c r="G247" s="52" t="n"/>
      <c r="H247" s="52" t="n"/>
      <c r="I247" s="52" t="n"/>
      <c r="J247" s="52" t="n"/>
      <c r="K247" s="52" t="n"/>
      <c r="L247" s="52" t="n"/>
      <c r="M247" s="52" t="n"/>
      <c r="N247" s="52" t="n"/>
      <c r="O247" s="52" t="n"/>
      <c r="P247" s="52" t="n"/>
      <c r="Q247" s="52" t="n"/>
      <c r="R247" s="52" t="n"/>
      <c r="S247" s="52" t="n"/>
      <c r="T247" s="52" t="n"/>
      <c r="U247" s="52" t="n"/>
      <c r="V247" s="52" t="n"/>
      <c r="W247" s="52" t="n"/>
      <c r="X247" s="52" t="n"/>
      <c r="Y247" s="52" t="n"/>
    </row>
    <row r="248" ht="15.75" customHeight="1" s="673">
      <c r="A248" s="52" t="n"/>
      <c r="B248" s="52" t="n"/>
      <c r="C248" s="52" t="n"/>
      <c r="D248" s="52" t="n"/>
      <c r="E248" s="52" t="n"/>
      <c r="F248" s="52" t="n"/>
      <c r="G248" s="52" t="n"/>
      <c r="H248" s="52" t="n"/>
      <c r="I248" s="52" t="n"/>
      <c r="J248" s="52" t="n"/>
      <c r="K248" s="52" t="n"/>
      <c r="L248" s="52" t="n"/>
      <c r="M248" s="52" t="n"/>
      <c r="N248" s="52" t="n"/>
      <c r="O248" s="52" t="n"/>
      <c r="P248" s="52" t="n"/>
      <c r="Q248" s="52" t="n"/>
      <c r="R248" s="52" t="n"/>
      <c r="S248" s="52" t="n"/>
      <c r="T248" s="52" t="n"/>
      <c r="U248" s="52" t="n"/>
      <c r="V248" s="52" t="n"/>
      <c r="W248" s="52" t="n"/>
      <c r="X248" s="52" t="n"/>
      <c r="Y248" s="52" t="n"/>
    </row>
    <row r="249" ht="15.75" customHeight="1" s="673">
      <c r="A249" s="52" t="n"/>
      <c r="B249" s="52" t="n"/>
      <c r="C249" s="52" t="n"/>
      <c r="D249" s="52" t="n"/>
      <c r="E249" s="52" t="n"/>
      <c r="F249" s="52" t="n"/>
      <c r="G249" s="52" t="n"/>
      <c r="H249" s="52" t="n"/>
      <c r="I249" s="52" t="n"/>
      <c r="J249" s="52" t="n"/>
      <c r="K249" s="52" t="n"/>
      <c r="L249" s="52" t="n"/>
      <c r="M249" s="52" t="n"/>
      <c r="N249" s="52" t="n"/>
      <c r="O249" s="52" t="n"/>
      <c r="P249" s="52" t="n"/>
      <c r="Q249" s="52" t="n"/>
      <c r="R249" s="52" t="n"/>
      <c r="S249" s="52" t="n"/>
      <c r="T249" s="52" t="n"/>
      <c r="U249" s="52" t="n"/>
      <c r="V249" s="52" t="n"/>
      <c r="W249" s="52" t="n"/>
      <c r="X249" s="52" t="n"/>
      <c r="Y249" s="52" t="n"/>
    </row>
    <row r="250" ht="15.75" customHeight="1" s="673">
      <c r="A250" s="52" t="n"/>
      <c r="B250" s="52" t="n"/>
      <c r="C250" s="52" t="n"/>
      <c r="D250" s="52" t="n"/>
      <c r="E250" s="52" t="n"/>
      <c r="F250" s="52" t="n"/>
      <c r="G250" s="52" t="n"/>
      <c r="H250" s="52" t="n"/>
      <c r="I250" s="52" t="n"/>
      <c r="J250" s="52" t="n"/>
      <c r="K250" s="52" t="n"/>
      <c r="L250" s="52" t="n"/>
      <c r="M250" s="52" t="n"/>
      <c r="N250" s="52" t="n"/>
      <c r="O250" s="52" t="n"/>
      <c r="P250" s="52" t="n"/>
      <c r="Q250" s="52" t="n"/>
      <c r="R250" s="52" t="n"/>
      <c r="S250" s="52" t="n"/>
      <c r="T250" s="52" t="n"/>
      <c r="U250" s="52" t="n"/>
      <c r="V250" s="52" t="n"/>
      <c r="W250" s="52" t="n"/>
      <c r="X250" s="52" t="n"/>
      <c r="Y250" s="52" t="n"/>
    </row>
    <row r="251" ht="15.75" customHeight="1" s="673">
      <c r="A251" s="52" t="n"/>
      <c r="B251" s="52" t="n"/>
      <c r="C251" s="52" t="n"/>
      <c r="D251" s="52" t="n"/>
      <c r="E251" s="52" t="n"/>
      <c r="F251" s="52" t="n"/>
      <c r="G251" s="52" t="n"/>
      <c r="H251" s="52" t="n"/>
      <c r="I251" s="52" t="n"/>
      <c r="J251" s="52" t="n"/>
      <c r="K251" s="52" t="n"/>
      <c r="L251" s="52" t="n"/>
      <c r="M251" s="52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  <c r="X251" s="52" t="n"/>
      <c r="Y251" s="52" t="n"/>
    </row>
    <row r="252" ht="15.75" customHeight="1" s="673">
      <c r="A252" s="52" t="n"/>
      <c r="B252" s="52" t="n"/>
      <c r="C252" s="52" t="n"/>
      <c r="D252" s="52" t="n"/>
      <c r="E252" s="52" t="n"/>
      <c r="F252" s="52" t="n"/>
      <c r="G252" s="52" t="n"/>
      <c r="H252" s="52" t="n"/>
      <c r="I252" s="52" t="n"/>
      <c r="J252" s="52" t="n"/>
      <c r="K252" s="52" t="n"/>
      <c r="L252" s="52" t="n"/>
      <c r="M252" s="52" t="n"/>
      <c r="N252" s="52" t="n"/>
      <c r="O252" s="52" t="n"/>
      <c r="P252" s="52" t="n"/>
      <c r="Q252" s="52" t="n"/>
      <c r="R252" s="52" t="n"/>
      <c r="S252" s="52" t="n"/>
      <c r="T252" s="52" t="n"/>
      <c r="U252" s="52" t="n"/>
      <c r="V252" s="52" t="n"/>
      <c r="W252" s="52" t="n"/>
      <c r="X252" s="52" t="n"/>
      <c r="Y252" s="52" t="n"/>
    </row>
    <row r="253" ht="15.75" customHeight="1" s="673">
      <c r="A253" s="52" t="n"/>
      <c r="B253" s="52" t="n"/>
      <c r="C253" s="52" t="n"/>
      <c r="D253" s="52" t="n"/>
      <c r="E253" s="52" t="n"/>
      <c r="F253" s="52" t="n"/>
      <c r="G253" s="52" t="n"/>
      <c r="H253" s="52" t="n"/>
      <c r="I253" s="52" t="n"/>
      <c r="J253" s="52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  <c r="X253" s="52" t="n"/>
      <c r="Y253" s="52" t="n"/>
    </row>
    <row r="254" ht="15.75" customHeight="1" s="673">
      <c r="A254" s="52" t="n"/>
      <c r="B254" s="52" t="n"/>
      <c r="C254" s="52" t="n"/>
      <c r="D254" s="52" t="n"/>
      <c r="E254" s="52" t="n"/>
      <c r="F254" s="52" t="n"/>
      <c r="G254" s="52" t="n"/>
      <c r="H254" s="52" t="n"/>
      <c r="I254" s="52" t="n"/>
      <c r="J254" s="52" t="n"/>
      <c r="K254" s="52" t="n"/>
      <c r="L254" s="52" t="n"/>
      <c r="M254" s="52" t="n"/>
      <c r="N254" s="52" t="n"/>
      <c r="O254" s="52" t="n"/>
      <c r="P254" s="52" t="n"/>
      <c r="Q254" s="52" t="n"/>
      <c r="R254" s="52" t="n"/>
      <c r="S254" s="52" t="n"/>
      <c r="T254" s="52" t="n"/>
      <c r="U254" s="52" t="n"/>
      <c r="V254" s="52" t="n"/>
      <c r="W254" s="52" t="n"/>
      <c r="X254" s="52" t="n"/>
      <c r="Y254" s="52" t="n"/>
    </row>
    <row r="255" ht="15.75" customHeight="1" s="673">
      <c r="A255" s="52" t="n"/>
      <c r="B255" s="52" t="n"/>
      <c r="C255" s="52" t="n"/>
      <c r="D255" s="52" t="n"/>
      <c r="E255" s="52" t="n"/>
      <c r="F255" s="52" t="n"/>
      <c r="G255" s="52" t="n"/>
      <c r="H255" s="52" t="n"/>
      <c r="I255" s="52" t="n"/>
      <c r="J255" s="52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52" t="n"/>
      <c r="T255" s="52" t="n"/>
      <c r="U255" s="52" t="n"/>
      <c r="V255" s="52" t="n"/>
      <c r="W255" s="52" t="n"/>
      <c r="X255" s="52" t="n"/>
      <c r="Y255" s="52" t="n"/>
    </row>
    <row r="256" ht="15.75" customHeight="1" s="673">
      <c r="A256" s="52" t="n"/>
      <c r="B256" s="52" t="n"/>
      <c r="C256" s="52" t="n"/>
      <c r="D256" s="52" t="n"/>
      <c r="E256" s="52" t="n"/>
      <c r="F256" s="52" t="n"/>
      <c r="G256" s="52" t="n"/>
      <c r="H256" s="52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  <c r="X256" s="52" t="n"/>
      <c r="Y256" s="52" t="n"/>
    </row>
    <row r="257" ht="15.75" customHeight="1" s="673">
      <c r="A257" s="52" t="n"/>
      <c r="B257" s="52" t="n"/>
      <c r="C257" s="52" t="n"/>
      <c r="D257" s="52" t="n"/>
      <c r="E257" s="52" t="n"/>
      <c r="F257" s="52" t="n"/>
      <c r="G257" s="52" t="n"/>
      <c r="H257" s="52" t="n"/>
      <c r="I257" s="52" t="n"/>
      <c r="J257" s="52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  <c r="X257" s="52" t="n"/>
      <c r="Y257" s="52" t="n"/>
    </row>
    <row r="258" ht="15.75" customHeight="1" s="673">
      <c r="A258" s="52" t="n"/>
      <c r="B258" s="52" t="n"/>
      <c r="C258" s="52" t="n"/>
      <c r="D258" s="52" t="n"/>
      <c r="E258" s="52" t="n"/>
      <c r="F258" s="52" t="n"/>
      <c r="G258" s="52" t="n"/>
      <c r="H258" s="52" t="n"/>
      <c r="I258" s="52" t="n"/>
      <c r="J258" s="52" t="n"/>
      <c r="K258" s="52" t="n"/>
      <c r="L258" s="52" t="n"/>
      <c r="M258" s="52" t="n"/>
      <c r="N258" s="52" t="n"/>
      <c r="O258" s="52" t="n"/>
      <c r="P258" s="52" t="n"/>
      <c r="Q258" s="52" t="n"/>
      <c r="R258" s="52" t="n"/>
      <c r="S258" s="52" t="n"/>
      <c r="T258" s="52" t="n"/>
      <c r="U258" s="52" t="n"/>
      <c r="V258" s="52" t="n"/>
      <c r="W258" s="52" t="n"/>
      <c r="X258" s="52" t="n"/>
      <c r="Y258" s="52" t="n"/>
    </row>
    <row r="259" ht="15.75" customHeight="1" s="673">
      <c r="A259" s="52" t="n"/>
      <c r="B259" s="52" t="n"/>
      <c r="C259" s="52" t="n"/>
      <c r="D259" s="52" t="n"/>
      <c r="E259" s="52" t="n"/>
      <c r="F259" s="52" t="n"/>
      <c r="G259" s="52" t="n"/>
      <c r="H259" s="52" t="n"/>
      <c r="I259" s="52" t="n"/>
      <c r="J259" s="52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  <c r="X259" s="52" t="n"/>
      <c r="Y259" s="52" t="n"/>
    </row>
    <row r="260" ht="15.75" customHeight="1" s="673">
      <c r="A260" s="52" t="n"/>
      <c r="B260" s="52" t="n"/>
      <c r="C260" s="52" t="n"/>
      <c r="D260" s="52" t="n"/>
      <c r="E260" s="52" t="n"/>
      <c r="F260" s="52" t="n"/>
      <c r="G260" s="52" t="n"/>
      <c r="H260" s="52" t="n"/>
      <c r="I260" s="52" t="n"/>
      <c r="J260" s="52" t="n"/>
      <c r="K260" s="52" t="n"/>
      <c r="L260" s="52" t="n"/>
      <c r="M260" s="52" t="n"/>
      <c r="N260" s="52" t="n"/>
      <c r="O260" s="52" t="n"/>
      <c r="P260" s="52" t="n"/>
      <c r="Q260" s="52" t="n"/>
      <c r="R260" s="52" t="n"/>
      <c r="S260" s="52" t="n"/>
      <c r="T260" s="52" t="n"/>
      <c r="U260" s="52" t="n"/>
      <c r="V260" s="52" t="n"/>
      <c r="W260" s="52" t="n"/>
      <c r="X260" s="52" t="n"/>
      <c r="Y260" s="52" t="n"/>
    </row>
    <row r="261" ht="15.75" customHeight="1" s="673">
      <c r="A261" s="52" t="n"/>
      <c r="B261" s="52" t="n"/>
      <c r="C261" s="52" t="n"/>
      <c r="D261" s="52" t="n"/>
      <c r="E261" s="52" t="n"/>
      <c r="F261" s="52" t="n"/>
      <c r="G261" s="52" t="n"/>
      <c r="H261" s="52" t="n"/>
      <c r="I261" s="52" t="n"/>
      <c r="J261" s="52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  <c r="X261" s="52" t="n"/>
      <c r="Y261" s="52" t="n"/>
    </row>
    <row r="262" ht="15.75" customHeight="1" s="673">
      <c r="A262" s="52" t="n"/>
      <c r="B262" s="52" t="n"/>
      <c r="C262" s="52" t="n"/>
      <c r="D262" s="52" t="n"/>
      <c r="E262" s="52" t="n"/>
      <c r="F262" s="52" t="n"/>
      <c r="G262" s="52" t="n"/>
      <c r="H262" s="52" t="n"/>
      <c r="I262" s="52" t="n"/>
      <c r="J262" s="52" t="n"/>
      <c r="K262" s="52" t="n"/>
      <c r="L262" s="52" t="n"/>
      <c r="M262" s="52" t="n"/>
      <c r="N262" s="52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  <c r="X262" s="52" t="n"/>
      <c r="Y262" s="52" t="n"/>
    </row>
    <row r="263" ht="15.75" customHeight="1" s="673">
      <c r="A263" s="52" t="n"/>
      <c r="B263" s="52" t="n"/>
      <c r="C263" s="52" t="n"/>
      <c r="D263" s="52" t="n"/>
      <c r="E263" s="52" t="n"/>
      <c r="F263" s="52" t="n"/>
      <c r="G263" s="52" t="n"/>
      <c r="H263" s="52" t="n"/>
      <c r="I263" s="52" t="n"/>
      <c r="J263" s="52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  <c r="X263" s="52" t="n"/>
      <c r="Y263" s="52" t="n"/>
    </row>
    <row r="264" ht="15.75" customHeight="1" s="673">
      <c r="A264" s="52" t="n"/>
      <c r="B264" s="52" t="n"/>
      <c r="C264" s="52" t="n"/>
      <c r="D264" s="52" t="n"/>
      <c r="E264" s="52" t="n"/>
      <c r="F264" s="52" t="n"/>
      <c r="G264" s="52" t="n"/>
      <c r="H264" s="52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  <c r="X264" s="52" t="n"/>
      <c r="Y264" s="52" t="n"/>
    </row>
    <row r="265" ht="15.75" customHeight="1" s="673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</row>
    <row r="266" ht="15.75" customHeight="1" s="673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</row>
    <row r="267" ht="15.75" customHeight="1" s="673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</row>
    <row r="268" ht="15.75" customHeight="1" s="673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</row>
    <row r="269" ht="15.75" customHeight="1" s="673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</row>
  </sheetData>
  <mergeCells count="5">
    <mergeCell ref="B8:N8"/>
    <mergeCell ref="B3:F3"/>
    <mergeCell ref="B15:E15"/>
    <mergeCell ref="K17:M17"/>
    <mergeCell ref="K16:M16"/>
  </mergeCells>
  <conditionalFormatting sqref="B10">
    <cfRule type="cellIs" priority="1" operator="equal" dxfId="1" stopIfTrue="1">
      <formula>"ARBITRAMENTO"</formula>
    </cfRule>
  </conditionalFormatting>
  <printOptions horizontalCentered="1"/>
  <pageMargins left="0" right="0" top="1.062992125984252" bottom="0.5905511811023623" header="0" footer="0"/>
  <pageSetup orientation="landscape" paperSize="9"/>
  <headerFooter>
    <oddHeader/>
    <oddFooter>&amp;Cwww.safrasecifras.com.br  (53) 3227-1010&amp;R&amp;D &amp;T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8.380000000000001" customWidth="1" style="673" min="1" max="1"/>
    <col width="37" customWidth="1" style="673" min="2" max="3"/>
    <col width="8.25" customWidth="1" style="673" min="4" max="4"/>
    <col width="37.88" customWidth="1" style="673" min="5" max="5"/>
    <col width="28.25" customWidth="1" style="673" min="6" max="7"/>
    <col width="10.75" customWidth="1" style="673" min="8" max="8"/>
    <col width="8.880000000000001" customWidth="1" style="673" min="9" max="26"/>
  </cols>
  <sheetData>
    <row r="1" hidden="1" s="673">
      <c r="A1" s="69" t="n"/>
      <c r="B1" s="131" t="n"/>
      <c r="C1" s="131" t="n"/>
      <c r="D1" s="131" t="n"/>
      <c r="E1" s="227" t="inlineStr">
        <is>
          <t>PREJUÍZO À COMPENSAR</t>
        </is>
      </c>
      <c r="F1" s="131" t="n"/>
      <c r="G1" s="131" t="n"/>
      <c r="H1" s="131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</row>
    <row r="2" hidden="1" s="673">
      <c r="A2" s="69" t="n"/>
      <c r="B2" s="131" t="n"/>
      <c r="C2" s="131" t="n"/>
      <c r="D2" s="131">
        <f>ABS(#REF!)</f>
        <v/>
      </c>
      <c r="E2" s="228">
        <f>-D2</f>
        <v/>
      </c>
      <c r="F2" s="131" t="n"/>
      <c r="G2" s="131" t="n"/>
      <c r="H2" s="131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  <c r="Z2" s="69" t="n"/>
    </row>
    <row r="3" hidden="1" s="673">
      <c r="A3" s="69" t="n"/>
      <c r="B3" s="131" t="n"/>
      <c r="C3" s="131" t="n"/>
      <c r="D3" s="131">
        <f>ABS(#REF!)</f>
        <v/>
      </c>
      <c r="E3" s="228">
        <f>-D3</f>
        <v/>
      </c>
      <c r="F3" s="131" t="n"/>
      <c r="G3" s="131" t="n"/>
      <c r="H3" s="131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</row>
    <row r="4" hidden="1" s="673">
      <c r="A4" s="69" t="n"/>
      <c r="B4" s="131" t="n"/>
      <c r="C4" s="131" t="n"/>
      <c r="D4" s="131">
        <f>ABS(#REF!)</f>
        <v/>
      </c>
      <c r="E4" s="228">
        <f>-D4</f>
        <v/>
      </c>
      <c r="F4" s="131" t="n"/>
      <c r="G4" s="131" t="n"/>
      <c r="H4" s="131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</row>
    <row r="5" hidden="1" s="673">
      <c r="A5" s="69" t="n"/>
      <c r="B5" s="131" t="n"/>
      <c r="C5" s="131" t="n"/>
      <c r="D5" s="131">
        <f>ABS(#REF!)</f>
        <v/>
      </c>
      <c r="E5" s="228">
        <f>-D5</f>
        <v/>
      </c>
      <c r="F5" s="131" t="n"/>
      <c r="G5" s="131" t="n"/>
      <c r="H5" s="131" t="n"/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</row>
    <row r="6" hidden="1" s="673">
      <c r="A6" s="69" t="n"/>
      <c r="B6" s="131" t="n"/>
      <c r="C6" s="131" t="n"/>
      <c r="D6" s="131">
        <f>ABS(#REF!)</f>
        <v/>
      </c>
      <c r="E6" s="228">
        <f>-D6</f>
        <v/>
      </c>
      <c r="F6" s="131" t="n"/>
      <c r="G6" s="131" t="n"/>
      <c r="H6" s="131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</row>
    <row r="7" hidden="1" s="673">
      <c r="A7" s="69" t="n"/>
      <c r="B7" s="131" t="n"/>
      <c r="C7" s="131" t="n"/>
      <c r="D7" s="131">
        <f>ABS(#REF!)</f>
        <v/>
      </c>
      <c r="E7" s="228">
        <f>-D7</f>
        <v/>
      </c>
      <c r="F7" s="131" t="n"/>
      <c r="G7" s="131" t="n"/>
      <c r="H7" s="131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</row>
    <row r="8" hidden="1" s="673">
      <c r="A8" s="69" t="n"/>
      <c r="B8" s="131" t="n"/>
      <c r="C8" s="131" t="n"/>
      <c r="D8" s="131">
        <f>ABS(#REF!)</f>
        <v/>
      </c>
      <c r="E8" s="228">
        <f>-D8</f>
        <v/>
      </c>
      <c r="F8" s="131" t="n"/>
      <c r="G8" s="131" t="n"/>
      <c r="H8" s="131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</row>
    <row r="9" hidden="1" s="673">
      <c r="A9" s="69" t="n"/>
      <c r="B9" s="131" t="n"/>
      <c r="C9" s="131" t="n"/>
      <c r="D9" s="131">
        <f>ABS(#REF!)</f>
        <v/>
      </c>
      <c r="E9" s="228">
        <f>-D9</f>
        <v/>
      </c>
      <c r="F9" s="131" t="n"/>
      <c r="G9" s="131" t="n"/>
      <c r="H9" s="131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69" t="n"/>
    </row>
    <row r="10" hidden="1" s="673">
      <c r="A10" s="69" t="n"/>
      <c r="B10" s="131" t="n"/>
      <c r="C10" s="131" t="n"/>
      <c r="D10" s="131" t="n"/>
      <c r="E10" s="229">
        <f>SUM(E2:E6)</f>
        <v/>
      </c>
      <c r="F10" s="131" t="n"/>
      <c r="G10" s="131" t="n"/>
      <c r="H10" s="131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>
      <c r="A11" s="69" t="n"/>
      <c r="B11" s="131" t="n"/>
      <c r="C11" s="131" t="n"/>
      <c r="D11" s="131" t="n"/>
      <c r="E11" s="131" t="n"/>
      <c r="F11" s="131" t="n"/>
      <c r="G11" s="131" t="n"/>
      <c r="H11" s="131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</row>
    <row r="12" ht="20.25" customHeight="1" s="673">
      <c r="A12" s="69" t="n"/>
      <c r="B12" s="73" t="inlineStr">
        <is>
          <t>SIMULAÇÃO</t>
        </is>
      </c>
      <c r="C12" s="73" t="n"/>
      <c r="D12" s="74" t="n"/>
      <c r="E12" s="74" t="n"/>
      <c r="F12" s="74" t="n"/>
      <c r="G12" s="73">
        <f>RECEITAS!I12</f>
        <v/>
      </c>
      <c r="H12" s="151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69" t="n"/>
      <c r="T12" s="69" t="n"/>
      <c r="U12" s="69" t="n"/>
      <c r="V12" s="69" t="n"/>
      <c r="W12" s="69" t="n"/>
      <c r="X12" s="69" t="n"/>
      <c r="Y12" s="69" t="n"/>
      <c r="Z12" s="69" t="n"/>
    </row>
    <row r="13" ht="20.25" customHeight="1" s="673">
      <c r="A13" s="69" t="n"/>
      <c r="B13" s="334">
        <f>RECEITAS!B13</f>
        <v/>
      </c>
      <c r="C13" s="153" t="n"/>
      <c r="D13" s="154" t="n"/>
      <c r="E13" s="154" t="n"/>
      <c r="F13" s="75" t="n"/>
      <c r="G13" s="75" t="n"/>
      <c r="H13" s="151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69" t="n"/>
      <c r="T13" s="69" t="n"/>
      <c r="U13" s="69" t="n"/>
      <c r="V13" s="69" t="n"/>
      <c r="W13" s="69" t="n"/>
      <c r="X13" s="69" t="n"/>
      <c r="Y13" s="69" t="n"/>
      <c r="Z13" s="69" t="n"/>
    </row>
    <row r="14" ht="15.75" customHeight="1" s="673">
      <c r="A14" s="69" t="n"/>
      <c r="B14" s="131" t="n"/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</row>
    <row r="15" ht="15.75" customHeight="1" s="673">
      <c r="A15" s="69" t="n"/>
      <c r="B15" s="486" t="inlineStr">
        <is>
          <t>Quantidade de meses analisados</t>
        </is>
      </c>
      <c r="C15" s="487" t="n">
        <v>12</v>
      </c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</row>
    <row r="16" ht="15.75" customHeight="1" s="673">
      <c r="A16" s="69" t="n"/>
      <c r="B16" s="488" t="inlineStr">
        <is>
          <t>Total faturado (s/ PIS e Cofins)</t>
        </is>
      </c>
      <c r="C16" s="489" t="n">
        <v>0</v>
      </c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</row>
    <row r="17" ht="15.75" customHeight="1" s="673">
      <c r="A17" s="69" t="n"/>
      <c r="B17" s="488" t="inlineStr">
        <is>
          <t>Total faturado (c/ PIS e Cofins)</t>
        </is>
      </c>
      <c r="C17" s="489" t="n">
        <v>0</v>
      </c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</row>
    <row r="18" ht="15.75" customHeight="1" s="673">
      <c r="A18" s="69" t="n"/>
      <c r="B18" s="488" t="inlineStr">
        <is>
          <t>Receitas com Aluguéis</t>
        </is>
      </c>
      <c r="C18" s="489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</row>
    <row r="19" ht="15.75" customHeight="1" s="673">
      <c r="A19" s="69" t="n"/>
      <c r="B19" s="488" t="inlineStr">
        <is>
          <t>Receitas Financeiras</t>
        </is>
      </c>
      <c r="C19" s="489" t="n"/>
      <c r="D19" s="75" t="n"/>
      <c r="E19" s="490" t="inlineStr">
        <is>
          <t>Total tributos PJ</t>
        </is>
      </c>
      <c r="F19" s="491">
        <f>IF(C15=0,"ERRO",SUM(C23:C28))</f>
        <v/>
      </c>
      <c r="G19" s="75" t="n"/>
      <c r="H19" s="75" t="n"/>
      <c r="I19" s="75" t="n"/>
      <c r="J19" s="75" t="n"/>
      <c r="K19" s="75" t="n"/>
      <c r="L19" s="75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</row>
    <row r="20" ht="15.75" customHeight="1" s="673">
      <c r="A20" s="69" t="n"/>
      <c r="B20" s="488" t="inlineStr">
        <is>
          <t>Receitas Não Operacionais</t>
        </is>
      </c>
      <c r="C20" s="489" t="n"/>
      <c r="D20" s="75" t="n"/>
      <c r="E20" s="490" t="inlineStr">
        <is>
          <t>Tributos PJ + Dif. Funrural</t>
        </is>
      </c>
      <c r="F20" s="491">
        <f>IF(C15=0,"ERRO",SUM(C23:C25,C27,C28,C30))</f>
        <v/>
      </c>
      <c r="G20" s="75" t="n"/>
      <c r="H20" s="75" t="n"/>
      <c r="I20" s="75" t="n"/>
      <c r="J20" s="75" t="n"/>
      <c r="K20" s="75" t="n"/>
      <c r="L20" s="75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</row>
    <row r="21" ht="15.75" customHeight="1" s="673">
      <c r="A21" s="69" t="n"/>
      <c r="B21" s="488" t="inlineStr">
        <is>
          <t>Base de Cálculo IR</t>
        </is>
      </c>
      <c r="C21" s="489">
        <f>((C16+C17)*0.08)+(C18*0.32)+C19+C20</f>
        <v/>
      </c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</row>
    <row r="22" ht="15.75" customHeight="1" s="673">
      <c r="A22" s="69" t="n"/>
      <c r="B22" s="488" t="inlineStr">
        <is>
          <t>Base de Cálculo CSLL</t>
        </is>
      </c>
      <c r="C22" s="489">
        <f>((C16+C17)*0.12)+(C18*0.32)+C19+C20</f>
        <v/>
      </c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</row>
    <row r="23" ht="15.75" customHeight="1" s="673">
      <c r="A23" s="69" t="n"/>
      <c r="B23" s="488" t="inlineStr">
        <is>
          <t>IR - 15% (1,20%)</t>
        </is>
      </c>
      <c r="C23" s="489">
        <f>C21*0.15</f>
        <v/>
      </c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</row>
    <row r="24" ht="15.75" customHeight="1" s="673">
      <c r="A24" s="69" t="n"/>
      <c r="B24" s="488" t="inlineStr">
        <is>
          <t>IR Adicional - 10% (0,8%)</t>
        </is>
      </c>
      <c r="C24" s="489">
        <f>IF(C21&gt;C15*20000,(C21-C15*20000)*0.1,0)</f>
        <v/>
      </c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</row>
    <row r="25" ht="15.75" customHeight="1" s="673">
      <c r="A25" s="69" t="n"/>
      <c r="B25" s="488" t="inlineStr">
        <is>
          <t>CSLL - 9% (1,08%)</t>
        </is>
      </c>
      <c r="C25" s="489">
        <f>C22*0.09</f>
        <v/>
      </c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</row>
    <row r="26" ht="15.75" customHeight="1" s="673">
      <c r="A26" s="69" t="n"/>
      <c r="B26" s="488" t="inlineStr">
        <is>
          <t>Funrural - 2,05%</t>
        </is>
      </c>
      <c r="C26" s="489">
        <f>(C16+C17)*2.05/100</f>
        <v/>
      </c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</row>
    <row r="27" ht="17.25" customHeight="1" s="673">
      <c r="A27" s="69" t="n"/>
      <c r="B27" s="488" t="inlineStr">
        <is>
          <t>PIS</t>
        </is>
      </c>
      <c r="C27" s="489">
        <f>(C17+C18)*0.65/100</f>
        <v/>
      </c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</row>
    <row r="28" ht="20.25" customHeight="1" s="673">
      <c r="A28" s="69" t="n"/>
      <c r="B28" s="488" t="inlineStr">
        <is>
          <t>Cofins</t>
        </is>
      </c>
      <c r="C28" s="489">
        <f>(C17+C18)*3/100</f>
        <v/>
      </c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</row>
    <row r="29" ht="16.5" customHeight="1" s="673">
      <c r="A29" s="69" t="n"/>
      <c r="B29" s="75" t="n"/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</row>
    <row r="30" ht="18" customHeight="1" s="673">
      <c r="A30" s="69" t="n"/>
      <c r="B30" s="488" t="inlineStr">
        <is>
          <t>Diferença de Funrural - 0,55%</t>
        </is>
      </c>
      <c r="C30" s="489">
        <f>(C16+C17)*0.55/100</f>
        <v/>
      </c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</row>
    <row r="31" ht="18" customHeight="1" s="673">
      <c r="A31" s="69" t="n"/>
      <c r="B31" s="131" t="n"/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</row>
    <row r="32" ht="15.75" customHeight="1" s="673">
      <c r="A32" s="69" t="n"/>
      <c r="B32" s="131" t="n"/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</row>
    <row r="33" ht="15.75" customHeight="1" s="673">
      <c r="A33" s="69" t="n"/>
      <c r="B33" s="131" t="n"/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</row>
    <row r="34" ht="15.75" customHeight="1" s="673">
      <c r="A34" s="69" t="n"/>
      <c r="B34" s="75" t="n"/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</row>
    <row r="35" ht="18" customHeight="1" s="673">
      <c r="A35" s="69" t="n"/>
      <c r="B35" s="75" t="n"/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</row>
    <row r="36" ht="18" customHeight="1" s="673">
      <c r="A36" s="69" t="n"/>
      <c r="B36" s="75" t="n"/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</row>
    <row r="37" ht="21.75" customHeight="1" s="673">
      <c r="A37" s="69" t="n"/>
      <c r="B37" s="75" t="n"/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  <c r="Z37" s="69" t="n"/>
    </row>
    <row r="38" ht="15.75" customHeight="1" s="673">
      <c r="A38" s="69" t="n"/>
      <c r="B38" s="75" t="n"/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</row>
    <row r="39" ht="15.75" customHeight="1" s="673">
      <c r="A39" s="69" t="n"/>
      <c r="B39" s="75" t="n"/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  <c r="Z39" s="69" t="n"/>
    </row>
    <row r="40" ht="15.75" customHeight="1" s="673">
      <c r="A40" s="69" t="n"/>
      <c r="B40" s="75" t="n"/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</row>
    <row r="41" ht="18.75" customHeight="1" s="673">
      <c r="A41" s="69" t="n"/>
      <c r="B41" s="75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69" t="n"/>
    </row>
    <row r="42" ht="18.75" customHeight="1" s="673">
      <c r="A42" s="69" t="n"/>
      <c r="B42" s="75" t="n"/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</row>
    <row r="43" ht="18.75" customHeight="1" s="673">
      <c r="A43" s="69" t="n"/>
      <c r="B43" s="75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69" t="n"/>
    </row>
    <row r="44" ht="18.75" customHeight="1" s="673">
      <c r="A44" s="69" t="n"/>
      <c r="B44" s="131" t="n"/>
      <c r="C44" s="131" t="n"/>
      <c r="D44" s="131" t="n"/>
      <c r="E44" s="131" t="n"/>
      <c r="F44" s="131" t="n"/>
      <c r="G44" s="131" t="n"/>
      <c r="H44" s="131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69" t="n"/>
    </row>
    <row r="45" ht="18.75" customHeight="1" s="673">
      <c r="A45" s="69" t="n"/>
      <c r="B45" s="75" t="n"/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  <c r="Z45" s="69" t="n"/>
    </row>
    <row r="46" ht="15.75" customHeight="1" s="673">
      <c r="A46" s="69" t="n"/>
      <c r="B46" s="75" t="n"/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</row>
    <row r="47" ht="15.75" customHeight="1" s="673">
      <c r="A47" s="69" t="n"/>
      <c r="B47" s="75" t="n"/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  <c r="Z47" s="69" t="n"/>
    </row>
    <row r="48" ht="18" customHeight="1" s="673">
      <c r="A48" s="69" t="n"/>
      <c r="B48" s="75" t="n"/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</row>
    <row r="49" ht="18" customHeight="1" s="673">
      <c r="A49" s="69" t="n"/>
      <c r="B49" s="75" t="n"/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</row>
    <row r="50" ht="18" customHeight="1" s="673">
      <c r="A50" s="69" t="n"/>
      <c r="B50" s="492" t="inlineStr">
        <is>
          <t>CLIENTE</t>
        </is>
      </c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69" t="n"/>
      <c r="T50" s="69" t="n"/>
      <c r="U50" s="69" t="n"/>
      <c r="V50" s="69" t="n"/>
      <c r="W50" s="69" t="n"/>
      <c r="X50" s="69" t="n"/>
      <c r="Y50" s="69" t="n"/>
      <c r="Z50" s="69" t="n"/>
    </row>
    <row r="51" ht="18" customHeight="1" s="673">
      <c r="A51" s="69" t="n"/>
      <c r="B51" s="493" t="n"/>
      <c r="C51" s="493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69" t="n"/>
      <c r="T51" s="69" t="n"/>
      <c r="U51" s="69" t="n"/>
      <c r="V51" s="69" t="n"/>
      <c r="W51" s="69" t="n"/>
      <c r="X51" s="69" t="n"/>
      <c r="Y51" s="69" t="n"/>
      <c r="Z51" s="69" t="n"/>
    </row>
    <row r="52" ht="18" customHeight="1" s="673">
      <c r="A52" s="69" t="n"/>
      <c r="B52" s="732" t="inlineStr">
        <is>
          <t>SIMULAÇÃO</t>
        </is>
      </c>
      <c r="C52" s="733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69" t="n"/>
      <c r="T52" s="69" t="n"/>
      <c r="U52" s="69" t="n"/>
      <c r="V52" s="69" t="n"/>
      <c r="W52" s="69" t="n"/>
      <c r="X52" s="69" t="n"/>
      <c r="Y52" s="69" t="n"/>
      <c r="Z52" s="69" t="n"/>
    </row>
    <row r="53" ht="18" customHeight="1" s="673">
      <c r="A53" s="69" t="n"/>
      <c r="B53" s="496" t="n"/>
      <c r="C53" s="497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69" t="n"/>
      <c r="T53" s="69" t="n"/>
      <c r="U53" s="69" t="n"/>
      <c r="V53" s="69" t="n"/>
      <c r="W53" s="69" t="n"/>
      <c r="X53" s="69" t="n"/>
      <c r="Y53" s="69" t="n"/>
      <c r="Z53" s="69" t="n"/>
    </row>
    <row r="54" ht="18" customHeight="1" s="673">
      <c r="A54" s="69" t="n"/>
      <c r="B54" s="131" t="n"/>
      <c r="C54" s="131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69" t="n"/>
      <c r="T54" s="69" t="n"/>
      <c r="U54" s="69" t="n"/>
      <c r="V54" s="69" t="n"/>
      <c r="W54" s="69" t="n"/>
      <c r="X54" s="69" t="n"/>
      <c r="Y54" s="69" t="n"/>
      <c r="Z54" s="69" t="n"/>
    </row>
    <row r="55" ht="18" customHeight="1" s="673">
      <c r="A55" s="69" t="n"/>
      <c r="B55" s="131" t="n"/>
      <c r="C55" s="131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69" t="n"/>
      <c r="T55" s="69" t="n"/>
      <c r="U55" s="69" t="n"/>
      <c r="V55" s="69" t="n"/>
      <c r="W55" s="69" t="n"/>
      <c r="X55" s="69" t="n"/>
      <c r="Y55" s="69" t="n"/>
      <c r="Z55" s="69" t="n"/>
    </row>
    <row r="56" ht="18" customHeight="1" s="673">
      <c r="A56" s="69" t="n"/>
      <c r="B56" s="131" t="n"/>
      <c r="C56" s="131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69" t="n"/>
      <c r="T56" s="69" t="n"/>
      <c r="U56" s="69" t="n"/>
      <c r="V56" s="69" t="n"/>
      <c r="W56" s="69" t="n"/>
      <c r="X56" s="69" t="n"/>
      <c r="Y56" s="69" t="n"/>
      <c r="Z56" s="69" t="n"/>
    </row>
    <row r="57" ht="18" customHeight="1" s="673">
      <c r="A57" s="69" t="n"/>
      <c r="B57" s="131" t="n"/>
      <c r="C57" s="131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69" t="n"/>
      <c r="T57" s="69" t="n"/>
      <c r="U57" s="69" t="n"/>
      <c r="V57" s="69" t="n"/>
      <c r="W57" s="69" t="n"/>
      <c r="X57" s="69" t="n"/>
      <c r="Y57" s="69" t="n"/>
      <c r="Z57" s="69" t="n"/>
    </row>
    <row r="58" ht="18" customHeight="1" s="673">
      <c r="A58" s="69" t="n"/>
      <c r="B58" s="131" t="n"/>
      <c r="C58" s="131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69" t="n"/>
      <c r="T58" s="69" t="n"/>
      <c r="U58" s="69" t="n"/>
      <c r="V58" s="69" t="n"/>
      <c r="W58" s="69" t="n"/>
      <c r="X58" s="69" t="n"/>
      <c r="Y58" s="69" t="n"/>
      <c r="Z58" s="69" t="n"/>
    </row>
    <row r="59" ht="18" customHeight="1" s="673">
      <c r="A59" s="69" t="n"/>
      <c r="B59" s="131" t="n"/>
      <c r="C59" s="131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69" t="n"/>
      <c r="T59" s="69" t="n"/>
      <c r="U59" s="69" t="n"/>
      <c r="V59" s="69" t="n"/>
      <c r="W59" s="69" t="n"/>
      <c r="X59" s="69" t="n"/>
      <c r="Y59" s="69" t="n"/>
      <c r="Z59" s="69" t="n"/>
    </row>
    <row r="60" ht="18" customHeight="1" s="673">
      <c r="A60" s="69" t="n"/>
      <c r="B60" s="131" t="n"/>
      <c r="C60" s="131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69" t="n"/>
      <c r="T60" s="69" t="n"/>
      <c r="U60" s="69" t="n"/>
      <c r="V60" s="69" t="n"/>
      <c r="W60" s="69" t="n"/>
      <c r="X60" s="69" t="n"/>
      <c r="Y60" s="69" t="n"/>
      <c r="Z60" s="69" t="n"/>
    </row>
    <row r="61" ht="18" customHeight="1" s="673">
      <c r="A61" s="69" t="n"/>
      <c r="B61" s="131" t="n"/>
      <c r="C61" s="131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69" t="n"/>
      <c r="T61" s="69" t="n"/>
      <c r="U61" s="69" t="n"/>
      <c r="V61" s="69" t="n"/>
      <c r="W61" s="69" t="n"/>
      <c r="X61" s="69" t="n"/>
      <c r="Y61" s="69" t="n"/>
      <c r="Z61" s="69" t="n"/>
    </row>
    <row r="62" ht="18" customHeight="1" s="673">
      <c r="A62" s="69" t="n"/>
      <c r="B62" s="131" t="n"/>
      <c r="C62" s="131" t="n"/>
      <c r="D62" s="75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69" t="n"/>
      <c r="T62" s="69" t="n"/>
      <c r="U62" s="69" t="n"/>
      <c r="V62" s="69" t="n"/>
      <c r="W62" s="69" t="n"/>
      <c r="X62" s="69" t="n"/>
      <c r="Y62" s="69" t="n"/>
      <c r="Z62" s="69" t="n"/>
    </row>
    <row r="63" ht="18" customHeight="1" s="673">
      <c r="A63" s="69" t="n"/>
      <c r="B63" s="131" t="n"/>
      <c r="C63" s="131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69" t="n"/>
      <c r="T63" s="69" t="n"/>
      <c r="U63" s="69" t="n"/>
      <c r="V63" s="69" t="n"/>
      <c r="W63" s="69" t="n"/>
      <c r="X63" s="69" t="n"/>
      <c r="Y63" s="69" t="n"/>
      <c r="Z63" s="69" t="n"/>
    </row>
    <row r="64" ht="18" customHeight="1" s="673">
      <c r="A64" s="69" t="n"/>
      <c r="B64" s="131" t="n"/>
      <c r="C64" s="131" t="n"/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69" t="n"/>
      <c r="T64" s="69" t="n"/>
      <c r="U64" s="69" t="n"/>
      <c r="V64" s="69" t="n"/>
      <c r="W64" s="69" t="n"/>
      <c r="X64" s="69" t="n"/>
      <c r="Y64" s="69" t="n"/>
      <c r="Z64" s="69" t="n"/>
    </row>
    <row r="65" ht="18" customHeight="1" s="673">
      <c r="A65" s="69" t="n"/>
      <c r="B65" s="131" t="n"/>
      <c r="C65" s="131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69" t="n"/>
      <c r="T65" s="69" t="n"/>
      <c r="U65" s="69" t="n"/>
      <c r="V65" s="69" t="n"/>
      <c r="W65" s="69" t="n"/>
      <c r="X65" s="69" t="n"/>
      <c r="Y65" s="69" t="n"/>
      <c r="Z65" s="69" t="n"/>
    </row>
    <row r="66" ht="18" customHeight="1" s="673">
      <c r="A66" s="69" t="n"/>
      <c r="B66" s="131" t="n"/>
      <c r="C66" s="131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69" t="n"/>
      <c r="T66" s="69" t="n"/>
      <c r="U66" s="69" t="n"/>
      <c r="V66" s="69" t="n"/>
      <c r="W66" s="69" t="n"/>
      <c r="X66" s="69" t="n"/>
      <c r="Y66" s="69" t="n"/>
      <c r="Z66" s="69" t="n"/>
    </row>
    <row r="67" ht="18" customHeight="1" s="673">
      <c r="A67" s="69" t="n"/>
      <c r="B67" s="131" t="n"/>
      <c r="C67" s="131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69" t="n"/>
      <c r="T67" s="69" t="n"/>
      <c r="U67" s="69" t="n"/>
      <c r="V67" s="69" t="n"/>
      <c r="W67" s="69" t="n"/>
      <c r="X67" s="69" t="n"/>
      <c r="Y67" s="69" t="n"/>
      <c r="Z67" s="69" t="n"/>
    </row>
    <row r="68" ht="18" customHeight="1" s="673">
      <c r="A68" s="69" t="n"/>
      <c r="B68" s="131" t="n"/>
      <c r="C68" s="131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69" t="n"/>
      <c r="T68" s="69" t="n"/>
      <c r="U68" s="69" t="n"/>
      <c r="V68" s="69" t="n"/>
      <c r="W68" s="69" t="n"/>
      <c r="X68" s="69" t="n"/>
      <c r="Y68" s="69" t="n"/>
      <c r="Z68" s="69" t="n"/>
    </row>
    <row r="69" ht="18" customHeight="1" s="673">
      <c r="A69" s="69" t="n"/>
      <c r="B69" s="131" t="n"/>
      <c r="C69" s="131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69" t="n"/>
      <c r="T69" s="69" t="n"/>
      <c r="U69" s="69" t="n"/>
      <c r="V69" s="69" t="n"/>
      <c r="W69" s="69" t="n"/>
      <c r="X69" s="69" t="n"/>
      <c r="Y69" s="69" t="n"/>
      <c r="Z69" s="69" t="n"/>
    </row>
    <row r="70" ht="18" customHeight="1" s="673">
      <c r="A70" s="69" t="n"/>
      <c r="B70" s="498" t="n"/>
      <c r="C70" s="499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69" t="n"/>
      <c r="T70" s="69" t="n"/>
      <c r="U70" s="69" t="n"/>
      <c r="V70" s="69" t="n"/>
      <c r="W70" s="69" t="n"/>
      <c r="X70" s="69" t="n"/>
      <c r="Y70" s="69" t="n"/>
      <c r="Z70" s="69" t="n"/>
    </row>
    <row r="71" ht="18" customHeight="1" s="673">
      <c r="A71" s="69" t="n"/>
      <c r="B71" s="131" t="n"/>
      <c r="C71" s="131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69" t="n"/>
      <c r="T71" s="69" t="n"/>
      <c r="U71" s="69" t="n"/>
      <c r="V71" s="69" t="n"/>
      <c r="W71" s="69" t="n"/>
      <c r="X71" s="69" t="n"/>
      <c r="Y71" s="69" t="n"/>
      <c r="Z71" s="69" t="n"/>
    </row>
    <row r="72" ht="18" customHeight="1" s="673">
      <c r="A72" s="69" t="n"/>
      <c r="B72" s="131" t="n"/>
      <c r="C72" s="131" t="n"/>
      <c r="D72" s="75" t="n"/>
      <c r="E72" s="75" t="n"/>
      <c r="F72" s="75" t="n"/>
      <c r="G72" s="75" t="n"/>
      <c r="H72" s="129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69" t="n"/>
      <c r="T72" s="69" t="n"/>
      <c r="U72" s="69" t="n"/>
      <c r="V72" s="69" t="n"/>
      <c r="W72" s="69" t="n"/>
      <c r="X72" s="69" t="n"/>
      <c r="Y72" s="69" t="n"/>
      <c r="Z72" s="69" t="n"/>
    </row>
    <row r="73" ht="18" customHeight="1" s="673">
      <c r="A73" s="69" t="n"/>
      <c r="B73" s="75" t="n"/>
      <c r="C73" s="75" t="n"/>
      <c r="D73" s="75" t="n"/>
      <c r="E73" s="75" t="n"/>
      <c r="F73" s="75" t="n"/>
      <c r="G73" s="75" t="n"/>
      <c r="H73" s="129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69" t="n"/>
      <c r="T73" s="69" t="n"/>
      <c r="U73" s="69" t="n"/>
      <c r="V73" s="69" t="n"/>
      <c r="W73" s="69" t="n"/>
      <c r="X73" s="69" t="n"/>
      <c r="Y73" s="69" t="n"/>
      <c r="Z73" s="69" t="n"/>
    </row>
    <row r="74" ht="18" customHeight="1" s="673">
      <c r="A74" s="69" t="n"/>
      <c r="B74" s="75" t="n"/>
      <c r="C74" s="75" t="n"/>
      <c r="D74" s="75" t="n"/>
      <c r="E74" s="75" t="n"/>
      <c r="F74" s="75" t="n"/>
      <c r="G74" s="75" t="n"/>
      <c r="H74" s="129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69" t="n"/>
      <c r="T74" s="69" t="n"/>
      <c r="U74" s="69" t="n"/>
      <c r="V74" s="69" t="n"/>
      <c r="W74" s="69" t="n"/>
      <c r="X74" s="69" t="n"/>
      <c r="Y74" s="69" t="n"/>
      <c r="Z74" s="69" t="n"/>
    </row>
    <row r="75" ht="18" customHeight="1" s="673">
      <c r="A75" s="69" t="n"/>
      <c r="B75" s="75" t="n"/>
      <c r="C75" s="75" t="n"/>
      <c r="D75" s="75" t="n"/>
      <c r="E75" s="75" t="n"/>
      <c r="F75" s="75" t="n"/>
      <c r="G75" s="75" t="n"/>
      <c r="H75" s="129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69" t="n"/>
      <c r="T75" s="69" t="n"/>
      <c r="U75" s="69" t="n"/>
      <c r="V75" s="69" t="n"/>
      <c r="W75" s="69" t="n"/>
      <c r="X75" s="69" t="n"/>
      <c r="Y75" s="69" t="n"/>
      <c r="Z75" s="69" t="n"/>
    </row>
    <row r="76" ht="18" customHeight="1" s="673">
      <c r="A76" s="69" t="n"/>
      <c r="B76" s="75" t="n"/>
      <c r="C76" s="75" t="n"/>
      <c r="D76" s="75" t="n"/>
      <c r="E76" s="75" t="n"/>
      <c r="F76" s="75" t="n"/>
      <c r="G76" s="75" t="n"/>
      <c r="H76" s="129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69" t="n"/>
      <c r="T76" s="69" t="n"/>
      <c r="U76" s="69" t="n"/>
      <c r="V76" s="69" t="n"/>
      <c r="W76" s="69" t="n"/>
      <c r="X76" s="69" t="n"/>
      <c r="Y76" s="69" t="n"/>
      <c r="Z76" s="69" t="n"/>
    </row>
    <row r="77" ht="18" customHeight="1" s="673">
      <c r="A77" s="69" t="n"/>
      <c r="B77" s="75" t="n"/>
      <c r="C77" s="75" t="n"/>
      <c r="D77" s="75" t="n"/>
      <c r="E77" s="75" t="n"/>
      <c r="F77" s="75" t="n"/>
      <c r="G77" s="75" t="n"/>
      <c r="H77" s="129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69" t="n"/>
      <c r="T77" s="69" t="n"/>
      <c r="U77" s="69" t="n"/>
      <c r="V77" s="69" t="n"/>
      <c r="W77" s="69" t="n"/>
      <c r="X77" s="69" t="n"/>
      <c r="Y77" s="69" t="n"/>
      <c r="Z77" s="69" t="n"/>
    </row>
    <row r="78" ht="18" customHeight="1" s="673">
      <c r="A78" s="69" t="n"/>
      <c r="B78" s="75" t="n"/>
      <c r="C78" s="75" t="n"/>
      <c r="D78" s="75" t="n"/>
      <c r="E78" s="75" t="n"/>
      <c r="F78" s="75" t="n"/>
      <c r="G78" s="75" t="n"/>
      <c r="H78" s="129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69" t="n"/>
      <c r="T78" s="69" t="n"/>
      <c r="U78" s="69" t="n"/>
      <c r="V78" s="69" t="n"/>
      <c r="W78" s="69" t="n"/>
      <c r="X78" s="69" t="n"/>
      <c r="Y78" s="69" t="n"/>
      <c r="Z78" s="69" t="n"/>
    </row>
    <row r="79" ht="18" customHeight="1" s="673">
      <c r="A79" s="69" t="n"/>
      <c r="B79" s="75" t="n"/>
      <c r="C79" s="75" t="n"/>
      <c r="D79" s="75" t="n"/>
      <c r="E79" s="75" t="n"/>
      <c r="F79" s="75" t="n"/>
      <c r="G79" s="75" t="n"/>
      <c r="H79" s="129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69" t="n"/>
      <c r="T79" s="69" t="n"/>
      <c r="U79" s="69" t="n"/>
      <c r="V79" s="69" t="n"/>
      <c r="W79" s="69" t="n"/>
      <c r="X79" s="69" t="n"/>
      <c r="Y79" s="69" t="n"/>
      <c r="Z79" s="69" t="n"/>
    </row>
    <row r="80" ht="18" customHeight="1" s="673">
      <c r="A80" s="69" t="n"/>
      <c r="B80" s="129" t="n"/>
      <c r="C80" s="129" t="n"/>
      <c r="D80" s="129" t="n"/>
      <c r="E80" s="129" t="n"/>
      <c r="F80" s="129" t="n"/>
      <c r="G80" s="75" t="n"/>
      <c r="H80" s="129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69" t="n"/>
      <c r="T80" s="69" t="n"/>
      <c r="U80" s="69" t="n"/>
      <c r="V80" s="69" t="n"/>
      <c r="W80" s="69" t="n"/>
      <c r="X80" s="69" t="n"/>
      <c r="Y80" s="69" t="n"/>
      <c r="Z80" s="69" t="n"/>
    </row>
    <row r="81" ht="18" customHeight="1" s="673">
      <c r="A81" s="69" t="n"/>
      <c r="B81" s="129" t="n"/>
      <c r="C81" s="129" t="n"/>
      <c r="D81" s="129" t="n"/>
      <c r="E81" s="129" t="n"/>
      <c r="F81" s="129" t="n"/>
      <c r="G81" s="75" t="n"/>
      <c r="H81" s="129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69" t="n"/>
      <c r="T81" s="69" t="n"/>
      <c r="U81" s="69" t="n"/>
      <c r="V81" s="69" t="n"/>
      <c r="W81" s="69" t="n"/>
      <c r="X81" s="69" t="n"/>
      <c r="Y81" s="69" t="n"/>
      <c r="Z81" s="69" t="n"/>
    </row>
    <row r="82" ht="18" customHeight="1" s="673">
      <c r="A82" s="69" t="n"/>
      <c r="B82" s="129" t="n"/>
      <c r="C82" s="129" t="n"/>
      <c r="D82" s="129" t="n"/>
      <c r="E82" s="129" t="n"/>
      <c r="F82" s="129" t="n"/>
      <c r="G82" s="75" t="n"/>
      <c r="H82" s="129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69" t="n"/>
      <c r="T82" s="69" t="n"/>
      <c r="U82" s="69" t="n"/>
      <c r="V82" s="69" t="n"/>
      <c r="W82" s="69" t="n"/>
      <c r="X82" s="69" t="n"/>
      <c r="Y82" s="69" t="n"/>
      <c r="Z82" s="69" t="n"/>
    </row>
    <row r="83" ht="18" customHeight="1" s="673">
      <c r="A83" s="69" t="n"/>
      <c r="B83" s="129" t="n"/>
      <c r="C83" s="129" t="n"/>
      <c r="D83" s="129" t="n"/>
      <c r="E83" s="129" t="n"/>
      <c r="F83" s="129" t="n"/>
      <c r="G83" s="75" t="n"/>
      <c r="H83" s="129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69" t="n"/>
      <c r="T83" s="69" t="n"/>
      <c r="U83" s="69" t="n"/>
      <c r="V83" s="69" t="n"/>
      <c r="W83" s="69" t="n"/>
      <c r="X83" s="69" t="n"/>
      <c r="Y83" s="69" t="n"/>
      <c r="Z83" s="69" t="n"/>
    </row>
    <row r="84" ht="18" customHeight="1" s="673">
      <c r="A84" s="69" t="n"/>
      <c r="B84" s="129" t="n"/>
      <c r="C84" s="129" t="n"/>
      <c r="D84" s="129" t="n"/>
      <c r="E84" s="129" t="n"/>
      <c r="F84" s="129" t="n"/>
      <c r="G84" s="75" t="n"/>
      <c r="H84" s="130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</row>
    <row r="85" ht="18" customHeight="1" s="673">
      <c r="A85" s="69" t="n"/>
      <c r="B85" s="129" t="n"/>
      <c r="C85" s="129" t="n"/>
      <c r="D85" s="129" t="n"/>
      <c r="E85" s="129" t="n"/>
      <c r="F85" s="129" t="n"/>
      <c r="G85" s="75" t="n"/>
      <c r="H85" s="130" t="n"/>
      <c r="I85" s="69" t="n"/>
      <c r="J85" s="69" t="n"/>
      <c r="K85" s="6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</row>
    <row r="86" ht="18" customHeight="1" s="673">
      <c r="A86" s="69" t="n"/>
      <c r="B86" s="129" t="n"/>
      <c r="C86" s="129" t="n"/>
      <c r="D86" s="129" t="n"/>
      <c r="E86" s="129" t="n"/>
      <c r="F86" s="129" t="n"/>
      <c r="G86" s="75" t="n"/>
      <c r="H86" s="130" t="n"/>
      <c r="I86" s="6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  <c r="Z86" s="69" t="n"/>
    </row>
    <row r="87" ht="18" customHeight="1" s="673">
      <c r="A87" s="69" t="n"/>
      <c r="B87" s="129" t="n"/>
      <c r="C87" s="129" t="n"/>
      <c r="D87" s="129" t="n"/>
      <c r="E87" s="129" t="n"/>
      <c r="F87" s="129" t="n"/>
      <c r="G87" s="129" t="n"/>
      <c r="H87" s="130" t="n"/>
      <c r="I87" s="69" t="n"/>
      <c r="J87" s="69" t="n"/>
      <c r="K87" s="69" t="n"/>
      <c r="L87" s="69" t="n"/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  <c r="Z87" s="69" t="n"/>
    </row>
    <row r="88" ht="18" customHeight="1" s="673">
      <c r="A88" s="69" t="n"/>
      <c r="B88" s="130" t="n"/>
      <c r="C88" s="130" t="n"/>
      <c r="D88" s="130" t="n"/>
      <c r="E88" s="130" t="n"/>
      <c r="F88" s="130" t="n"/>
      <c r="G88" s="129" t="n"/>
      <c r="H88" s="130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</row>
    <row r="89" ht="18" customHeight="1" s="673">
      <c r="A89" s="69" t="n"/>
      <c r="B89" s="130" t="n"/>
      <c r="C89" s="130" t="n"/>
      <c r="D89" s="130" t="n"/>
      <c r="E89" s="130" t="n"/>
      <c r="F89" s="130" t="n"/>
      <c r="G89" s="129" t="n"/>
      <c r="H89" s="130" t="n"/>
      <c r="I89" s="69" t="n"/>
      <c r="J89" s="69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</row>
    <row r="90" ht="18" customHeight="1" s="673">
      <c r="A90" s="69" t="n"/>
      <c r="B90" s="130" t="n"/>
      <c r="C90" s="130" t="n"/>
      <c r="D90" s="130" t="n"/>
      <c r="E90" s="130" t="n"/>
      <c r="F90" s="130" t="n"/>
      <c r="G90" s="129" t="n"/>
      <c r="H90" s="130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</row>
    <row r="91" ht="18" customHeight="1" s="673">
      <c r="A91" s="69" t="n"/>
      <c r="B91" s="130" t="n"/>
      <c r="C91" s="130" t="n"/>
      <c r="D91" s="130" t="n"/>
      <c r="E91" s="130" t="n"/>
      <c r="F91" s="130" t="n"/>
      <c r="G91" s="129" t="n"/>
      <c r="H91" s="130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  <c r="Z91" s="69" t="n"/>
    </row>
    <row r="92" ht="15.75" customHeight="1" s="673">
      <c r="A92" s="69" t="n"/>
      <c r="B92" s="130" t="n"/>
      <c r="C92" s="130" t="n"/>
      <c r="D92" s="130" t="n"/>
      <c r="E92" s="130" t="n"/>
      <c r="F92" s="130" t="n"/>
      <c r="G92" s="129" t="n"/>
      <c r="H92" s="130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</row>
    <row r="93" ht="15.75" customHeight="1" s="673">
      <c r="A93" s="69" t="n"/>
      <c r="B93" s="130" t="n"/>
      <c r="C93" s="130" t="n"/>
      <c r="D93" s="130" t="n"/>
      <c r="E93" s="130" t="n"/>
      <c r="F93" s="130" t="n"/>
      <c r="G93" s="129" t="n"/>
      <c r="H93" s="131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</row>
    <row r="94" ht="15.75" customHeight="1" s="673">
      <c r="A94" s="69" t="n"/>
      <c r="B94" s="130" t="n"/>
      <c r="C94" s="130" t="n"/>
      <c r="D94" s="130" t="n"/>
      <c r="E94" s="130" t="n"/>
      <c r="F94" s="130" t="n"/>
      <c r="G94" s="129" t="n"/>
      <c r="H94" s="131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131" t="n"/>
      <c r="U94" s="131" t="n"/>
      <c r="V94" s="131" t="n"/>
      <c r="W94" s="131" t="n"/>
      <c r="X94" s="131" t="n"/>
      <c r="Y94" s="131" t="n"/>
      <c r="Z94" s="131" t="n"/>
    </row>
    <row r="95" ht="15.75" customHeight="1" s="673">
      <c r="A95" s="69" t="n"/>
      <c r="B95" s="130" t="n"/>
      <c r="C95" s="130" t="n"/>
      <c r="D95" s="130" t="n"/>
      <c r="E95" s="130" t="n"/>
      <c r="F95" s="130" t="n"/>
      <c r="G95" s="130" t="n"/>
      <c r="H95" s="131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131" t="n"/>
      <c r="U95" s="131" t="n"/>
      <c r="V95" s="131" t="n"/>
      <c r="W95" s="131" t="n"/>
      <c r="X95" s="131" t="n"/>
      <c r="Y95" s="131" t="n"/>
      <c r="Z95" s="131" t="n"/>
    </row>
    <row r="96" ht="15.75" customHeight="1" s="673">
      <c r="A96" s="69" t="n"/>
      <c r="B96" s="130" t="n"/>
      <c r="C96" s="130" t="n"/>
      <c r="D96" s="130" t="n"/>
      <c r="E96" s="130" t="n"/>
      <c r="F96" s="130" t="n"/>
      <c r="G96" s="130" t="n"/>
      <c r="H96" s="131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131" t="n"/>
      <c r="U96" s="131" t="n"/>
      <c r="V96" s="131" t="n"/>
      <c r="W96" s="131" t="n"/>
      <c r="X96" s="131" t="n"/>
      <c r="Y96" s="131" t="n"/>
      <c r="Z96" s="131" t="n"/>
    </row>
    <row r="97" ht="15.75" customHeight="1" s="673">
      <c r="A97" s="69" t="n"/>
      <c r="B97" s="131" t="n"/>
      <c r="C97" s="131" t="n"/>
      <c r="D97" s="131" t="n"/>
      <c r="E97" s="131" t="n"/>
      <c r="F97" s="131" t="n"/>
      <c r="G97" s="130" t="n"/>
      <c r="H97" s="131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131" t="n"/>
      <c r="U97" s="131" t="n"/>
      <c r="V97" s="131" t="n"/>
      <c r="W97" s="131" t="n"/>
      <c r="X97" s="131" t="n"/>
      <c r="Y97" s="131" t="n"/>
      <c r="Z97" s="131" t="n"/>
    </row>
    <row r="98" ht="15.75" customHeight="1" s="673">
      <c r="A98" s="69" t="n"/>
      <c r="B98" s="131" t="n"/>
      <c r="C98" s="131" t="n"/>
      <c r="D98" s="131" t="n"/>
      <c r="E98" s="131" t="n"/>
      <c r="F98" s="131" t="n"/>
      <c r="G98" s="130" t="n"/>
      <c r="H98" s="131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131" t="n"/>
      <c r="U98" s="131" t="n"/>
      <c r="V98" s="131" t="n"/>
      <c r="W98" s="131" t="n"/>
      <c r="X98" s="131" t="n"/>
      <c r="Y98" s="131" t="n"/>
      <c r="Z98" s="131" t="n"/>
    </row>
    <row r="99" ht="15.75" customHeight="1" s="673">
      <c r="A99" s="69" t="n"/>
      <c r="B99" s="131" t="n"/>
      <c r="C99" s="131" t="n"/>
      <c r="D99" s="131" t="n"/>
      <c r="E99" s="131" t="n"/>
      <c r="F99" s="131" t="n"/>
      <c r="G99" s="130" t="n"/>
      <c r="H99" s="131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131" t="n"/>
      <c r="U99" s="131" t="n"/>
      <c r="V99" s="131" t="n"/>
      <c r="W99" s="131" t="n"/>
      <c r="X99" s="131" t="n"/>
      <c r="Y99" s="131" t="n"/>
      <c r="Z99" s="131" t="n"/>
    </row>
    <row r="100" ht="15.75" customHeight="1" s="673">
      <c r="A100" s="69" t="n"/>
      <c r="B100" s="131" t="n"/>
      <c r="C100" s="131" t="n"/>
      <c r="D100" s="131" t="n"/>
      <c r="E100" s="131" t="n"/>
      <c r="F100" s="131" t="n"/>
      <c r="G100" s="130" t="n"/>
      <c r="H100" s="131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131" t="n"/>
      <c r="U100" s="131" t="n"/>
      <c r="V100" s="131" t="n"/>
      <c r="W100" s="131" t="n"/>
      <c r="X100" s="131" t="n"/>
      <c r="Y100" s="131" t="n"/>
      <c r="Z100" s="131" t="n"/>
    </row>
    <row r="101" ht="15.75" customHeight="1" s="673">
      <c r="A101" s="69" t="n"/>
      <c r="B101" s="131" t="n"/>
      <c r="C101" s="131" t="n"/>
      <c r="D101" s="131" t="n"/>
      <c r="E101" s="131" t="n"/>
      <c r="F101" s="131" t="n"/>
      <c r="G101" s="130" t="n"/>
      <c r="H101" s="131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131" t="n"/>
      <c r="U101" s="131" t="n"/>
      <c r="V101" s="131" t="n"/>
      <c r="W101" s="131" t="n"/>
      <c r="X101" s="131" t="n"/>
      <c r="Y101" s="131" t="n"/>
      <c r="Z101" s="131" t="n"/>
    </row>
    <row r="102" ht="15.75" customHeight="1" s="673">
      <c r="A102" s="69" t="n"/>
      <c r="B102" s="131" t="n"/>
      <c r="C102" s="131" t="n"/>
      <c r="D102" s="131" t="n"/>
      <c r="E102" s="131" t="n"/>
      <c r="F102" s="131" t="n"/>
      <c r="G102" s="130" t="n"/>
      <c r="H102" s="131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131" t="n"/>
      <c r="U102" s="131" t="n"/>
      <c r="V102" s="131" t="n"/>
      <c r="W102" s="131" t="n"/>
      <c r="X102" s="131" t="n"/>
      <c r="Y102" s="131" t="n"/>
      <c r="Z102" s="131" t="n"/>
    </row>
    <row r="103" ht="15.75" customHeight="1" s="673">
      <c r="A103" s="69" t="n"/>
      <c r="B103" s="131" t="n"/>
      <c r="C103" s="131" t="n"/>
      <c r="D103" s="131" t="n"/>
      <c r="E103" s="131" t="n"/>
      <c r="F103" s="131" t="n"/>
      <c r="G103" s="130" t="n"/>
      <c r="H103" s="131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131" t="n"/>
      <c r="U103" s="131" t="n"/>
      <c r="V103" s="131" t="n"/>
      <c r="W103" s="131" t="n"/>
      <c r="X103" s="131" t="n"/>
      <c r="Y103" s="131" t="n"/>
      <c r="Z103" s="131" t="n"/>
    </row>
    <row r="104" ht="15.75" customHeight="1" s="673">
      <c r="A104" s="69" t="n"/>
      <c r="B104" s="131" t="n"/>
      <c r="C104" s="131" t="n"/>
      <c r="D104" s="131" t="n"/>
      <c r="E104" s="131" t="n"/>
      <c r="F104" s="131" t="n"/>
      <c r="G104" s="131" t="n"/>
      <c r="H104" s="131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</row>
    <row r="105" ht="15.75" customHeight="1" s="673">
      <c r="A105" s="69" t="n"/>
      <c r="B105" s="131" t="n"/>
      <c r="C105" s="131" t="n"/>
      <c r="D105" s="131" t="n"/>
      <c r="E105" s="131" t="n"/>
      <c r="F105" s="131" t="n"/>
      <c r="G105" s="131" t="n"/>
      <c r="H105" s="131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</row>
    <row r="106" ht="15.75" customHeight="1" s="673">
      <c r="A106" s="69" t="n"/>
      <c r="B106" s="131" t="n"/>
      <c r="C106" s="131" t="n"/>
      <c r="D106" s="131" t="n"/>
      <c r="E106" s="131" t="n"/>
      <c r="F106" s="131" t="n"/>
      <c r="G106" s="131" t="n"/>
      <c r="H106" s="131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</row>
    <row r="107" ht="15.75" customHeight="1" s="673">
      <c r="A107" s="69" t="n"/>
      <c r="B107" s="131" t="n"/>
      <c r="C107" s="131" t="n"/>
      <c r="D107" s="131" t="n"/>
      <c r="E107" s="131" t="n"/>
      <c r="F107" s="131" t="n"/>
      <c r="G107" s="131" t="n"/>
      <c r="H107" s="131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  <c r="Z107" s="69" t="n"/>
    </row>
    <row r="108" ht="15.75" customHeight="1" s="673">
      <c r="A108" s="69" t="n"/>
      <c r="B108" s="131" t="n"/>
      <c r="C108" s="131" t="n"/>
      <c r="D108" s="131" t="n"/>
      <c r="E108" s="131" t="n"/>
      <c r="F108" s="131" t="n"/>
      <c r="G108" s="131" t="n"/>
      <c r="H108" s="131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</row>
    <row r="109" ht="15.75" customHeight="1" s="673">
      <c r="A109" s="69" t="n"/>
      <c r="B109" s="131" t="n"/>
      <c r="C109" s="131" t="n"/>
      <c r="D109" s="131" t="n"/>
      <c r="E109" s="131" t="n"/>
      <c r="F109" s="131" t="n"/>
      <c r="G109" s="131" t="n"/>
      <c r="H109" s="131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</row>
    <row r="110" ht="15.75" customHeight="1" s="673">
      <c r="A110" s="69" t="n"/>
      <c r="B110" s="131" t="n"/>
      <c r="C110" s="131" t="n"/>
      <c r="D110" s="131" t="n"/>
      <c r="E110" s="131" t="n"/>
      <c r="F110" s="131" t="n"/>
      <c r="G110" s="131" t="n"/>
      <c r="H110" s="131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</row>
    <row r="111" ht="15.75" customHeight="1" s="673">
      <c r="A111" s="69" t="n"/>
      <c r="B111" s="131" t="n"/>
      <c r="C111" s="131" t="n"/>
      <c r="D111" s="131" t="n"/>
      <c r="E111" s="131" t="n"/>
      <c r="F111" s="131" t="n"/>
      <c r="G111" s="131" t="n"/>
      <c r="H111" s="131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</row>
    <row r="112" ht="15.75" customHeight="1" s="673">
      <c r="A112" s="69" t="n"/>
      <c r="B112" s="131" t="n"/>
      <c r="C112" s="131" t="n"/>
      <c r="D112" s="131" t="n"/>
      <c r="E112" s="131" t="n"/>
      <c r="F112" s="131" t="n"/>
      <c r="G112" s="131" t="n"/>
      <c r="H112" s="131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</row>
    <row r="113" ht="15.75" customHeight="1" s="673">
      <c r="A113" s="69" t="n"/>
      <c r="B113" s="131" t="n"/>
      <c r="C113" s="131" t="n"/>
      <c r="D113" s="131" t="n"/>
      <c r="E113" s="131" t="n"/>
      <c r="F113" s="131" t="n"/>
      <c r="G113" s="131" t="n"/>
      <c r="H113" s="131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</row>
    <row r="114" ht="15.75" customHeight="1" s="673">
      <c r="A114" s="69" t="n"/>
      <c r="B114" s="131" t="n"/>
      <c r="C114" s="131" t="n"/>
      <c r="D114" s="131" t="n"/>
      <c r="E114" s="131" t="n"/>
      <c r="F114" s="131" t="n"/>
      <c r="G114" s="131" t="n"/>
      <c r="H114" s="131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</row>
    <row r="115" ht="15.75" customHeight="1" s="673">
      <c r="A115" s="69" t="n"/>
      <c r="B115" s="131" t="n"/>
      <c r="C115" s="131" t="n"/>
      <c r="D115" s="131" t="n"/>
      <c r="E115" s="131" t="n"/>
      <c r="F115" s="131" t="n"/>
      <c r="G115" s="131" t="n"/>
      <c r="H115" s="131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  <c r="Z115" s="69" t="n"/>
    </row>
    <row r="116" ht="15.75" customHeight="1" s="673">
      <c r="A116" s="69" t="n"/>
      <c r="B116" s="131" t="n"/>
      <c r="C116" s="131" t="n"/>
      <c r="D116" s="131" t="n"/>
      <c r="E116" s="131" t="n"/>
      <c r="F116" s="131" t="n"/>
      <c r="G116" s="131" t="n"/>
      <c r="H116" s="131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</row>
    <row r="117" ht="15.75" customHeight="1" s="673">
      <c r="A117" s="69" t="n"/>
      <c r="B117" s="131" t="n"/>
      <c r="C117" s="131" t="n"/>
      <c r="D117" s="131" t="n"/>
      <c r="E117" s="131" t="n"/>
      <c r="F117" s="131" t="n"/>
      <c r="G117" s="131" t="n"/>
      <c r="H117" s="131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</row>
    <row r="118" ht="15.75" customHeight="1" s="673">
      <c r="A118" s="69" t="n"/>
      <c r="B118" s="131" t="n"/>
      <c r="C118" s="131" t="n"/>
      <c r="D118" s="131" t="n"/>
      <c r="E118" s="131" t="n"/>
      <c r="F118" s="131" t="n"/>
      <c r="G118" s="131" t="n"/>
      <c r="H118" s="131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</row>
    <row r="119" ht="15.75" customHeight="1" s="673">
      <c r="A119" s="69" t="n"/>
      <c r="B119" s="131" t="n"/>
      <c r="C119" s="131" t="n"/>
      <c r="D119" s="131" t="n"/>
      <c r="E119" s="131" t="n"/>
      <c r="F119" s="131" t="n"/>
      <c r="G119" s="131" t="n"/>
      <c r="H119" s="131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</row>
    <row r="120" ht="15.75" customHeight="1" s="673">
      <c r="A120" s="69" t="n"/>
      <c r="B120" s="131" t="n"/>
      <c r="C120" s="131" t="n"/>
      <c r="D120" s="131" t="n"/>
      <c r="E120" s="131" t="n"/>
      <c r="F120" s="131" t="n"/>
      <c r="G120" s="131" t="n"/>
      <c r="H120" s="131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</row>
    <row r="121" ht="15.75" customHeight="1" s="673">
      <c r="A121" s="69" t="n"/>
      <c r="B121" s="131" t="n"/>
      <c r="C121" s="131" t="n"/>
      <c r="D121" s="131" t="n"/>
      <c r="E121" s="131" t="n"/>
      <c r="F121" s="131" t="n"/>
      <c r="G121" s="131" t="n"/>
      <c r="H121" s="131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</row>
    <row r="122" ht="15.75" customHeight="1" s="673">
      <c r="A122" s="69" t="n"/>
      <c r="B122" s="131" t="n"/>
      <c r="C122" s="131" t="n"/>
      <c r="D122" s="131" t="n"/>
      <c r="E122" s="131" t="n"/>
      <c r="F122" s="131" t="n"/>
      <c r="G122" s="131" t="n"/>
      <c r="H122" s="131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</row>
    <row r="123" ht="15.75" customHeight="1" s="673">
      <c r="A123" s="69" t="n"/>
      <c r="B123" s="131" t="n"/>
      <c r="C123" s="131" t="n"/>
      <c r="D123" s="131" t="n"/>
      <c r="E123" s="131" t="n"/>
      <c r="F123" s="131" t="n"/>
      <c r="G123" s="131" t="n"/>
      <c r="H123" s="131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</row>
    <row r="124" ht="15.75" customHeight="1" s="673">
      <c r="A124" s="69" t="n"/>
      <c r="B124" s="131" t="n"/>
      <c r="C124" s="131" t="n"/>
      <c r="D124" s="131" t="n"/>
      <c r="E124" s="131" t="n"/>
      <c r="F124" s="131" t="n"/>
      <c r="G124" s="131" t="n"/>
      <c r="H124" s="131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</row>
    <row r="125" ht="15.75" customHeight="1" s="673">
      <c r="A125" s="69" t="n"/>
      <c r="B125" s="131" t="n"/>
      <c r="C125" s="131" t="n"/>
      <c r="D125" s="131" t="n"/>
      <c r="E125" s="131" t="n"/>
      <c r="F125" s="131" t="n"/>
      <c r="G125" s="131" t="n"/>
      <c r="H125" s="131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</row>
    <row r="126" ht="15.75" customHeight="1" s="673">
      <c r="A126" s="69" t="n"/>
      <c r="B126" s="131" t="n"/>
      <c r="C126" s="131" t="n"/>
      <c r="D126" s="131" t="n"/>
      <c r="E126" s="131" t="n"/>
      <c r="F126" s="131" t="n"/>
      <c r="G126" s="131" t="n"/>
      <c r="H126" s="131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</row>
    <row r="127" ht="15.75" customHeight="1" s="673">
      <c r="A127" s="69" t="n"/>
      <c r="B127" s="131" t="n"/>
      <c r="C127" s="131" t="n"/>
      <c r="D127" s="131" t="n"/>
      <c r="E127" s="131" t="n"/>
      <c r="F127" s="131" t="n"/>
      <c r="G127" s="131" t="n"/>
      <c r="H127" s="131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</row>
    <row r="128" ht="15.75" customHeight="1" s="673">
      <c r="A128" s="69" t="n"/>
      <c r="B128" s="131" t="n"/>
      <c r="C128" s="131" t="n"/>
      <c r="D128" s="131" t="n"/>
      <c r="E128" s="131" t="n"/>
      <c r="F128" s="131" t="n"/>
      <c r="G128" s="131" t="n"/>
      <c r="H128" s="131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</row>
    <row r="129" ht="15.75" customHeight="1" s="673">
      <c r="A129" s="69" t="n"/>
      <c r="B129" s="131" t="n"/>
      <c r="C129" s="131" t="n"/>
      <c r="D129" s="131" t="n"/>
      <c r="E129" s="131" t="n"/>
      <c r="F129" s="131" t="n"/>
      <c r="G129" s="131" t="n"/>
      <c r="H129" s="131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</row>
    <row r="130" ht="15.75" customHeight="1" s="673">
      <c r="A130" s="69" t="n"/>
      <c r="B130" s="131" t="n"/>
      <c r="C130" s="131" t="n"/>
      <c r="D130" s="131" t="n"/>
      <c r="E130" s="131" t="n"/>
      <c r="F130" s="131" t="n"/>
      <c r="G130" s="131" t="n"/>
      <c r="H130" s="131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</row>
    <row r="131" ht="15.75" customHeight="1" s="673">
      <c r="A131" s="69" t="n"/>
      <c r="B131" s="131" t="n"/>
      <c r="C131" s="131" t="n"/>
      <c r="D131" s="131" t="n"/>
      <c r="E131" s="131" t="n"/>
      <c r="F131" s="131" t="n"/>
      <c r="G131" s="131" t="n"/>
      <c r="H131" s="131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</row>
    <row r="132" ht="15.75" customHeight="1" s="673">
      <c r="A132" s="69" t="n"/>
      <c r="B132" s="131" t="n"/>
      <c r="C132" s="131" t="n"/>
      <c r="D132" s="131" t="n"/>
      <c r="E132" s="131" t="n"/>
      <c r="F132" s="131" t="n"/>
      <c r="G132" s="131" t="n"/>
      <c r="H132" s="131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</row>
    <row r="133" ht="15.75" customHeight="1" s="673">
      <c r="A133" s="69" t="n"/>
      <c r="B133" s="131" t="n"/>
      <c r="C133" s="131" t="n"/>
      <c r="D133" s="131" t="n"/>
      <c r="E133" s="131" t="n"/>
      <c r="F133" s="131" t="n"/>
      <c r="G133" s="131" t="n"/>
      <c r="H133" s="131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</row>
    <row r="134" ht="15.75" customHeight="1" s="673">
      <c r="A134" s="69" t="n"/>
      <c r="B134" s="131" t="n"/>
      <c r="C134" s="131" t="n"/>
      <c r="D134" s="131" t="n"/>
      <c r="E134" s="131" t="n"/>
      <c r="F134" s="131" t="n"/>
      <c r="G134" s="131" t="n"/>
      <c r="H134" s="131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</row>
    <row r="135" ht="15.75" customHeight="1" s="673">
      <c r="A135" s="69" t="n"/>
      <c r="B135" s="131" t="n"/>
      <c r="C135" s="131" t="n"/>
      <c r="D135" s="131" t="n"/>
      <c r="E135" s="131" t="n"/>
      <c r="F135" s="131" t="n"/>
      <c r="G135" s="131" t="n"/>
      <c r="H135" s="131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  <c r="Z135" s="69" t="n"/>
    </row>
    <row r="136" ht="15.75" customHeight="1" s="673">
      <c r="A136" s="69" t="n"/>
      <c r="B136" s="131" t="n"/>
      <c r="C136" s="131" t="n"/>
      <c r="D136" s="131" t="n"/>
      <c r="E136" s="131" t="n"/>
      <c r="F136" s="131" t="n"/>
      <c r="G136" s="131" t="n"/>
      <c r="H136" s="131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</row>
    <row r="137" ht="15.75" customHeight="1" s="673">
      <c r="A137" s="69" t="n"/>
      <c r="B137" s="131" t="n"/>
      <c r="C137" s="131" t="n"/>
      <c r="D137" s="131" t="n"/>
      <c r="E137" s="131" t="n"/>
      <c r="F137" s="131" t="n"/>
      <c r="G137" s="131" t="n"/>
      <c r="H137" s="131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</row>
    <row r="138" ht="15.75" customHeight="1" s="673">
      <c r="A138" s="69" t="n"/>
      <c r="B138" s="131" t="n"/>
      <c r="C138" s="131" t="n"/>
      <c r="D138" s="131" t="n"/>
      <c r="E138" s="131" t="n"/>
      <c r="F138" s="131" t="n"/>
      <c r="G138" s="131" t="n"/>
      <c r="H138" s="131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</row>
    <row r="139" ht="15.75" customHeight="1" s="673">
      <c r="A139" s="69" t="n"/>
      <c r="B139" s="131" t="n"/>
      <c r="C139" s="131" t="n"/>
      <c r="D139" s="131" t="n"/>
      <c r="E139" s="131" t="n"/>
      <c r="F139" s="131" t="n"/>
      <c r="G139" s="131" t="n"/>
      <c r="H139" s="131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</row>
    <row r="140" ht="15.75" customHeight="1" s="673">
      <c r="A140" s="69" t="n"/>
      <c r="B140" s="131" t="n"/>
      <c r="C140" s="131" t="n"/>
      <c r="D140" s="131" t="n"/>
      <c r="E140" s="131" t="n"/>
      <c r="F140" s="131" t="n"/>
      <c r="G140" s="131" t="n"/>
      <c r="H140" s="131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</row>
    <row r="141" ht="15.75" customHeight="1" s="673">
      <c r="A141" s="69" t="n"/>
      <c r="B141" s="131" t="n"/>
      <c r="C141" s="131" t="n"/>
      <c r="D141" s="131" t="n"/>
      <c r="E141" s="131" t="n"/>
      <c r="F141" s="131" t="n"/>
      <c r="G141" s="131" t="n"/>
      <c r="H141" s="131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</row>
    <row r="142" ht="15.75" customHeight="1" s="673">
      <c r="A142" s="69" t="n"/>
      <c r="B142" s="131" t="n"/>
      <c r="C142" s="131" t="n"/>
      <c r="D142" s="131" t="n"/>
      <c r="E142" s="131" t="n"/>
      <c r="F142" s="131" t="n"/>
      <c r="G142" s="131" t="n"/>
      <c r="H142" s="131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</row>
    <row r="143" ht="15.75" customHeight="1" s="673">
      <c r="A143" s="69" t="n"/>
      <c r="B143" s="131" t="n"/>
      <c r="C143" s="131" t="n"/>
      <c r="D143" s="131" t="n"/>
      <c r="E143" s="131" t="n"/>
      <c r="F143" s="131" t="n"/>
      <c r="G143" s="131" t="n"/>
      <c r="H143" s="131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</row>
    <row r="144" ht="15.75" customHeight="1" s="673">
      <c r="A144" s="69" t="n"/>
      <c r="B144" s="131" t="n"/>
      <c r="C144" s="131" t="n"/>
      <c r="D144" s="131" t="n"/>
      <c r="E144" s="131" t="n"/>
      <c r="F144" s="131" t="n"/>
      <c r="G144" s="131" t="n"/>
      <c r="H144" s="131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</row>
    <row r="145" ht="15.75" customHeight="1" s="673">
      <c r="A145" s="69" t="n"/>
      <c r="B145" s="131" t="n"/>
      <c r="C145" s="131" t="n"/>
      <c r="D145" s="131" t="n"/>
      <c r="E145" s="131" t="n"/>
      <c r="F145" s="131" t="n"/>
      <c r="G145" s="131" t="n"/>
      <c r="H145" s="131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</row>
    <row r="146" ht="15.75" customHeight="1" s="673">
      <c r="A146" s="69" t="n"/>
      <c r="B146" s="131" t="n"/>
      <c r="C146" s="131" t="n"/>
      <c r="D146" s="131" t="n"/>
      <c r="E146" s="131" t="n"/>
      <c r="F146" s="131" t="n"/>
      <c r="G146" s="131" t="n"/>
      <c r="H146" s="131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</row>
    <row r="147" ht="15.75" customHeight="1" s="673">
      <c r="A147" s="69" t="n"/>
      <c r="B147" s="131" t="n"/>
      <c r="C147" s="131" t="n"/>
      <c r="D147" s="131" t="n"/>
      <c r="E147" s="131" t="n"/>
      <c r="F147" s="131" t="n"/>
      <c r="G147" s="131" t="n"/>
      <c r="H147" s="131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</row>
    <row r="148" ht="15.75" customHeight="1" s="673">
      <c r="A148" s="69" t="n"/>
      <c r="B148" s="131" t="n"/>
      <c r="C148" s="131" t="n"/>
      <c r="D148" s="131" t="n"/>
      <c r="E148" s="131" t="n"/>
      <c r="F148" s="131" t="n"/>
      <c r="G148" s="131" t="n"/>
      <c r="H148" s="131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</row>
    <row r="149" ht="15.75" customHeight="1" s="673">
      <c r="A149" s="69" t="n"/>
      <c r="B149" s="131" t="n"/>
      <c r="C149" s="131" t="n"/>
      <c r="D149" s="131" t="n"/>
      <c r="E149" s="131" t="n"/>
      <c r="F149" s="131" t="n"/>
      <c r="G149" s="131" t="n"/>
      <c r="H149" s="131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</row>
    <row r="150" ht="15.75" customHeight="1" s="673">
      <c r="A150" s="69" t="n"/>
      <c r="B150" s="131" t="n"/>
      <c r="C150" s="131" t="n"/>
      <c r="D150" s="131" t="n"/>
      <c r="E150" s="131" t="n"/>
      <c r="F150" s="131" t="n"/>
      <c r="G150" s="131" t="n"/>
      <c r="H150" s="131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</row>
    <row r="151" ht="15.75" customHeight="1" s="673">
      <c r="A151" s="69" t="n"/>
      <c r="B151" s="131" t="n"/>
      <c r="C151" s="131" t="n"/>
      <c r="D151" s="131" t="n"/>
      <c r="E151" s="131" t="n"/>
      <c r="F151" s="131" t="n"/>
      <c r="G151" s="131" t="n"/>
      <c r="H151" s="131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</row>
    <row r="152" ht="15.75" customHeight="1" s="673">
      <c r="A152" s="69" t="n"/>
      <c r="B152" s="131" t="n"/>
      <c r="C152" s="131" t="n"/>
      <c r="D152" s="131" t="n"/>
      <c r="E152" s="131" t="n"/>
      <c r="F152" s="131" t="n"/>
      <c r="G152" s="131" t="n"/>
      <c r="H152" s="131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</row>
    <row r="153" ht="15.75" customHeight="1" s="673">
      <c r="A153" s="69" t="n"/>
      <c r="B153" s="131" t="n"/>
      <c r="C153" s="131" t="n"/>
      <c r="D153" s="131" t="n"/>
      <c r="E153" s="131" t="n"/>
      <c r="F153" s="131" t="n"/>
      <c r="G153" s="131" t="n"/>
      <c r="H153" s="131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</row>
    <row r="154" ht="15.75" customHeight="1" s="673">
      <c r="A154" s="69" t="n"/>
      <c r="B154" s="131" t="n"/>
      <c r="C154" s="131" t="n"/>
      <c r="D154" s="131" t="n"/>
      <c r="E154" s="131" t="n"/>
      <c r="F154" s="131" t="n"/>
      <c r="G154" s="131" t="n"/>
      <c r="H154" s="131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</row>
    <row r="155" ht="15.75" customHeight="1" s="673">
      <c r="A155" s="69" t="n"/>
      <c r="B155" s="131" t="n"/>
      <c r="C155" s="131" t="n"/>
      <c r="D155" s="131" t="n"/>
      <c r="E155" s="131" t="n"/>
      <c r="F155" s="131" t="n"/>
      <c r="G155" s="131" t="n"/>
      <c r="H155" s="131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</row>
    <row r="156" ht="15.75" customHeight="1" s="673">
      <c r="A156" s="69" t="n"/>
      <c r="B156" s="131" t="n"/>
      <c r="C156" s="131" t="n"/>
      <c r="D156" s="131" t="n"/>
      <c r="E156" s="131" t="n"/>
      <c r="F156" s="131" t="n"/>
      <c r="G156" s="131" t="n"/>
      <c r="H156" s="131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</row>
    <row r="157" ht="15.75" customHeight="1" s="673">
      <c r="A157" s="69" t="n"/>
      <c r="B157" s="131" t="n"/>
      <c r="C157" s="131" t="n"/>
      <c r="D157" s="131" t="n"/>
      <c r="E157" s="131" t="n"/>
      <c r="F157" s="131" t="n"/>
      <c r="G157" s="131" t="n"/>
      <c r="H157" s="131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</row>
    <row r="158" ht="15.75" customHeight="1" s="673">
      <c r="A158" s="69" t="n"/>
      <c r="B158" s="131" t="n"/>
      <c r="C158" s="131" t="n"/>
      <c r="D158" s="131" t="n"/>
      <c r="E158" s="131" t="n"/>
      <c r="F158" s="131" t="n"/>
      <c r="G158" s="131" t="n"/>
      <c r="H158" s="131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</row>
    <row r="159" ht="15.75" customHeight="1" s="673">
      <c r="A159" s="69" t="n"/>
      <c r="B159" s="131" t="n"/>
      <c r="C159" s="131" t="n"/>
      <c r="D159" s="131" t="n"/>
      <c r="E159" s="131" t="n"/>
      <c r="F159" s="131" t="n"/>
      <c r="G159" s="131" t="n"/>
      <c r="H159" s="131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</row>
    <row r="160" ht="15.75" customHeight="1" s="673">
      <c r="A160" s="69" t="n"/>
      <c r="B160" s="131" t="n"/>
      <c r="C160" s="131" t="n"/>
      <c r="D160" s="131" t="n"/>
      <c r="E160" s="131" t="n"/>
      <c r="F160" s="131" t="n"/>
      <c r="G160" s="131" t="n"/>
      <c r="H160" s="131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</row>
    <row r="161" ht="15.75" customHeight="1" s="673">
      <c r="A161" s="69" t="n"/>
      <c r="B161" s="131" t="n"/>
      <c r="C161" s="131" t="n"/>
      <c r="D161" s="131" t="n"/>
      <c r="E161" s="131" t="n"/>
      <c r="F161" s="131" t="n"/>
      <c r="G161" s="131" t="n"/>
      <c r="H161" s="131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</row>
    <row r="162" ht="15.75" customHeight="1" s="673">
      <c r="A162" s="69" t="n"/>
      <c r="B162" s="131" t="n"/>
      <c r="C162" s="131" t="n"/>
      <c r="D162" s="131" t="n"/>
      <c r="E162" s="131" t="n"/>
      <c r="F162" s="131" t="n"/>
      <c r="G162" s="131" t="n"/>
      <c r="H162" s="131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</row>
    <row r="163" ht="15.75" customHeight="1" s="673">
      <c r="A163" s="69" t="n"/>
      <c r="B163" s="131" t="n"/>
      <c r="C163" s="131" t="n"/>
      <c r="D163" s="131" t="n"/>
      <c r="E163" s="131" t="n"/>
      <c r="F163" s="131" t="n"/>
      <c r="G163" s="131" t="n"/>
      <c r="H163" s="131" t="n"/>
      <c r="I163" s="69" t="n"/>
      <c r="J163" s="69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</row>
    <row r="164" ht="15.75" customHeight="1" s="673">
      <c r="A164" s="69" t="n"/>
      <c r="B164" s="131" t="n"/>
      <c r="C164" s="131" t="n"/>
      <c r="D164" s="131" t="n"/>
      <c r="E164" s="131" t="n"/>
      <c r="F164" s="131" t="n"/>
      <c r="G164" s="131" t="n"/>
      <c r="H164" s="131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</row>
    <row r="165" ht="15.75" customHeight="1" s="673">
      <c r="A165" s="69" t="n"/>
      <c r="B165" s="131" t="n"/>
      <c r="C165" s="131" t="n"/>
      <c r="D165" s="131" t="n"/>
      <c r="E165" s="131" t="n"/>
      <c r="F165" s="131" t="n"/>
      <c r="G165" s="131" t="n"/>
      <c r="H165" s="131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  <c r="Z165" s="69" t="n"/>
    </row>
    <row r="166" ht="15.75" customHeight="1" s="673">
      <c r="A166" s="69" t="n"/>
      <c r="B166" s="131" t="n"/>
      <c r="C166" s="131" t="n"/>
      <c r="D166" s="131" t="n"/>
      <c r="E166" s="131" t="n"/>
      <c r="F166" s="131" t="n"/>
      <c r="G166" s="131" t="n"/>
      <c r="H166" s="131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</row>
    <row r="167" ht="15.75" customHeight="1" s="673">
      <c r="A167" s="69" t="n"/>
      <c r="B167" s="131" t="n"/>
      <c r="C167" s="131" t="n"/>
      <c r="D167" s="131" t="n"/>
      <c r="E167" s="131" t="n"/>
      <c r="F167" s="131" t="n"/>
      <c r="G167" s="131" t="n"/>
      <c r="H167" s="131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</row>
    <row r="168" ht="15.75" customHeight="1" s="673">
      <c r="A168" s="69" t="n"/>
      <c r="B168" s="131" t="n"/>
      <c r="C168" s="131" t="n"/>
      <c r="D168" s="131" t="n"/>
      <c r="E168" s="131" t="n"/>
      <c r="F168" s="131" t="n"/>
      <c r="G168" s="131" t="n"/>
      <c r="H168" s="131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</row>
    <row r="169" ht="15.75" customHeight="1" s="673">
      <c r="A169" s="69" t="n"/>
      <c r="B169" s="131" t="n"/>
      <c r="C169" s="131" t="n"/>
      <c r="D169" s="131" t="n"/>
      <c r="E169" s="131" t="n"/>
      <c r="F169" s="131" t="n"/>
      <c r="G169" s="131" t="n"/>
      <c r="H169" s="131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</row>
    <row r="170" ht="15.75" customHeight="1" s="673">
      <c r="A170" s="69" t="n"/>
      <c r="B170" s="131" t="n"/>
      <c r="C170" s="131" t="n"/>
      <c r="D170" s="131" t="n"/>
      <c r="E170" s="131" t="n"/>
      <c r="F170" s="131" t="n"/>
      <c r="G170" s="131" t="n"/>
      <c r="H170" s="131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</row>
    <row r="171" ht="15.75" customHeight="1" s="673">
      <c r="A171" s="69" t="n"/>
      <c r="B171" s="131" t="n"/>
      <c r="C171" s="131" t="n"/>
      <c r="D171" s="131" t="n"/>
      <c r="E171" s="131" t="n"/>
      <c r="F171" s="131" t="n"/>
      <c r="G171" s="131" t="n"/>
      <c r="H171" s="131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</row>
    <row r="172" ht="15.75" customHeight="1" s="673">
      <c r="A172" s="69" t="n"/>
      <c r="B172" s="131" t="n"/>
      <c r="C172" s="131" t="n"/>
      <c r="D172" s="131" t="n"/>
      <c r="E172" s="131" t="n"/>
      <c r="F172" s="131" t="n"/>
      <c r="G172" s="131" t="n"/>
      <c r="H172" s="131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</row>
    <row r="173" ht="15.75" customHeight="1" s="673">
      <c r="A173" s="69" t="n"/>
      <c r="B173" s="131" t="n"/>
      <c r="C173" s="131" t="n"/>
      <c r="D173" s="131" t="n"/>
      <c r="E173" s="131" t="n"/>
      <c r="F173" s="131" t="n"/>
      <c r="G173" s="131" t="n"/>
      <c r="H173" s="131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</row>
    <row r="174" ht="15.75" customHeight="1" s="673">
      <c r="A174" s="69" t="n"/>
      <c r="B174" s="131" t="n"/>
      <c r="C174" s="131" t="n"/>
      <c r="D174" s="131" t="n"/>
      <c r="E174" s="131" t="n"/>
      <c r="F174" s="131" t="n"/>
      <c r="G174" s="131" t="n"/>
      <c r="H174" s="131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</row>
    <row r="175" ht="15.75" customHeight="1" s="673">
      <c r="A175" s="69" t="n"/>
      <c r="B175" s="131" t="n"/>
      <c r="C175" s="131" t="n"/>
      <c r="D175" s="131" t="n"/>
      <c r="E175" s="131" t="n"/>
      <c r="F175" s="131" t="n"/>
      <c r="G175" s="131" t="n"/>
      <c r="H175" s="131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</row>
    <row r="176" ht="15.75" customHeight="1" s="673">
      <c r="A176" s="69" t="n"/>
      <c r="B176" s="131" t="n"/>
      <c r="C176" s="131" t="n"/>
      <c r="D176" s="131" t="n"/>
      <c r="E176" s="131" t="n"/>
      <c r="F176" s="131" t="n"/>
      <c r="G176" s="131" t="n"/>
      <c r="H176" s="131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</row>
    <row r="177" ht="15.75" customHeight="1" s="673">
      <c r="A177" s="69" t="n"/>
      <c r="B177" s="131" t="n"/>
      <c r="C177" s="131" t="n"/>
      <c r="D177" s="131" t="n"/>
      <c r="E177" s="131" t="n"/>
      <c r="F177" s="131" t="n"/>
      <c r="G177" s="131" t="n"/>
      <c r="H177" s="131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</row>
    <row r="178" ht="15.75" customHeight="1" s="673">
      <c r="A178" s="69" t="n"/>
      <c r="B178" s="131" t="n"/>
      <c r="C178" s="131" t="n"/>
      <c r="D178" s="131" t="n"/>
      <c r="E178" s="131" t="n"/>
      <c r="F178" s="131" t="n"/>
      <c r="G178" s="131" t="n"/>
      <c r="H178" s="131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</row>
    <row r="179" ht="15.75" customHeight="1" s="673">
      <c r="A179" s="69" t="n"/>
      <c r="B179" s="131" t="n"/>
      <c r="C179" s="131" t="n"/>
      <c r="D179" s="131" t="n"/>
      <c r="E179" s="131" t="n"/>
      <c r="F179" s="131" t="n"/>
      <c r="G179" s="131" t="n"/>
      <c r="H179" s="131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</row>
    <row r="180" ht="15.75" customHeight="1" s="673">
      <c r="A180" s="69" t="n"/>
      <c r="B180" s="131" t="n"/>
      <c r="C180" s="131" t="n"/>
      <c r="D180" s="131" t="n"/>
      <c r="E180" s="131" t="n"/>
      <c r="F180" s="131" t="n"/>
      <c r="G180" s="131" t="n"/>
      <c r="H180" s="131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</row>
    <row r="181" ht="15.75" customHeight="1" s="673">
      <c r="A181" s="69" t="n"/>
      <c r="B181" s="131" t="n"/>
      <c r="C181" s="131" t="n"/>
      <c r="D181" s="131" t="n"/>
      <c r="E181" s="131" t="n"/>
      <c r="F181" s="131" t="n"/>
      <c r="G181" s="131" t="n"/>
      <c r="H181" s="131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</row>
    <row r="182" ht="15.75" customHeight="1" s="673">
      <c r="A182" s="69" t="n"/>
      <c r="B182" s="131" t="n"/>
      <c r="C182" s="131" t="n"/>
      <c r="D182" s="131" t="n"/>
      <c r="E182" s="131" t="n"/>
      <c r="F182" s="131" t="n"/>
      <c r="G182" s="131" t="n"/>
      <c r="H182" s="131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</row>
    <row r="183" ht="15.75" customHeight="1" s="673">
      <c r="A183" s="69" t="n"/>
      <c r="B183" s="131" t="n"/>
      <c r="C183" s="131" t="n"/>
      <c r="D183" s="131" t="n"/>
      <c r="E183" s="131" t="n"/>
      <c r="F183" s="131" t="n"/>
      <c r="G183" s="131" t="n"/>
      <c r="H183" s="131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</row>
    <row r="184" ht="15.75" customHeight="1" s="673">
      <c r="A184" s="69" t="n"/>
      <c r="B184" s="131" t="n"/>
      <c r="C184" s="131" t="n"/>
      <c r="D184" s="131" t="n"/>
      <c r="E184" s="131" t="n"/>
      <c r="F184" s="131" t="n"/>
      <c r="G184" s="131" t="n"/>
      <c r="H184" s="131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</row>
    <row r="185" ht="15.75" customHeight="1" s="673">
      <c r="A185" s="69" t="n"/>
      <c r="B185" s="131" t="n"/>
      <c r="C185" s="131" t="n"/>
      <c r="D185" s="131" t="n"/>
      <c r="E185" s="131" t="n"/>
      <c r="F185" s="131" t="n"/>
      <c r="G185" s="131" t="n"/>
      <c r="H185" s="131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  <c r="Z185" s="69" t="n"/>
    </row>
    <row r="186" ht="15.75" customHeight="1" s="673">
      <c r="A186" s="69" t="n"/>
      <c r="B186" s="131" t="n"/>
      <c r="C186" s="131" t="n"/>
      <c r="D186" s="131" t="n"/>
      <c r="E186" s="131" t="n"/>
      <c r="F186" s="131" t="n"/>
      <c r="G186" s="131" t="n"/>
      <c r="H186" s="131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</row>
    <row r="187" ht="15.75" customHeight="1" s="673">
      <c r="A187" s="69" t="n"/>
      <c r="B187" s="131" t="n"/>
      <c r="C187" s="131" t="n"/>
      <c r="D187" s="131" t="n"/>
      <c r="E187" s="131" t="n"/>
      <c r="F187" s="131" t="n"/>
      <c r="G187" s="131" t="n"/>
      <c r="H187" s="131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</row>
    <row r="188" ht="15.75" customHeight="1" s="673">
      <c r="A188" s="69" t="n"/>
      <c r="B188" s="131" t="n"/>
      <c r="C188" s="131" t="n"/>
      <c r="D188" s="131" t="n"/>
      <c r="E188" s="131" t="n"/>
      <c r="F188" s="131" t="n"/>
      <c r="G188" s="131" t="n"/>
      <c r="H188" s="131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</row>
    <row r="189" ht="15.75" customHeight="1" s="673">
      <c r="A189" s="69" t="n"/>
      <c r="B189" s="131" t="n"/>
      <c r="C189" s="131" t="n"/>
      <c r="D189" s="131" t="n"/>
      <c r="E189" s="131" t="n"/>
      <c r="F189" s="131" t="n"/>
      <c r="G189" s="131" t="n"/>
      <c r="H189" s="131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</row>
    <row r="190" ht="15.75" customHeight="1" s="673">
      <c r="A190" s="69" t="n"/>
      <c r="B190" s="131" t="n"/>
      <c r="C190" s="131" t="n"/>
      <c r="D190" s="131" t="n"/>
      <c r="E190" s="131" t="n"/>
      <c r="F190" s="131" t="n"/>
      <c r="G190" s="131" t="n"/>
      <c r="H190" s="131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</row>
    <row r="191" ht="15.75" customHeight="1" s="673">
      <c r="A191" s="69" t="n"/>
      <c r="B191" s="131" t="n"/>
      <c r="C191" s="131" t="n"/>
      <c r="D191" s="131" t="n"/>
      <c r="E191" s="131" t="n"/>
      <c r="F191" s="131" t="n"/>
      <c r="G191" s="131" t="n"/>
      <c r="H191" s="131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</row>
    <row r="192" ht="15.75" customHeight="1" s="673">
      <c r="A192" s="69" t="n"/>
      <c r="B192" s="131" t="n"/>
      <c r="C192" s="131" t="n"/>
      <c r="D192" s="131" t="n"/>
      <c r="E192" s="131" t="n"/>
      <c r="F192" s="131" t="n"/>
      <c r="G192" s="131" t="n"/>
      <c r="H192" s="131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</row>
    <row r="193" ht="15.75" customHeight="1" s="673">
      <c r="A193" s="69" t="n"/>
      <c r="B193" s="131" t="n"/>
      <c r="C193" s="131" t="n"/>
      <c r="D193" s="131" t="n"/>
      <c r="E193" s="131" t="n"/>
      <c r="F193" s="131" t="n"/>
      <c r="G193" s="131" t="n"/>
      <c r="H193" s="131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</row>
    <row r="194" ht="15.75" customHeight="1" s="673">
      <c r="A194" s="69" t="n"/>
      <c r="B194" s="131" t="n"/>
      <c r="C194" s="131" t="n"/>
      <c r="D194" s="131" t="n"/>
      <c r="E194" s="131" t="n"/>
      <c r="F194" s="131" t="n"/>
      <c r="G194" s="131" t="n"/>
      <c r="H194" s="131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</row>
    <row r="195" ht="15.75" customHeight="1" s="673">
      <c r="A195" s="69" t="n"/>
      <c r="B195" s="131" t="n"/>
      <c r="C195" s="131" t="n"/>
      <c r="D195" s="131" t="n"/>
      <c r="E195" s="131" t="n"/>
      <c r="F195" s="131" t="n"/>
      <c r="G195" s="131" t="n"/>
      <c r="H195" s="131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</row>
    <row r="196" ht="15.75" customHeight="1" s="673">
      <c r="A196" s="69" t="n"/>
      <c r="B196" s="131" t="n"/>
      <c r="C196" s="131" t="n"/>
      <c r="D196" s="131" t="n"/>
      <c r="E196" s="131" t="n"/>
      <c r="F196" s="131" t="n"/>
      <c r="G196" s="131" t="n"/>
      <c r="H196" s="131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</row>
    <row r="197" ht="15.75" customHeight="1" s="673">
      <c r="A197" s="69" t="n"/>
      <c r="B197" s="131" t="n"/>
      <c r="C197" s="131" t="n"/>
      <c r="D197" s="131" t="n"/>
      <c r="E197" s="131" t="n"/>
      <c r="F197" s="131" t="n"/>
      <c r="G197" s="131" t="n"/>
      <c r="H197" s="131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</row>
    <row r="198" ht="15.75" customHeight="1" s="673">
      <c r="A198" s="69" t="n"/>
      <c r="B198" s="131" t="n"/>
      <c r="C198" s="131" t="n"/>
      <c r="D198" s="131" t="n"/>
      <c r="E198" s="131" t="n"/>
      <c r="F198" s="131" t="n"/>
      <c r="G198" s="131" t="n"/>
      <c r="H198" s="131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</row>
    <row r="199" ht="15.75" customHeight="1" s="673">
      <c r="A199" s="69" t="n"/>
      <c r="B199" s="131" t="n"/>
      <c r="C199" s="131" t="n"/>
      <c r="D199" s="131" t="n"/>
      <c r="E199" s="131" t="n"/>
      <c r="F199" s="131" t="n"/>
      <c r="G199" s="131" t="n"/>
      <c r="H199" s="131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</row>
    <row r="200" ht="15.75" customHeight="1" s="673">
      <c r="A200" s="69" t="n"/>
      <c r="B200" s="131" t="n"/>
      <c r="C200" s="131" t="n"/>
      <c r="D200" s="131" t="n"/>
      <c r="E200" s="131" t="n"/>
      <c r="F200" s="131" t="n"/>
      <c r="G200" s="131" t="n"/>
      <c r="H200" s="131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</row>
    <row r="201" ht="15.75" customHeight="1" s="673">
      <c r="A201" s="69" t="n"/>
      <c r="B201" s="131" t="n"/>
      <c r="C201" s="131" t="n"/>
      <c r="D201" s="131" t="n"/>
      <c r="E201" s="131" t="n"/>
      <c r="F201" s="131" t="n"/>
      <c r="G201" s="131" t="n"/>
      <c r="H201" s="131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</row>
    <row r="202" ht="15.75" customHeight="1" s="673">
      <c r="A202" s="69" t="n"/>
      <c r="B202" s="131" t="n"/>
      <c r="C202" s="131" t="n"/>
      <c r="D202" s="131" t="n"/>
      <c r="E202" s="131" t="n"/>
      <c r="F202" s="131" t="n"/>
      <c r="G202" s="131" t="n"/>
      <c r="H202" s="131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</row>
    <row r="203" ht="15.75" customHeight="1" s="673">
      <c r="A203" s="69" t="n"/>
      <c r="B203" s="131" t="n"/>
      <c r="C203" s="131" t="n"/>
      <c r="D203" s="131" t="n"/>
      <c r="E203" s="131" t="n"/>
      <c r="F203" s="131" t="n"/>
      <c r="G203" s="131" t="n"/>
      <c r="H203" s="131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</row>
    <row r="204" ht="15.75" customHeight="1" s="673">
      <c r="A204" s="69" t="n"/>
      <c r="B204" s="131" t="n"/>
      <c r="C204" s="131" t="n"/>
      <c r="D204" s="131" t="n"/>
      <c r="E204" s="131" t="n"/>
      <c r="F204" s="131" t="n"/>
      <c r="G204" s="131" t="n"/>
      <c r="H204" s="131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</row>
    <row r="205" ht="15.75" customHeight="1" s="673">
      <c r="A205" s="69" t="n"/>
      <c r="B205" s="131" t="n"/>
      <c r="C205" s="131" t="n"/>
      <c r="D205" s="131" t="n"/>
      <c r="E205" s="131" t="n"/>
      <c r="F205" s="131" t="n"/>
      <c r="G205" s="131" t="n"/>
      <c r="H205" s="131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</row>
    <row r="206" ht="15.75" customHeight="1" s="673">
      <c r="A206" s="69" t="n"/>
      <c r="B206" s="131" t="n"/>
      <c r="C206" s="131" t="n"/>
      <c r="D206" s="131" t="n"/>
      <c r="E206" s="131" t="n"/>
      <c r="F206" s="131" t="n"/>
      <c r="G206" s="131" t="n"/>
      <c r="H206" s="131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</row>
    <row r="207" ht="15.75" customHeight="1" s="673">
      <c r="A207" s="69" t="n"/>
      <c r="B207" s="131" t="n"/>
      <c r="C207" s="131" t="n"/>
      <c r="D207" s="131" t="n"/>
      <c r="E207" s="131" t="n"/>
      <c r="F207" s="131" t="n"/>
      <c r="G207" s="131" t="n"/>
      <c r="H207" s="131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</row>
    <row r="208" ht="15.75" customHeight="1" s="673">
      <c r="A208" s="69" t="n"/>
      <c r="B208" s="131" t="n"/>
      <c r="C208" s="131" t="n"/>
      <c r="D208" s="131" t="n"/>
      <c r="E208" s="131" t="n"/>
      <c r="F208" s="131" t="n"/>
      <c r="G208" s="131" t="n"/>
      <c r="H208" s="131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</row>
    <row r="209" ht="15.75" customHeight="1" s="673">
      <c r="A209" s="69" t="n"/>
      <c r="B209" s="131" t="n"/>
      <c r="C209" s="131" t="n"/>
      <c r="D209" s="131" t="n"/>
      <c r="E209" s="131" t="n"/>
      <c r="F209" s="131" t="n"/>
      <c r="G209" s="131" t="n"/>
      <c r="H209" s="131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</row>
    <row r="210" ht="15.75" customHeight="1" s="673">
      <c r="A210" s="69" t="n"/>
      <c r="B210" s="131" t="n"/>
      <c r="C210" s="131" t="n"/>
      <c r="D210" s="131" t="n"/>
      <c r="E210" s="131" t="n"/>
      <c r="F210" s="131" t="n"/>
      <c r="G210" s="131" t="n"/>
      <c r="H210" s="131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</row>
    <row r="211" ht="15.75" customHeight="1" s="673">
      <c r="A211" s="69" t="n"/>
      <c r="B211" s="131" t="n"/>
      <c r="C211" s="131" t="n"/>
      <c r="D211" s="131" t="n"/>
      <c r="E211" s="131" t="n"/>
      <c r="F211" s="131" t="n"/>
      <c r="G211" s="131" t="n"/>
      <c r="H211" s="131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  <c r="Z211" s="69" t="n"/>
    </row>
    <row r="212" ht="15.75" customHeight="1" s="673">
      <c r="A212" s="69" t="n"/>
      <c r="B212" s="131" t="n"/>
      <c r="C212" s="131" t="n"/>
      <c r="D212" s="131" t="n"/>
      <c r="E212" s="131" t="n"/>
      <c r="F212" s="131" t="n"/>
      <c r="G212" s="131" t="n"/>
      <c r="H212" s="131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</row>
    <row r="213" ht="15.75" customHeight="1" s="673">
      <c r="A213" s="69" t="n"/>
      <c r="B213" s="131" t="n"/>
      <c r="C213" s="131" t="n"/>
      <c r="D213" s="131" t="n"/>
      <c r="E213" s="131" t="n"/>
      <c r="F213" s="131" t="n"/>
      <c r="G213" s="131" t="n"/>
      <c r="H213" s="131" t="n"/>
      <c r="I213" s="69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  <c r="Z213" s="69" t="n"/>
    </row>
    <row r="214" ht="15.75" customHeight="1" s="673">
      <c r="A214" s="69" t="n"/>
      <c r="B214" s="131" t="n"/>
      <c r="C214" s="131" t="n"/>
      <c r="D214" s="131" t="n"/>
      <c r="E214" s="131" t="n"/>
      <c r="F214" s="131" t="n"/>
      <c r="G214" s="131" t="n"/>
      <c r="H214" s="131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</row>
    <row r="215" ht="15.75" customHeight="1" s="673">
      <c r="A215" s="69" t="n"/>
      <c r="B215" s="131" t="n"/>
      <c r="C215" s="131" t="n"/>
      <c r="D215" s="131" t="n"/>
      <c r="E215" s="131" t="n"/>
      <c r="F215" s="131" t="n"/>
      <c r="G215" s="131" t="n"/>
      <c r="H215" s="131" t="n"/>
      <c r="I215" s="69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</row>
    <row r="216" ht="15.75" customHeight="1" s="673">
      <c r="A216" s="69" t="n"/>
      <c r="B216" s="131" t="n"/>
      <c r="C216" s="131" t="n"/>
      <c r="D216" s="131" t="n"/>
      <c r="E216" s="131" t="n"/>
      <c r="F216" s="131" t="n"/>
      <c r="G216" s="131" t="n"/>
      <c r="H216" s="131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</row>
    <row r="217" ht="15.75" customHeight="1" s="673">
      <c r="A217" s="69" t="n"/>
      <c r="B217" s="131" t="n"/>
      <c r="C217" s="131" t="n"/>
      <c r="D217" s="131" t="n"/>
      <c r="E217" s="131" t="n"/>
      <c r="F217" s="131" t="n"/>
      <c r="G217" s="131" t="n"/>
      <c r="H217" s="131" t="n"/>
      <c r="I217" s="69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  <c r="Z217" s="69" t="n"/>
    </row>
    <row r="218" ht="15.75" customHeight="1" s="673">
      <c r="A218" s="69" t="n"/>
      <c r="B218" s="131" t="n"/>
      <c r="C218" s="131" t="n"/>
      <c r="D218" s="131" t="n"/>
      <c r="E218" s="131" t="n"/>
      <c r="F218" s="131" t="n"/>
      <c r="G218" s="131" t="n"/>
      <c r="H218" s="131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</row>
    <row r="219" ht="15.75" customHeight="1" s="673">
      <c r="A219" s="69" t="n"/>
      <c r="B219" s="131" t="n"/>
      <c r="C219" s="131" t="n"/>
      <c r="D219" s="131" t="n"/>
      <c r="E219" s="131" t="n"/>
      <c r="F219" s="131" t="n"/>
      <c r="G219" s="131" t="n"/>
      <c r="H219" s="131" t="n"/>
      <c r="I219" s="69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  <c r="Z219" s="69" t="n"/>
    </row>
    <row r="220" ht="15.75" customHeight="1" s="673">
      <c r="A220" s="69" t="n"/>
      <c r="B220" s="131" t="n"/>
      <c r="C220" s="131" t="n"/>
      <c r="D220" s="131" t="n"/>
      <c r="E220" s="131" t="n"/>
      <c r="F220" s="131" t="n"/>
      <c r="G220" s="131" t="n"/>
      <c r="H220" s="131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</row>
    <row r="221" ht="15.75" customHeight="1" s="673">
      <c r="A221" s="69" t="n"/>
      <c r="B221" s="131" t="n"/>
      <c r="C221" s="131" t="n"/>
      <c r="D221" s="131" t="n"/>
      <c r="E221" s="131" t="n"/>
      <c r="F221" s="131" t="n"/>
      <c r="G221" s="131" t="n"/>
      <c r="H221" s="131" t="n"/>
      <c r="I221" s="69" t="n"/>
      <c r="J221" s="69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</row>
    <row r="222" ht="15.75" customHeight="1" s="673">
      <c r="A222" s="69" t="n"/>
      <c r="B222" s="131" t="n"/>
      <c r="C222" s="131" t="n"/>
      <c r="D222" s="131" t="n"/>
      <c r="E222" s="131" t="n"/>
      <c r="F222" s="131" t="n"/>
      <c r="G222" s="131" t="n"/>
      <c r="H222" s="131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</row>
    <row r="223" ht="15.75" customHeight="1" s="673">
      <c r="A223" s="69" t="n"/>
      <c r="B223" s="131" t="n"/>
      <c r="C223" s="131" t="n"/>
      <c r="D223" s="131" t="n"/>
      <c r="E223" s="131" t="n"/>
      <c r="F223" s="131" t="n"/>
      <c r="G223" s="131" t="n"/>
      <c r="H223" s="131" t="n"/>
      <c r="I223" s="69" t="n"/>
      <c r="J223" s="69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  <c r="Z223" s="69" t="n"/>
    </row>
    <row r="224" ht="15.75" customHeight="1" s="673">
      <c r="A224" s="69" t="n"/>
      <c r="B224" s="131" t="n"/>
      <c r="C224" s="131" t="n"/>
      <c r="D224" s="131" t="n"/>
      <c r="E224" s="131" t="n"/>
      <c r="F224" s="131" t="n"/>
      <c r="G224" s="131" t="n"/>
      <c r="H224" s="131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</row>
    <row r="225" ht="15.75" customHeight="1" s="673">
      <c r="A225" s="69" t="n"/>
      <c r="B225" s="131" t="n"/>
      <c r="C225" s="131" t="n"/>
      <c r="D225" s="131" t="n"/>
      <c r="E225" s="131" t="n"/>
      <c r="F225" s="131" t="n"/>
      <c r="G225" s="131" t="n"/>
      <c r="H225" s="131" t="n"/>
      <c r="I225" s="69" t="n"/>
      <c r="J225" s="69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  <c r="Z225" s="69" t="n"/>
    </row>
    <row r="226" ht="15.75" customHeight="1" s="673">
      <c r="A226" s="69" t="n"/>
      <c r="B226" s="131" t="n"/>
      <c r="C226" s="131" t="n"/>
      <c r="D226" s="131" t="n"/>
      <c r="E226" s="131" t="n"/>
      <c r="F226" s="131" t="n"/>
      <c r="G226" s="131" t="n"/>
      <c r="H226" s="131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</row>
    <row r="227" ht="15.75" customHeight="1" s="673">
      <c r="A227" s="69" t="n"/>
      <c r="B227" s="131" t="n"/>
      <c r="C227" s="131" t="n"/>
      <c r="D227" s="131" t="n"/>
      <c r="E227" s="131" t="n"/>
      <c r="F227" s="131" t="n"/>
      <c r="G227" s="131" t="n"/>
      <c r="H227" s="131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  <c r="Z227" s="69" t="n"/>
    </row>
    <row r="228" ht="15.75" customHeight="1" s="673">
      <c r="A228" s="69" t="n"/>
      <c r="B228" s="131" t="n"/>
      <c r="C228" s="131" t="n"/>
      <c r="D228" s="131" t="n"/>
      <c r="E228" s="131" t="n"/>
      <c r="F228" s="131" t="n"/>
      <c r="G228" s="131" t="n"/>
      <c r="H228" s="131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</row>
    <row r="229" ht="15.75" customHeight="1" s="673">
      <c r="A229" s="69" t="n"/>
      <c r="B229" s="131" t="n"/>
      <c r="C229" s="131" t="n"/>
      <c r="D229" s="131" t="n"/>
      <c r="E229" s="131" t="n"/>
      <c r="F229" s="131" t="n"/>
      <c r="G229" s="131" t="n"/>
      <c r="H229" s="131" t="n"/>
      <c r="I229" s="69" t="n"/>
      <c r="J229" s="69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  <c r="Z229" s="69" t="n"/>
    </row>
    <row r="230" ht="15.75" customHeight="1" s="673">
      <c r="A230" s="69" t="n"/>
      <c r="B230" s="131" t="n"/>
      <c r="C230" s="131" t="n"/>
      <c r="D230" s="131" t="n"/>
      <c r="E230" s="131" t="n"/>
      <c r="F230" s="131" t="n"/>
      <c r="G230" s="131" t="n"/>
      <c r="H230" s="131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</row>
    <row r="231" ht="15.75" customHeight="1" s="673">
      <c r="A231" s="69" t="n"/>
      <c r="B231" s="131" t="n"/>
      <c r="C231" s="131" t="n"/>
      <c r="D231" s="131" t="n"/>
      <c r="E231" s="131" t="n"/>
      <c r="F231" s="131" t="n"/>
      <c r="G231" s="131" t="n"/>
      <c r="H231" s="131" t="n"/>
      <c r="I231" s="69" t="n"/>
      <c r="J231" s="69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  <c r="Z231" s="69" t="n"/>
    </row>
    <row r="232" ht="15.75" customHeight="1" s="673">
      <c r="A232" s="69" t="n"/>
      <c r="B232" s="131" t="n"/>
      <c r="C232" s="131" t="n"/>
      <c r="D232" s="131" t="n"/>
      <c r="E232" s="131" t="n"/>
      <c r="F232" s="131" t="n"/>
      <c r="G232" s="131" t="n"/>
      <c r="H232" s="131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</row>
    <row r="233" ht="15.75" customHeight="1" s="673">
      <c r="A233" s="69" t="n"/>
      <c r="B233" s="131" t="n"/>
      <c r="C233" s="131" t="n"/>
      <c r="D233" s="131" t="n"/>
      <c r="E233" s="131" t="n"/>
      <c r="F233" s="131" t="n"/>
      <c r="G233" s="131" t="n"/>
      <c r="H233" s="131" t="n"/>
      <c r="I233" s="69" t="n"/>
      <c r="J233" s="69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  <c r="Z233" s="69" t="n"/>
    </row>
    <row r="234" ht="15.75" customHeight="1" s="673">
      <c r="A234" s="69" t="n"/>
      <c r="B234" s="131" t="n"/>
      <c r="C234" s="131" t="n"/>
      <c r="D234" s="131" t="n"/>
      <c r="E234" s="131" t="n"/>
      <c r="F234" s="131" t="n"/>
      <c r="G234" s="131" t="n"/>
      <c r="H234" s="131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</row>
    <row r="235" ht="15.75" customHeight="1" s="673">
      <c r="A235" s="69" t="n"/>
      <c r="B235" s="131" t="n"/>
      <c r="C235" s="131" t="n"/>
      <c r="D235" s="131" t="n"/>
      <c r="E235" s="131" t="n"/>
      <c r="F235" s="131" t="n"/>
      <c r="G235" s="131" t="n"/>
      <c r="H235" s="131" t="n"/>
      <c r="I235" s="69" t="n"/>
      <c r="J235" s="69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  <c r="Z235" s="69" t="n"/>
    </row>
    <row r="236" ht="15.75" customHeight="1" s="673">
      <c r="A236" s="69" t="n"/>
      <c r="B236" s="131" t="n"/>
      <c r="C236" s="131" t="n"/>
      <c r="D236" s="131" t="n"/>
      <c r="E236" s="131" t="n"/>
      <c r="F236" s="131" t="n"/>
      <c r="G236" s="131" t="n"/>
      <c r="H236" s="131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</row>
    <row r="237" ht="15.75" customHeight="1" s="673">
      <c r="A237" s="69" t="n"/>
      <c r="B237" s="131" t="n"/>
      <c r="C237" s="131" t="n"/>
      <c r="D237" s="131" t="n"/>
      <c r="E237" s="131" t="n"/>
      <c r="F237" s="131" t="n"/>
      <c r="G237" s="131" t="n"/>
      <c r="H237" s="131" t="n"/>
      <c r="I237" s="69" t="n"/>
      <c r="J237" s="69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  <c r="Z237" s="69" t="n"/>
    </row>
    <row r="238" ht="15.75" customHeight="1" s="673">
      <c r="A238" s="69" t="n"/>
      <c r="B238" s="131" t="n"/>
      <c r="C238" s="131" t="n"/>
      <c r="D238" s="131" t="n"/>
      <c r="E238" s="131" t="n"/>
      <c r="F238" s="131" t="n"/>
      <c r="G238" s="131" t="n"/>
      <c r="H238" s="131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</row>
    <row r="239" ht="15.75" customHeight="1" s="673">
      <c r="A239" s="69" t="n"/>
      <c r="B239" s="131" t="n"/>
      <c r="C239" s="131" t="n"/>
      <c r="D239" s="131" t="n"/>
      <c r="E239" s="131" t="n"/>
      <c r="F239" s="131" t="n"/>
      <c r="G239" s="131" t="n"/>
      <c r="H239" s="131" t="n"/>
      <c r="I239" s="69" t="n"/>
      <c r="J239" s="69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  <c r="Z239" s="69" t="n"/>
    </row>
    <row r="240" ht="15.75" customHeight="1" s="673">
      <c r="A240" s="69" t="n"/>
      <c r="B240" s="131" t="n"/>
      <c r="C240" s="131" t="n"/>
      <c r="D240" s="131" t="n"/>
      <c r="E240" s="131" t="n"/>
      <c r="F240" s="131" t="n"/>
      <c r="G240" s="131" t="n"/>
      <c r="H240" s="131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</row>
    <row r="241" ht="15.75" customHeight="1" s="673">
      <c r="A241" s="69" t="n"/>
      <c r="B241" s="131" t="n"/>
      <c r="C241" s="131" t="n"/>
      <c r="D241" s="131" t="n"/>
      <c r="E241" s="131" t="n"/>
      <c r="F241" s="131" t="n"/>
      <c r="G241" s="131" t="n"/>
      <c r="H241" s="131" t="n"/>
      <c r="I241" s="69" t="n"/>
      <c r="J241" s="69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  <c r="Z241" s="69" t="n"/>
    </row>
    <row r="242" ht="15.75" customHeight="1" s="673">
      <c r="A242" s="69" t="n"/>
      <c r="B242" s="131" t="n"/>
      <c r="C242" s="131" t="n"/>
      <c r="D242" s="131" t="n"/>
      <c r="E242" s="131" t="n"/>
      <c r="F242" s="131" t="n"/>
      <c r="G242" s="131" t="n"/>
      <c r="H242" s="131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</row>
    <row r="243" ht="15.75" customHeight="1" s="673">
      <c r="A243" s="69" t="n"/>
      <c r="B243" s="131" t="n"/>
      <c r="C243" s="131" t="n"/>
      <c r="D243" s="131" t="n"/>
      <c r="E243" s="131" t="n"/>
      <c r="F243" s="131" t="n"/>
      <c r="G243" s="131" t="n"/>
      <c r="H243" s="131" t="n"/>
      <c r="I243" s="69" t="n"/>
      <c r="J243" s="69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  <c r="Z243" s="69" t="n"/>
    </row>
    <row r="244" ht="15.75" customHeight="1" s="673">
      <c r="A244" s="69" t="n"/>
      <c r="B244" s="131" t="n"/>
      <c r="C244" s="131" t="n"/>
      <c r="D244" s="131" t="n"/>
      <c r="E244" s="131" t="n"/>
      <c r="F244" s="131" t="n"/>
      <c r="G244" s="131" t="n"/>
      <c r="H244" s="131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</row>
    <row r="245" ht="15.75" customHeight="1" s="673">
      <c r="A245" s="69" t="n"/>
      <c r="B245" s="131" t="n"/>
      <c r="C245" s="131" t="n"/>
      <c r="D245" s="131" t="n"/>
      <c r="E245" s="131" t="n"/>
      <c r="F245" s="131" t="n"/>
      <c r="G245" s="131" t="n"/>
      <c r="H245" s="131" t="n"/>
      <c r="I245" s="69" t="n"/>
      <c r="J245" s="69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  <c r="Z245" s="69" t="n"/>
    </row>
    <row r="246" ht="15.75" customHeight="1" s="673">
      <c r="A246" s="69" t="n"/>
      <c r="B246" s="131" t="n"/>
      <c r="C246" s="131" t="n"/>
      <c r="D246" s="131" t="n"/>
      <c r="E246" s="131" t="n"/>
      <c r="F246" s="131" t="n"/>
      <c r="G246" s="131" t="n"/>
      <c r="H246" s="131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  <c r="Z246" s="69" t="n"/>
    </row>
    <row r="247" ht="15.75" customHeight="1" s="673">
      <c r="A247" s="69" t="n"/>
      <c r="B247" s="131" t="n"/>
      <c r="C247" s="131" t="n"/>
      <c r="D247" s="131" t="n"/>
      <c r="E247" s="131" t="n"/>
      <c r="F247" s="131" t="n"/>
      <c r="G247" s="131" t="n"/>
      <c r="H247" s="131" t="n"/>
      <c r="I247" s="69" t="n"/>
      <c r="J247" s="69" t="n"/>
      <c r="K247" s="69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  <c r="Z247" s="69" t="n"/>
    </row>
    <row r="248" ht="15.75" customHeight="1" s="673">
      <c r="A248" s="69" t="n"/>
      <c r="B248" s="131" t="n"/>
      <c r="C248" s="131" t="n"/>
      <c r="D248" s="131" t="n"/>
      <c r="E248" s="131" t="n"/>
      <c r="F248" s="131" t="n"/>
      <c r="G248" s="131" t="n"/>
      <c r="H248" s="131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</row>
    <row r="249" ht="15.75" customHeight="1" s="673">
      <c r="A249" s="69" t="n"/>
      <c r="B249" s="131" t="n"/>
      <c r="C249" s="131" t="n"/>
      <c r="D249" s="131" t="n"/>
      <c r="E249" s="131" t="n"/>
      <c r="F249" s="131" t="n"/>
      <c r="G249" s="131" t="n"/>
      <c r="H249" s="131" t="n"/>
      <c r="I249" s="69" t="n"/>
      <c r="J249" s="69" t="n"/>
      <c r="K249" s="69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  <c r="Z249" s="69" t="n"/>
    </row>
    <row r="250" ht="15.75" customHeight="1" s="673">
      <c r="A250" s="69" t="n"/>
      <c r="B250" s="131" t="n"/>
      <c r="C250" s="131" t="n"/>
      <c r="D250" s="131" t="n"/>
      <c r="E250" s="131" t="n"/>
      <c r="F250" s="131" t="n"/>
      <c r="G250" s="131" t="n"/>
      <c r="H250" s="131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</row>
    <row r="251" ht="15.75" customHeight="1" s="673">
      <c r="A251" s="69" t="n"/>
      <c r="B251" s="131" t="n"/>
      <c r="C251" s="131" t="n"/>
      <c r="D251" s="131" t="n"/>
      <c r="E251" s="131" t="n"/>
      <c r="F251" s="131" t="n"/>
      <c r="G251" s="131" t="n"/>
      <c r="H251" s="131" t="n"/>
      <c r="I251" s="69" t="n"/>
      <c r="J251" s="69" t="n"/>
      <c r="K251" s="69" t="n"/>
      <c r="L251" s="69" t="n"/>
      <c r="M251" s="69" t="n"/>
      <c r="N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W251" s="69" t="n"/>
      <c r="X251" s="69" t="n"/>
      <c r="Y251" s="69" t="n"/>
      <c r="Z251" s="69" t="n"/>
    </row>
    <row r="252" ht="15.75" customHeight="1" s="673">
      <c r="A252" s="69" t="n"/>
      <c r="B252" s="131" t="n"/>
      <c r="C252" s="131" t="n"/>
      <c r="D252" s="131" t="n"/>
      <c r="E252" s="131" t="n"/>
      <c r="F252" s="131" t="n"/>
      <c r="G252" s="131" t="n"/>
      <c r="H252" s="131" t="n"/>
      <c r="I252" s="69" t="n"/>
      <c r="J252" s="69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  <c r="Z252" s="69" t="n"/>
    </row>
    <row r="253" ht="15.75" customHeight="1" s="673">
      <c r="A253" s="52" t="n"/>
      <c r="B253" s="52" t="n"/>
      <c r="C253" s="52" t="n"/>
      <c r="D253" s="52" t="n"/>
      <c r="E253" s="52" t="n"/>
      <c r="F253" s="52" t="n"/>
      <c r="G253" s="52" t="n"/>
      <c r="H253" s="52" t="n"/>
      <c r="I253" s="52" t="n"/>
      <c r="J253" s="52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  <c r="X253" s="52" t="n"/>
      <c r="Y253" s="52" t="n"/>
      <c r="Z253" s="52" t="n"/>
    </row>
    <row r="254" ht="15.75" customHeight="1" s="673">
      <c r="A254" s="52" t="n"/>
      <c r="B254" s="52" t="n"/>
      <c r="C254" s="52" t="n"/>
      <c r="D254" s="52" t="n"/>
      <c r="E254" s="52" t="n"/>
      <c r="F254" s="52" t="n"/>
      <c r="G254" s="52" t="n"/>
      <c r="H254" s="52" t="n"/>
      <c r="I254" s="52" t="n"/>
      <c r="J254" s="52" t="n"/>
      <c r="K254" s="52" t="n"/>
      <c r="L254" s="52" t="n"/>
      <c r="M254" s="52" t="n"/>
      <c r="N254" s="52" t="n"/>
      <c r="O254" s="52" t="n"/>
      <c r="P254" s="52" t="n"/>
      <c r="Q254" s="52" t="n"/>
      <c r="R254" s="52" t="n"/>
      <c r="S254" s="52" t="n"/>
      <c r="T254" s="52" t="n"/>
      <c r="U254" s="52" t="n"/>
      <c r="V254" s="52" t="n"/>
      <c r="W254" s="52" t="n"/>
      <c r="X254" s="52" t="n"/>
      <c r="Y254" s="52" t="n"/>
      <c r="Z254" s="52" t="n"/>
    </row>
    <row r="255" ht="15.75" customHeight="1" s="673">
      <c r="A255" s="52" t="n"/>
      <c r="B255" s="52" t="n"/>
      <c r="C255" s="52" t="n"/>
      <c r="D255" s="52" t="n"/>
      <c r="E255" s="52" t="n"/>
      <c r="F255" s="52" t="n"/>
      <c r="G255" s="52" t="n"/>
      <c r="H255" s="52" t="n"/>
      <c r="I255" s="52" t="n"/>
      <c r="J255" s="52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52" t="n"/>
      <c r="T255" s="52" t="n"/>
      <c r="U255" s="52" t="n"/>
      <c r="V255" s="52" t="n"/>
      <c r="W255" s="52" t="n"/>
      <c r="X255" s="52" t="n"/>
      <c r="Y255" s="52" t="n"/>
      <c r="Z255" s="52" t="n"/>
    </row>
    <row r="256" ht="15.75" customHeight="1" s="673">
      <c r="A256" s="52" t="n"/>
      <c r="B256" s="52" t="n"/>
      <c r="C256" s="52" t="n"/>
      <c r="D256" s="52" t="n"/>
      <c r="E256" s="52" t="n"/>
      <c r="F256" s="52" t="n"/>
      <c r="G256" s="52" t="n"/>
      <c r="H256" s="52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  <c r="X256" s="52" t="n"/>
      <c r="Y256" s="52" t="n"/>
      <c r="Z256" s="52" t="n"/>
    </row>
    <row r="257" ht="15.75" customHeight="1" s="673">
      <c r="A257" s="52" t="n"/>
      <c r="B257" s="52" t="n"/>
      <c r="C257" s="52" t="n"/>
      <c r="D257" s="52" t="n"/>
      <c r="E257" s="52" t="n"/>
      <c r="F257" s="52" t="n"/>
      <c r="G257" s="52" t="n"/>
      <c r="H257" s="52" t="n"/>
      <c r="I257" s="52" t="n"/>
      <c r="J257" s="52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  <c r="X257" s="52" t="n"/>
      <c r="Y257" s="52" t="n"/>
      <c r="Z257" s="52" t="n"/>
    </row>
    <row r="258" ht="15.75" customHeight="1" s="673">
      <c r="A258" s="52" t="n"/>
      <c r="B258" s="52" t="n"/>
      <c r="C258" s="52" t="n"/>
      <c r="D258" s="52" t="n"/>
      <c r="E258" s="52" t="n"/>
      <c r="F258" s="52" t="n"/>
      <c r="G258" s="52" t="n"/>
      <c r="H258" s="52" t="n"/>
      <c r="I258" s="52" t="n"/>
      <c r="J258" s="52" t="n"/>
      <c r="K258" s="52" t="n"/>
      <c r="L258" s="52" t="n"/>
      <c r="M258" s="52" t="n"/>
      <c r="N258" s="52" t="n"/>
      <c r="O258" s="52" t="n"/>
      <c r="P258" s="52" t="n"/>
      <c r="Q258" s="52" t="n"/>
      <c r="R258" s="52" t="n"/>
      <c r="S258" s="52" t="n"/>
      <c r="T258" s="52" t="n"/>
      <c r="U258" s="52" t="n"/>
      <c r="V258" s="52" t="n"/>
      <c r="W258" s="52" t="n"/>
      <c r="X258" s="52" t="n"/>
      <c r="Y258" s="52" t="n"/>
      <c r="Z258" s="52" t="n"/>
    </row>
    <row r="259" ht="15.75" customHeight="1" s="673">
      <c r="A259" s="52" t="n"/>
      <c r="B259" s="52" t="n"/>
      <c r="C259" s="52" t="n"/>
      <c r="D259" s="52" t="n"/>
      <c r="E259" s="52" t="n"/>
      <c r="F259" s="52" t="n"/>
      <c r="G259" s="52" t="n"/>
      <c r="H259" s="52" t="n"/>
      <c r="I259" s="52" t="n"/>
      <c r="J259" s="52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  <c r="X259" s="52" t="n"/>
      <c r="Y259" s="52" t="n"/>
      <c r="Z259" s="52" t="n"/>
    </row>
    <row r="260" ht="15.75" customHeight="1" s="673">
      <c r="A260" s="52" t="n"/>
      <c r="B260" s="52" t="n"/>
      <c r="C260" s="52" t="n"/>
      <c r="D260" s="52" t="n"/>
      <c r="E260" s="52" t="n"/>
      <c r="F260" s="52" t="n"/>
      <c r="G260" s="52" t="n"/>
      <c r="H260" s="52" t="n"/>
      <c r="I260" s="52" t="n"/>
      <c r="J260" s="52" t="n"/>
      <c r="K260" s="52" t="n"/>
      <c r="L260" s="52" t="n"/>
      <c r="M260" s="52" t="n"/>
      <c r="N260" s="52" t="n"/>
      <c r="O260" s="52" t="n"/>
      <c r="P260" s="52" t="n"/>
      <c r="Q260" s="52" t="n"/>
      <c r="R260" s="52" t="n"/>
      <c r="S260" s="52" t="n"/>
      <c r="T260" s="52" t="n"/>
      <c r="U260" s="52" t="n"/>
      <c r="V260" s="52" t="n"/>
      <c r="W260" s="52" t="n"/>
      <c r="X260" s="52" t="n"/>
      <c r="Y260" s="52" t="n"/>
      <c r="Z260" s="52" t="n"/>
    </row>
    <row r="261" ht="15.75" customHeight="1" s="673">
      <c r="A261" s="52" t="n"/>
      <c r="B261" s="52" t="n"/>
      <c r="C261" s="52" t="n"/>
      <c r="D261" s="52" t="n"/>
      <c r="E261" s="52" t="n"/>
      <c r="F261" s="52" t="n"/>
      <c r="G261" s="52" t="n"/>
      <c r="H261" s="52" t="n"/>
      <c r="I261" s="52" t="n"/>
      <c r="J261" s="52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  <c r="X261" s="52" t="n"/>
      <c r="Y261" s="52" t="n"/>
      <c r="Z261" s="52" t="n"/>
    </row>
    <row r="262" ht="15.75" customHeight="1" s="673">
      <c r="A262" s="52" t="n"/>
      <c r="B262" s="52" t="n"/>
      <c r="C262" s="52" t="n"/>
      <c r="D262" s="52" t="n"/>
      <c r="E262" s="52" t="n"/>
      <c r="F262" s="52" t="n"/>
      <c r="G262" s="52" t="n"/>
      <c r="H262" s="52" t="n"/>
      <c r="I262" s="52" t="n"/>
      <c r="J262" s="52" t="n"/>
      <c r="K262" s="52" t="n"/>
      <c r="L262" s="52" t="n"/>
      <c r="M262" s="52" t="n"/>
      <c r="N262" s="52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  <c r="X262" s="52" t="n"/>
      <c r="Y262" s="52" t="n"/>
      <c r="Z262" s="52" t="n"/>
    </row>
    <row r="263" ht="15.75" customHeight="1" s="673">
      <c r="A263" s="52" t="n"/>
      <c r="B263" s="52" t="n"/>
      <c r="C263" s="52" t="n"/>
      <c r="D263" s="52" t="n"/>
      <c r="E263" s="52" t="n"/>
      <c r="F263" s="52" t="n"/>
      <c r="G263" s="52" t="n"/>
      <c r="H263" s="52" t="n"/>
      <c r="I263" s="52" t="n"/>
      <c r="J263" s="52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  <c r="X263" s="52" t="n"/>
      <c r="Y263" s="52" t="n"/>
      <c r="Z263" s="52" t="n"/>
    </row>
    <row r="264" ht="15.75" customHeight="1" s="673">
      <c r="A264" s="52" t="n"/>
      <c r="B264" s="52" t="n"/>
      <c r="C264" s="52" t="n"/>
      <c r="D264" s="52" t="n"/>
      <c r="E264" s="52" t="n"/>
      <c r="F264" s="52" t="n"/>
      <c r="G264" s="52" t="n"/>
      <c r="H264" s="52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  <c r="X264" s="52" t="n"/>
      <c r="Y264" s="52" t="n"/>
      <c r="Z264" s="52" t="n"/>
    </row>
    <row r="265" ht="15.75" customHeight="1" s="673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  <c r="Z265" s="52" t="n"/>
    </row>
    <row r="266" ht="15.75" customHeight="1" s="673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</row>
    <row r="267" ht="15.75" customHeight="1" s="673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</row>
    <row r="268" ht="15.75" customHeight="1" s="673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</row>
    <row r="269" ht="15.75" customHeight="1" s="673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mergeCells count="2">
    <mergeCell ref="B52:C52"/>
    <mergeCell ref="B50:C50"/>
  </mergeCells>
  <conditionalFormatting sqref="E2:E9">
    <cfRule type="cellIs" priority="1" operator="lessThan" dxfId="2">
      <formula>0</formula>
    </cfRule>
  </conditionalFormatting>
  <conditionalFormatting sqref="E10">
    <cfRule type="cellIs" priority="2" operator="lessThan" dxfId="3">
      <formula>0</formula>
    </cfRule>
  </conditionalFormatting>
  <conditionalFormatting sqref="B26">
    <cfRule type="cellIs" priority="3" operator="equal" dxfId="4" stopIfTrue="1">
      <formula>"ARBITRAMENTO"</formula>
    </cfRule>
  </conditionalFormatting>
  <conditionalFormatting sqref="B27">
    <cfRule type="cellIs" priority="4" operator="equal" dxfId="9" stopIfTrue="1">
      <formula>"PREJUIZO ACUM."</formula>
    </cfRule>
  </conditionalFormatting>
  <pageMargins left="0.5905511811023623" right="0.5905511811023623" top="0.5905511811023623" bottom="0.5905511811023623" header="0" footer="0"/>
  <pageSetup orientation="landscape" paperSize="9"/>
</worksheet>
</file>

<file path=xl/worksheets/sheet17.xml><?xml version="1.0" encoding="utf-8"?>
<worksheet xmlns="http://schemas.openxmlformats.org/spreadsheetml/2006/main">
  <sheetPr>
    <tabColor rgb="FFFF9999"/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75" customWidth="1" style="673" min="1" max="1"/>
    <col width="9.130000000000001" customWidth="1" style="673" min="2" max="2"/>
    <col width="22.63" customWidth="1" style="673" min="3" max="3"/>
    <col width="23" customWidth="1" style="673" min="4" max="4"/>
    <col width="22.63" customWidth="1" style="673" min="5" max="5"/>
    <col width="11.75" customWidth="1" style="673" min="6" max="6"/>
    <col width="22.38" customWidth="1" style="673" min="7" max="7"/>
    <col width="22.63" customWidth="1" style="673" min="8" max="8"/>
    <col width="19.38" customWidth="1" style="673" min="9" max="9"/>
    <col width="21.13" customWidth="1" style="673" min="10" max="10"/>
    <col width="19.38" customWidth="1" style="673" min="11" max="11"/>
    <col width="21.13" customWidth="1" style="673" min="12" max="12"/>
    <col width="19.38" customWidth="1" style="673" min="13" max="14"/>
    <col width="22.38" customWidth="1" style="673" min="15" max="15"/>
    <col width="21.75" customWidth="1" style="673" min="16" max="17"/>
    <col width="9.130000000000001" customWidth="1" style="673" min="18" max="26"/>
  </cols>
  <sheetData>
    <row r="1" ht="30" customHeight="1" s="673">
      <c r="A1" s="500" t="n"/>
      <c r="B1" s="501" t="inlineStr">
        <is>
          <t>APURAÇÃO DE IMPOSTOS PESSOA JURÍDICA</t>
        </is>
      </c>
      <c r="C1" s="502" t="n"/>
      <c r="D1" s="502" t="n"/>
      <c r="E1" s="502" t="n"/>
      <c r="F1" s="502" t="n"/>
      <c r="G1" s="503" t="n"/>
      <c r="H1" s="501" t="n"/>
      <c r="I1" s="502" t="n"/>
      <c r="J1" s="502" t="n"/>
      <c r="K1" s="502" t="n"/>
      <c r="L1" s="502" t="n"/>
      <c r="M1" s="503" t="n"/>
      <c r="N1" s="501" t="n"/>
      <c r="O1" s="502" t="n"/>
      <c r="P1" s="502">
        <f>RECEITAS!I12</f>
        <v/>
      </c>
      <c r="Q1" s="502">
        <f>RECEITAS!J12</f>
        <v/>
      </c>
      <c r="R1" s="500" t="n"/>
      <c r="S1" s="500" t="n"/>
      <c r="T1" s="500" t="n"/>
      <c r="U1" s="500" t="n"/>
      <c r="V1" s="500" t="n"/>
      <c r="W1" s="500" t="n"/>
      <c r="X1" s="500" t="n"/>
      <c r="Y1" s="500" t="n"/>
      <c r="Z1" s="500" t="n"/>
    </row>
    <row r="2" ht="30" customHeight="1" s="673">
      <c r="A2" s="500" t="n"/>
      <c r="B2" s="504">
        <f>RECEITAS!B13</f>
        <v/>
      </c>
      <c r="C2" s="504" t="n"/>
      <c r="D2" s="504" t="n"/>
      <c r="E2" s="504" t="n"/>
      <c r="F2" s="504" t="n"/>
      <c r="G2" s="504" t="n"/>
      <c r="H2" s="504" t="n"/>
      <c r="I2" s="504" t="n"/>
      <c r="J2" s="504" t="n"/>
      <c r="K2" s="504" t="n"/>
      <c r="L2" s="504" t="n"/>
      <c r="M2" s="52" t="n"/>
      <c r="N2" s="52" t="n"/>
      <c r="O2" s="52" t="n"/>
      <c r="P2" s="52" t="n"/>
      <c r="Q2" s="52" t="n"/>
      <c r="R2" s="500" t="n"/>
      <c r="S2" s="500" t="n"/>
      <c r="T2" s="500" t="n"/>
      <c r="U2" s="500" t="n"/>
      <c r="V2" s="500" t="n"/>
      <c r="W2" s="500" t="n"/>
      <c r="X2" s="500" t="n"/>
      <c r="Y2" s="500" t="n"/>
      <c r="Z2" s="500" t="n"/>
    </row>
    <row r="3" ht="30" customHeight="1" s="673">
      <c r="A3" s="500" t="n"/>
      <c r="B3" s="504" t="n"/>
      <c r="C3" s="504" t="n"/>
      <c r="D3" s="504" t="n"/>
      <c r="E3" s="504" t="n"/>
      <c r="F3" s="504" t="n"/>
      <c r="G3" s="504" t="n"/>
      <c r="H3" s="504" t="n"/>
      <c r="I3" s="504" t="n"/>
      <c r="J3" s="504" t="n"/>
      <c r="K3" s="504" t="n"/>
      <c r="L3" s="504" t="n"/>
      <c r="M3" s="52" t="n"/>
      <c r="N3" s="52" t="n"/>
      <c r="O3" s="52" t="n"/>
      <c r="P3" s="52" t="n"/>
      <c r="Q3" s="52" t="n"/>
      <c r="R3" s="500" t="n"/>
      <c r="S3" s="500" t="n"/>
      <c r="T3" s="500" t="n"/>
      <c r="U3" s="500" t="n"/>
      <c r="V3" s="500" t="n"/>
      <c r="W3" s="500" t="n"/>
      <c r="X3" s="500" t="n"/>
      <c r="Y3" s="500" t="n"/>
      <c r="Z3" s="500" t="n"/>
    </row>
    <row r="4" ht="30" customHeight="1" s="673">
      <c r="A4" s="500" t="n"/>
      <c r="B4" s="734" t="inlineStr">
        <is>
          <t>Mês</t>
        </is>
      </c>
      <c r="C4" s="512" t="inlineStr">
        <is>
          <t>FATURAMENTO RECEITA</t>
        </is>
      </c>
      <c r="D4" s="735" t="inlineStr">
        <is>
          <t>FUNRURAL REGIME DE COMPETÊNCIA</t>
        </is>
      </c>
      <c r="E4" s="734" t="inlineStr">
        <is>
          <t>FATURAMENTO RECEBIDO</t>
        </is>
      </c>
      <c r="F4" s="512" t="inlineStr">
        <is>
          <t>PIS SUSPENSO/ISENTO</t>
        </is>
      </c>
      <c r="G4" s="512" t="inlineStr">
        <is>
          <t>COFINS SUSPENSO/ISENTO</t>
        </is>
      </c>
      <c r="H4" s="512" t="inlineStr">
        <is>
          <t>VALOR TOTAL TRIMESTRE</t>
        </is>
      </c>
      <c r="I4" s="512" t="inlineStr">
        <is>
          <t>GANHO VENDA IMOBILIZADO / APLICAÇÃO FINANCEIRA</t>
        </is>
      </c>
      <c r="J4" s="736" t="inlineStr">
        <is>
          <t>IRPJ E CSLL REGIME DE CAIXA</t>
        </is>
      </c>
      <c r="Q4" s="509" t="n"/>
      <c r="R4" s="500" t="n"/>
      <c r="S4" s="500" t="n"/>
      <c r="T4" s="500" t="n"/>
      <c r="U4" s="500" t="n"/>
      <c r="V4" s="500" t="n"/>
      <c r="W4" s="500" t="n"/>
      <c r="X4" s="500" t="n"/>
      <c r="Y4" s="500" t="n"/>
      <c r="Z4" s="500" t="n"/>
    </row>
    <row r="5" ht="60" customHeight="1" s="673">
      <c r="A5" s="510" t="n"/>
      <c r="J5" s="512" t="inlineStr">
        <is>
          <t>BASE CÁLCULO IPRJ 8%</t>
        </is>
      </c>
      <c r="K5" s="512" t="inlineStr">
        <is>
          <t>IPRJ 15% CÓDIGO: 2089</t>
        </is>
      </c>
      <c r="L5" s="512" t="inlineStr">
        <is>
          <t>Excedente  R$ 60 MIL da base de cálculo IPRJ</t>
        </is>
      </c>
      <c r="M5" s="506" t="inlineStr">
        <is>
          <t>ADICIONAL IPRJ 10%</t>
        </is>
      </c>
      <c r="N5" s="512" t="inlineStr">
        <is>
          <t>IPRJ A RECOLHER CÓDIGO: 2089 + ADICONAL</t>
        </is>
      </c>
      <c r="O5" s="512" t="inlineStr">
        <is>
          <t>BASE CÁLCULO CSLL 12%</t>
        </is>
      </c>
      <c r="P5" s="512" t="inlineStr">
        <is>
          <t>CSLL 9% CÓDIGO: 2372</t>
        </is>
      </c>
      <c r="Q5" s="513" t="inlineStr">
        <is>
          <t>NOVO ADICIONAL 10%</t>
        </is>
      </c>
      <c r="R5" s="510" t="n"/>
      <c r="S5" s="510" t="n"/>
      <c r="T5" s="510" t="n"/>
      <c r="U5" s="510" t="n"/>
      <c r="V5" s="510" t="n"/>
      <c r="W5" s="510" t="n"/>
      <c r="X5" s="510" t="n"/>
      <c r="Y5" s="510" t="n"/>
      <c r="Z5" s="510" t="n"/>
    </row>
    <row r="6" ht="30" customHeight="1" s="673">
      <c r="A6" s="500" t="n"/>
      <c r="B6" s="514" t="inlineStr">
        <is>
          <t>JAN</t>
        </is>
      </c>
      <c r="C6" s="515">
        <f>SUMIFS(RECEITAS!$I:$I, RECEITAS!$F:$F, B6, RECEITAS!$D:$D, "PJ")</f>
        <v/>
      </c>
      <c r="D6" s="515">
        <f>C6*2.05%</f>
        <v/>
      </c>
      <c r="E6" s="516">
        <f>C6</f>
        <v/>
      </c>
      <c r="F6" s="517" t="n"/>
      <c r="G6" s="517" t="n"/>
      <c r="H6" s="737">
        <f>SUM(C6:C8)</f>
        <v/>
      </c>
      <c r="I6" s="738" t="n">
        <v>0</v>
      </c>
      <c r="J6" s="738">
        <f>H6*8%+I6</f>
        <v/>
      </c>
      <c r="K6" s="738">
        <f>J6*15%</f>
        <v/>
      </c>
      <c r="L6" s="738">
        <f>IF(J6&gt;60000,J6-60000,0)</f>
        <v/>
      </c>
      <c r="M6" s="520" t="n"/>
      <c r="N6" s="738">
        <f>K6+M6</f>
        <v/>
      </c>
      <c r="O6" s="738">
        <f>H6*12%+I6</f>
        <v/>
      </c>
      <c r="P6" s="738">
        <f>O6*9%</f>
        <v/>
      </c>
      <c r="Q6" s="738">
        <f>IF(H6 &gt; 1250000,H6  * 0.1, 0)</f>
        <v/>
      </c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</row>
    <row r="7" ht="30" customHeight="1" s="673">
      <c r="A7" s="500" t="n"/>
      <c r="B7" s="521" t="inlineStr">
        <is>
          <t>FEV</t>
        </is>
      </c>
      <c r="C7" s="515">
        <f>SUMIFS(RECEITAS!$I:$I, RECEITAS!$F:$F, B7, RECEITAS!$D:$D, "PJ")</f>
        <v/>
      </c>
      <c r="D7" s="522">
        <f>C7*2.05%</f>
        <v/>
      </c>
      <c r="E7" s="523">
        <f>C7</f>
        <v/>
      </c>
      <c r="F7" s="524" t="n"/>
      <c r="G7" s="524" t="n"/>
      <c r="H7" s="739" t="n"/>
      <c r="I7" s="740" t="n"/>
      <c r="J7" s="740" t="n"/>
      <c r="K7" s="740" t="n"/>
      <c r="L7" s="740" t="n"/>
      <c r="M7" s="520">
        <f>IF(J6 &gt; 60000, (J6 - 60000) * 0.1, 0)</f>
        <v/>
      </c>
      <c r="N7" s="740" t="n"/>
      <c r="O7" s="740" t="n"/>
      <c r="P7" s="740" t="n"/>
      <c r="Q7" s="740" t="n"/>
      <c r="R7" s="500" t="n"/>
      <c r="S7" s="500" t="n"/>
      <c r="T7" s="500" t="n"/>
      <c r="U7" s="500" t="n"/>
      <c r="V7" s="500" t="n"/>
      <c r="W7" s="500" t="n"/>
      <c r="X7" s="500" t="n"/>
      <c r="Y7" s="500" t="n"/>
      <c r="Z7" s="500" t="n"/>
    </row>
    <row r="8" ht="30" customHeight="1" s="673">
      <c r="A8" s="500" t="n"/>
      <c r="B8" s="521" t="inlineStr">
        <is>
          <t>MAR</t>
        </is>
      </c>
      <c r="C8" s="515">
        <f>SUMIFS(RECEITAS!$I:$I, RECEITAS!$F:$F, B8, RECEITAS!$D:$D, "PJ")</f>
        <v/>
      </c>
      <c r="D8" s="522">
        <f>C8*2.05%</f>
        <v/>
      </c>
      <c r="E8" s="523">
        <f>C8</f>
        <v/>
      </c>
      <c r="F8" s="524" t="n"/>
      <c r="G8" s="524" t="n"/>
      <c r="H8" s="741" t="n"/>
      <c r="I8" s="742" t="n"/>
      <c r="J8" s="742" t="n"/>
      <c r="K8" s="742" t="n"/>
      <c r="L8" s="742" t="n"/>
      <c r="M8" s="529" t="n"/>
      <c r="N8" s="742" t="n"/>
      <c r="O8" s="742" t="n"/>
      <c r="P8" s="742" t="n"/>
      <c r="Q8" s="742" t="n"/>
      <c r="R8" s="500" t="n"/>
      <c r="S8" s="500" t="n"/>
      <c r="T8" s="500" t="n"/>
      <c r="U8" s="500" t="n"/>
      <c r="V8" s="500" t="n"/>
      <c r="W8" s="500" t="n"/>
      <c r="X8" s="500" t="n"/>
      <c r="Y8" s="500" t="n"/>
      <c r="Z8" s="500" t="n"/>
    </row>
    <row r="9" ht="30" customHeight="1" s="673">
      <c r="A9" s="500" t="n"/>
      <c r="B9" s="521" t="inlineStr">
        <is>
          <t>ABR</t>
        </is>
      </c>
      <c r="C9" s="515">
        <f>SUMIFS(RECEITAS!$I:$I, RECEITAS!$F:$F, B9, RECEITAS!$D:$D, "PJ")</f>
        <v/>
      </c>
      <c r="D9" s="522">
        <f>C9*2.05%</f>
        <v/>
      </c>
      <c r="E9" s="523">
        <f>C9</f>
        <v/>
      </c>
      <c r="F9" s="524" t="n"/>
      <c r="G9" s="524" t="n"/>
      <c r="H9" s="737">
        <f>SUM(C9:C11)</f>
        <v/>
      </c>
      <c r="I9" s="743" t="n">
        <v>0</v>
      </c>
      <c r="J9" s="743">
        <f>H9*8%+I9</f>
        <v/>
      </c>
      <c r="K9" s="743">
        <f>J9*15%</f>
        <v/>
      </c>
      <c r="L9" s="743">
        <f>IF(J9&gt;60000,J9-60000,0)</f>
        <v/>
      </c>
      <c r="M9" s="520">
        <f>IF(J9 &gt; 60000, (J9 - 60000) * 0.1, 0)</f>
        <v/>
      </c>
      <c r="N9" s="743">
        <f>K9+M9</f>
        <v/>
      </c>
      <c r="O9" s="743">
        <f>H9*12%+I9</f>
        <v/>
      </c>
      <c r="P9" s="743">
        <f>O9*9%</f>
        <v/>
      </c>
      <c r="Q9" s="743">
        <f>IF(H9 &gt; 1250000, H9 * 0.1, 0)</f>
        <v/>
      </c>
      <c r="R9" s="500" t="n"/>
      <c r="S9" s="500" t="n"/>
      <c r="T9" s="500" t="n"/>
      <c r="U9" s="500" t="n"/>
      <c r="V9" s="500" t="n"/>
      <c r="W9" s="500" t="n"/>
      <c r="X9" s="500" t="n"/>
      <c r="Y9" s="500" t="n"/>
      <c r="Z9" s="500" t="n"/>
    </row>
    <row r="10" ht="30" customHeight="1" s="673">
      <c r="A10" s="500" t="n"/>
      <c r="B10" s="521" t="inlineStr">
        <is>
          <t>MAI</t>
        </is>
      </c>
      <c r="C10" s="515">
        <f>SUMIFS(RECEITAS!$I:$I, RECEITAS!$F:$F, B10, RECEITAS!$D:$D, "PJ")</f>
        <v/>
      </c>
      <c r="D10" s="522">
        <f>C10*2.05%</f>
        <v/>
      </c>
      <c r="E10" s="523">
        <f>C10</f>
        <v/>
      </c>
      <c r="F10" s="524" t="n"/>
      <c r="G10" s="524" t="n"/>
      <c r="H10" s="739" t="n"/>
      <c r="I10" s="740" t="n"/>
      <c r="J10" s="740" t="n"/>
      <c r="K10" s="740" t="n"/>
      <c r="L10" s="740" t="n"/>
      <c r="N10" s="740" t="n"/>
      <c r="O10" s="740" t="n"/>
      <c r="P10" s="740" t="n"/>
      <c r="Q10" s="740" t="n"/>
      <c r="R10" s="500" t="n"/>
      <c r="S10" s="500" t="n"/>
      <c r="T10" s="500" t="n"/>
      <c r="U10" s="500" t="n"/>
      <c r="V10" s="500" t="n"/>
      <c r="W10" s="500" t="n"/>
      <c r="X10" s="500" t="n"/>
      <c r="Y10" s="500" t="n"/>
      <c r="Z10" s="500" t="n"/>
    </row>
    <row r="11" ht="30" customHeight="1" s="673">
      <c r="A11" s="500" t="n"/>
      <c r="B11" s="521" t="inlineStr">
        <is>
          <t>JUN</t>
        </is>
      </c>
      <c r="C11" s="515">
        <f>SUMIFS(RECEITAS!$I:$I, RECEITAS!$F:$F, B11, RECEITAS!$D:$D, "PJ")</f>
        <v/>
      </c>
      <c r="D11" s="522">
        <f>C11*2.05%</f>
        <v/>
      </c>
      <c r="E11" s="523">
        <f>C11</f>
        <v/>
      </c>
      <c r="F11" s="524" t="n"/>
      <c r="G11" s="524" t="n"/>
      <c r="H11" s="741" t="n"/>
      <c r="I11" s="742" t="n"/>
      <c r="J11" s="742" t="n"/>
      <c r="K11" s="742" t="n"/>
      <c r="L11" s="742" t="n"/>
      <c r="N11" s="742" t="n"/>
      <c r="O11" s="742" t="n"/>
      <c r="P11" s="742" t="n"/>
      <c r="Q11" s="742" t="n"/>
      <c r="R11" s="500" t="n"/>
      <c r="S11" s="500" t="n"/>
      <c r="T11" s="500" t="n"/>
      <c r="U11" s="500" t="n"/>
      <c r="V11" s="500" t="n"/>
      <c r="W11" s="500" t="n"/>
      <c r="X11" s="500" t="n"/>
      <c r="Y11" s="500" t="n"/>
      <c r="Z11" s="500" t="n"/>
    </row>
    <row r="12" ht="30" customHeight="1" s="673">
      <c r="A12" s="500" t="n"/>
      <c r="B12" s="521" t="inlineStr">
        <is>
          <t>JUL</t>
        </is>
      </c>
      <c r="C12" s="515">
        <f>SUMIFS(RECEITAS!$I:$I, RECEITAS!$F:$F, B12, RECEITAS!$D:$D, "PJ")</f>
        <v/>
      </c>
      <c r="D12" s="522">
        <f>C12*2.05%</f>
        <v/>
      </c>
      <c r="E12" s="523">
        <f>C12</f>
        <v/>
      </c>
      <c r="F12" s="524" t="n"/>
      <c r="G12" s="524" t="n"/>
      <c r="H12" s="737">
        <f>SUM(C12:C14)</f>
        <v/>
      </c>
      <c r="I12" s="743" t="n"/>
      <c r="J12" s="743">
        <f>H12*8%+I12</f>
        <v/>
      </c>
      <c r="K12" s="743">
        <f>J12*15%</f>
        <v/>
      </c>
      <c r="L12" s="743">
        <f>IF(J12&gt;60000,J12-60000,0)</f>
        <v/>
      </c>
      <c r="M12" s="743">
        <f>L12*10%</f>
        <v/>
      </c>
      <c r="N12" s="743">
        <f>K12+M12</f>
        <v/>
      </c>
      <c r="O12" s="743">
        <f>H12*12%+I12</f>
        <v/>
      </c>
      <c r="P12" s="743">
        <f>O12*9%</f>
        <v/>
      </c>
      <c r="Q12" s="743">
        <f>IF(H12 &gt; 1250000,H12  * 0.1, 0)</f>
        <v/>
      </c>
      <c r="R12" s="500" t="n"/>
      <c r="S12" s="500" t="n"/>
      <c r="T12" s="500" t="n"/>
      <c r="U12" s="500" t="n"/>
      <c r="V12" s="500" t="n"/>
      <c r="W12" s="500" t="n"/>
      <c r="X12" s="500" t="n"/>
      <c r="Y12" s="500" t="n"/>
      <c r="Z12" s="500" t="n"/>
    </row>
    <row r="13" ht="30" customHeight="1" s="673">
      <c r="A13" s="500" t="n"/>
      <c r="B13" s="521" t="inlineStr">
        <is>
          <t>AGO</t>
        </is>
      </c>
      <c r="C13" s="515">
        <f>SUMIFS(RECEITAS!$I:$I, RECEITAS!$F:$F, B13, RECEITAS!$D:$D, "PJ")</f>
        <v/>
      </c>
      <c r="D13" s="522">
        <f>C13*2.05%</f>
        <v/>
      </c>
      <c r="E13" s="523">
        <f>C13</f>
        <v/>
      </c>
      <c r="F13" s="524" t="n"/>
      <c r="G13" s="524" t="n"/>
      <c r="H13" s="739" t="n"/>
      <c r="I13" s="740" t="n"/>
      <c r="J13" s="740" t="n"/>
      <c r="K13" s="740" t="n"/>
      <c r="L13" s="740" t="n"/>
      <c r="M13" s="740" t="n"/>
      <c r="N13" s="740" t="n"/>
      <c r="O13" s="740" t="n"/>
      <c r="P13" s="740" t="n"/>
      <c r="Q13" s="740" t="n"/>
      <c r="R13" s="500" t="n"/>
      <c r="S13" s="500" t="n"/>
      <c r="T13" s="500" t="n"/>
      <c r="U13" s="500" t="n"/>
      <c r="V13" s="500" t="n"/>
      <c r="W13" s="500" t="n"/>
      <c r="X13" s="500" t="n"/>
      <c r="Y13" s="500" t="n"/>
      <c r="Z13" s="500" t="n"/>
    </row>
    <row r="14" ht="30" customHeight="1" s="673">
      <c r="A14" s="500" t="n"/>
      <c r="B14" s="521" t="inlineStr">
        <is>
          <t>SET</t>
        </is>
      </c>
      <c r="C14" s="515">
        <f>SUMIFS(RECEITAS!$I:$I, RECEITAS!$F:$F, B14, RECEITAS!$D:$D, "PJ")</f>
        <v/>
      </c>
      <c r="D14" s="522">
        <f>C14*2.05%</f>
        <v/>
      </c>
      <c r="E14" s="523">
        <f>C14</f>
        <v/>
      </c>
      <c r="F14" s="524" t="n"/>
      <c r="G14" s="524" t="n"/>
      <c r="H14" s="741" t="n"/>
      <c r="I14" s="742" t="n"/>
      <c r="J14" s="742" t="n"/>
      <c r="K14" s="742" t="n"/>
      <c r="L14" s="742" t="n"/>
      <c r="M14" s="742" t="n"/>
      <c r="N14" s="742" t="n"/>
      <c r="O14" s="742" t="n"/>
      <c r="P14" s="742" t="n"/>
      <c r="Q14" s="742" t="n"/>
      <c r="R14" s="500" t="n"/>
      <c r="S14" s="500" t="n"/>
      <c r="T14" s="500" t="n"/>
      <c r="U14" s="500" t="n"/>
      <c r="V14" s="500" t="n"/>
      <c r="W14" s="500" t="n"/>
      <c r="X14" s="500" t="n"/>
      <c r="Y14" s="500" t="n"/>
      <c r="Z14" s="500" t="n"/>
    </row>
    <row r="15" ht="30" customHeight="1" s="673">
      <c r="A15" s="500" t="n"/>
      <c r="B15" s="521" t="inlineStr">
        <is>
          <t>OUT</t>
        </is>
      </c>
      <c r="C15" s="515">
        <f>SUMIFS(RECEITAS!$I:$I, RECEITAS!$F:$F, B15, RECEITAS!$D:$D, "PJ")</f>
        <v/>
      </c>
      <c r="D15" s="522">
        <f>C15*2.05%</f>
        <v/>
      </c>
      <c r="E15" s="523">
        <f>C15</f>
        <v/>
      </c>
      <c r="F15" s="524" t="n"/>
      <c r="G15" s="524" t="n"/>
      <c r="H15" s="737">
        <f>SUM(C15:C17)</f>
        <v/>
      </c>
      <c r="I15" s="743" t="n">
        <v>0</v>
      </c>
      <c r="J15" s="743">
        <f>H15*8%+I15</f>
        <v/>
      </c>
      <c r="K15" s="743">
        <f>J15*15%</f>
        <v/>
      </c>
      <c r="L15" s="743">
        <f>IF(J15&gt;60000,J15-60000,0)</f>
        <v/>
      </c>
      <c r="M15" s="743">
        <f>L15*10%</f>
        <v/>
      </c>
      <c r="N15" s="743">
        <f>K15+M15</f>
        <v/>
      </c>
      <c r="O15" s="743">
        <f>H15*12%+I15</f>
        <v/>
      </c>
      <c r="P15" s="743">
        <f>O15*9%</f>
        <v/>
      </c>
      <c r="Q15" s="743">
        <f>IF(H15 &gt; 1250000,H15  * 0.1, 0)</f>
        <v/>
      </c>
      <c r="R15" s="500" t="n"/>
      <c r="S15" s="500" t="n"/>
      <c r="T15" s="500" t="n"/>
      <c r="U15" s="500" t="n"/>
      <c r="V15" s="500" t="n"/>
      <c r="W15" s="500" t="n"/>
      <c r="X15" s="500" t="n"/>
      <c r="Y15" s="500" t="n"/>
      <c r="Z15" s="500" t="n"/>
    </row>
    <row r="16" ht="30" customHeight="1" s="673">
      <c r="A16" s="500" t="n"/>
      <c r="B16" s="521" t="inlineStr">
        <is>
          <t>NOV</t>
        </is>
      </c>
      <c r="C16" s="515">
        <f>SUMIFS(RECEITAS!$I:$I, RECEITAS!$F:$F, B16, RECEITAS!$D:$D, "PJ")</f>
        <v/>
      </c>
      <c r="D16" s="522">
        <f>C16*2.05%</f>
        <v/>
      </c>
      <c r="E16" s="523">
        <f>C16</f>
        <v/>
      </c>
      <c r="F16" s="524" t="n"/>
      <c r="G16" s="524" t="n"/>
      <c r="H16" s="739" t="n"/>
      <c r="I16" s="740" t="n"/>
      <c r="J16" s="740" t="n"/>
      <c r="K16" s="740" t="n"/>
      <c r="L16" s="740" t="n"/>
      <c r="M16" s="740" t="n"/>
      <c r="N16" s="740" t="n"/>
      <c r="O16" s="740" t="n"/>
      <c r="P16" s="740" t="n"/>
      <c r="Q16" s="740" t="n"/>
      <c r="R16" s="500" t="n"/>
      <c r="S16" s="500" t="n"/>
      <c r="T16" s="500" t="n"/>
      <c r="U16" s="500" t="n"/>
      <c r="V16" s="500" t="n"/>
      <c r="W16" s="500" t="n"/>
      <c r="X16" s="500" t="n"/>
      <c r="Y16" s="500" t="n"/>
      <c r="Z16" s="500" t="n"/>
    </row>
    <row r="17" ht="30" customHeight="1" s="673">
      <c r="A17" s="500" t="n"/>
      <c r="B17" s="521" t="inlineStr">
        <is>
          <t>DEZ</t>
        </is>
      </c>
      <c r="C17" s="515">
        <f>SUMIFS(RECEITAS!$I:$I, RECEITAS!$F:$F, B17, RECEITAS!$D:$D, "PJ")</f>
        <v/>
      </c>
      <c r="D17" s="522">
        <f>C17*2.05%</f>
        <v/>
      </c>
      <c r="E17" s="523">
        <f>C17</f>
        <v/>
      </c>
      <c r="F17" s="524" t="n"/>
      <c r="G17" s="524" t="n"/>
      <c r="H17" s="741" t="n"/>
      <c r="I17" s="742" t="n"/>
      <c r="J17" s="742" t="n"/>
      <c r="K17" s="742" t="n"/>
      <c r="L17" s="742" t="n"/>
      <c r="M17" s="742" t="n"/>
      <c r="N17" s="742" t="n"/>
      <c r="O17" s="742" t="n"/>
      <c r="P17" s="742" t="n"/>
      <c r="Q17" s="742" t="n"/>
      <c r="R17" s="500" t="n"/>
      <c r="S17" s="500" t="n"/>
      <c r="T17" s="500" t="n"/>
      <c r="U17" s="500" t="n"/>
      <c r="V17" s="500" t="n"/>
      <c r="W17" s="500" t="n"/>
      <c r="X17" s="500" t="n"/>
      <c r="Y17" s="500" t="n"/>
      <c r="Z17" s="500" t="n"/>
    </row>
    <row r="18" ht="30" customHeight="1" s="673">
      <c r="A18" s="531" t="n"/>
      <c r="B18" s="532" t="inlineStr">
        <is>
          <t>TOTAL</t>
        </is>
      </c>
      <c r="C18" s="533">
        <f>SUM(C6:C17)</f>
        <v/>
      </c>
      <c r="D18" s="533">
        <f>SUM(D6:D17)</f>
        <v/>
      </c>
      <c r="E18" s="533">
        <f>SUM(E6:E17)</f>
        <v/>
      </c>
      <c r="F18" s="533">
        <f>SUM(F6:F17)</f>
        <v/>
      </c>
      <c r="G18" s="533">
        <f>SUM(G6:G17)</f>
        <v/>
      </c>
      <c r="H18" s="534">
        <f>SUM(H6:H17)</f>
        <v/>
      </c>
      <c r="I18" s="535">
        <f>SUM(I6:I17)</f>
        <v/>
      </c>
      <c r="J18" s="535">
        <f>SUM(J6:J17)</f>
        <v/>
      </c>
      <c r="K18" s="535">
        <f>SUM(K6:K17)</f>
        <v/>
      </c>
      <c r="L18" s="535">
        <f>SUM(L6:L17)</f>
        <v/>
      </c>
      <c r="M18" s="535">
        <f>SUM(M6:M17)</f>
        <v/>
      </c>
      <c r="N18" s="535">
        <f>SUM(N6:N17)</f>
        <v/>
      </c>
      <c r="O18" s="535">
        <f>SUM(O6:O17)</f>
        <v/>
      </c>
      <c r="P18" s="535">
        <f>SUM(P6:P17)</f>
        <v/>
      </c>
      <c r="Q18" s="535">
        <f>SUM(Q6:Q17)</f>
        <v/>
      </c>
      <c r="R18" s="531" t="n"/>
      <c r="S18" s="531" t="n"/>
      <c r="T18" s="531" t="n"/>
      <c r="U18" s="531" t="n"/>
      <c r="V18" s="531" t="n"/>
      <c r="W18" s="531" t="n"/>
      <c r="X18" s="531" t="n"/>
      <c r="Y18" s="531" t="n"/>
      <c r="Z18" s="531" t="n"/>
    </row>
    <row r="19" ht="30" customHeight="1" s="673">
      <c r="A19" s="500" t="n"/>
      <c r="B19" s="536" t="n"/>
      <c r="C19" s="537" t="n"/>
      <c r="D19" s="537" t="n"/>
      <c r="E19" s="537" t="n"/>
      <c r="F19" s="537" t="n"/>
      <c r="G19" s="537" t="n"/>
      <c r="H19" s="537" t="n"/>
      <c r="I19" s="537" t="n"/>
      <c r="J19" s="537" t="n"/>
      <c r="K19" s="537" t="n"/>
      <c r="L19" s="537" t="n"/>
      <c r="M19" s="537" t="n"/>
      <c r="N19" s="537" t="n"/>
      <c r="O19" s="537" t="n"/>
      <c r="P19" s="537" t="n"/>
      <c r="Q19" s="537" t="n"/>
      <c r="R19" s="500" t="n"/>
      <c r="S19" s="500" t="n"/>
      <c r="T19" s="500" t="n"/>
      <c r="U19" s="500" t="n"/>
      <c r="V19" s="500" t="n"/>
      <c r="W19" s="500" t="n"/>
      <c r="X19" s="500" t="n"/>
      <c r="Y19" s="500" t="n"/>
      <c r="Z19" s="500" t="n"/>
    </row>
    <row r="20" ht="30" customHeight="1" s="673">
      <c r="A20" s="538" t="n"/>
      <c r="B20" s="539" t="n"/>
      <c r="C20" s="540" t="inlineStr">
        <is>
          <t>RECEITA</t>
        </is>
      </c>
      <c r="E20" s="541" t="n"/>
      <c r="F20" s="542" t="inlineStr">
        <is>
          <t>IRPJ</t>
        </is>
      </c>
      <c r="G20" s="542" t="n"/>
      <c r="H20" s="540" t="inlineStr">
        <is>
          <t>FUNRURAL</t>
        </is>
      </c>
      <c r="J20" s="541" t="n"/>
      <c r="K20" s="543" t="inlineStr">
        <is>
          <t>IRPJ</t>
        </is>
      </c>
      <c r="M20" s="541" t="n"/>
      <c r="N20" s="540" t="inlineStr">
        <is>
          <t>CSLL</t>
        </is>
      </c>
      <c r="P20" s="541" t="n"/>
      <c r="Q20" s="541" t="n"/>
      <c r="R20" s="538" t="n"/>
      <c r="S20" s="538" t="n"/>
      <c r="T20" s="538" t="n"/>
      <c r="U20" s="538" t="n"/>
      <c r="V20" s="538" t="n"/>
      <c r="W20" s="538" t="n"/>
      <c r="X20" s="538" t="n"/>
      <c r="Y20" s="538" t="n"/>
      <c r="Z20" s="538" t="n"/>
    </row>
    <row r="21" ht="30" customHeight="1" s="673">
      <c r="A21" s="544" t="n"/>
      <c r="B21" s="545" t="n"/>
      <c r="C21" s="744">
        <f>C18</f>
        <v/>
      </c>
      <c r="E21" s="545" t="n"/>
      <c r="F21" s="744" t="n">
        <v>0</v>
      </c>
      <c r="J21" s="545" t="n"/>
      <c r="K21" s="744">
        <f>N18</f>
        <v/>
      </c>
      <c r="M21" s="545" t="n"/>
      <c r="N21" s="744">
        <f>P18</f>
        <v/>
      </c>
      <c r="P21" s="545" t="n"/>
      <c r="Q21" s="545" t="n"/>
      <c r="R21" s="544" t="n"/>
      <c r="S21" s="544" t="n"/>
      <c r="T21" s="544" t="n"/>
      <c r="U21" s="544" t="n"/>
      <c r="V21" s="544" t="n"/>
      <c r="W21" s="544" t="n"/>
      <c r="X21" s="544" t="n"/>
      <c r="Y21" s="544" t="n"/>
      <c r="Z21" s="544" t="n"/>
    </row>
    <row r="22" ht="30" customHeight="1" s="673">
      <c r="A22" s="500" t="n"/>
      <c r="B22" s="547" t="n"/>
      <c r="C22" s="537" t="n"/>
      <c r="D22" s="537" t="n"/>
      <c r="E22" s="537" t="n"/>
      <c r="F22" s="537" t="n"/>
      <c r="G22" s="537" t="n"/>
      <c r="H22" s="537" t="n"/>
      <c r="I22" s="537" t="n"/>
      <c r="J22" s="537" t="n"/>
      <c r="K22" s="537" t="n"/>
      <c r="L22" s="537" t="n"/>
      <c r="M22" s="537" t="n"/>
      <c r="N22" s="537" t="n"/>
      <c r="O22" s="537" t="n"/>
      <c r="P22" s="537" t="n"/>
      <c r="Q22" s="537" t="n"/>
      <c r="R22" s="500" t="n"/>
      <c r="S22" s="500" t="n"/>
      <c r="T22" s="500" t="n"/>
      <c r="U22" s="500" t="n"/>
      <c r="V22" s="500" t="n"/>
      <c r="W22" s="500" t="n"/>
      <c r="X22" s="500" t="n"/>
      <c r="Y22" s="500" t="n"/>
      <c r="Z22" s="500" t="n"/>
    </row>
    <row r="23" ht="30" customHeight="1" s="673">
      <c r="A23" s="500" t="n"/>
      <c r="B23" s="547" t="n"/>
      <c r="C23" s="537" t="n"/>
      <c r="D23" s="537" t="n"/>
      <c r="E23" s="537" t="n"/>
      <c r="F23" s="537" t="n"/>
      <c r="G23" s="537" t="n"/>
      <c r="H23" s="537" t="n"/>
      <c r="I23" s="537" t="n"/>
      <c r="J23" s="537" t="n"/>
      <c r="K23" s="537" t="n"/>
      <c r="L23" s="537" t="n"/>
      <c r="M23" s="537" t="n"/>
      <c r="N23" s="537" t="n"/>
      <c r="O23" s="537" t="n"/>
      <c r="P23" s="537" t="n"/>
      <c r="Q23" s="537" t="n"/>
      <c r="R23" s="500" t="n"/>
      <c r="S23" s="500" t="n"/>
      <c r="T23" s="500" t="n"/>
      <c r="U23" s="500" t="n"/>
      <c r="V23" s="500" t="n"/>
      <c r="W23" s="500" t="n"/>
      <c r="X23" s="500" t="n"/>
      <c r="Y23" s="500" t="n"/>
      <c r="Z23" s="500" t="n"/>
    </row>
    <row r="24" ht="30" customHeight="1" s="673">
      <c r="A24" s="500" t="n"/>
      <c r="B24" s="547" t="n"/>
      <c r="C24" s="537" t="n"/>
      <c r="D24" s="537" t="n"/>
      <c r="E24" s="537" t="n"/>
      <c r="F24" s="537" t="n"/>
      <c r="G24" s="537" t="n"/>
      <c r="H24" s="537" t="n"/>
      <c r="I24" s="537" t="n"/>
      <c r="J24" s="537" t="n"/>
      <c r="K24" s="537" t="n"/>
      <c r="L24" s="537" t="n"/>
      <c r="M24" s="548" t="n"/>
      <c r="N24" s="549" t="inlineStr">
        <is>
          <t>Valores apurados</t>
        </is>
      </c>
      <c r="O24" s="745">
        <f>F21+K21+N21</f>
        <v/>
      </c>
      <c r="P24" s="746" t="n"/>
      <c r="Q24" s="52" t="n"/>
      <c r="R24" s="500" t="n"/>
      <c r="S24" s="500" t="n"/>
      <c r="T24" s="500" t="n"/>
      <c r="U24" s="500" t="n"/>
      <c r="V24" s="500" t="n"/>
      <c r="W24" s="500" t="n"/>
      <c r="X24" s="500" t="n"/>
      <c r="Y24" s="500" t="n"/>
      <c r="Z24" s="500" t="n"/>
    </row>
    <row r="25" ht="30" customHeight="1" s="673">
      <c r="A25" s="500" t="n"/>
      <c r="B25" s="547" t="n"/>
      <c r="C25" s="537" t="n"/>
      <c r="D25" s="537" t="n"/>
      <c r="E25" s="537" t="n"/>
      <c r="F25" s="537" t="n"/>
      <c r="G25" s="537" t="n"/>
      <c r="H25" s="537" t="n"/>
      <c r="I25" s="537" t="n"/>
      <c r="J25" s="537" t="n"/>
      <c r="K25" s="537" t="n"/>
      <c r="L25" s="537" t="n"/>
      <c r="M25" s="537" t="n"/>
      <c r="N25" s="537" t="n"/>
      <c r="O25" s="537" t="n"/>
      <c r="P25" s="537" t="n"/>
      <c r="Q25" s="537" t="n"/>
      <c r="R25" s="500" t="n"/>
      <c r="S25" s="500" t="n"/>
      <c r="T25" s="500" t="n"/>
      <c r="U25" s="500" t="n"/>
      <c r="V25" s="500" t="n"/>
      <c r="W25" s="500" t="n"/>
      <c r="X25" s="500" t="n"/>
      <c r="Y25" s="500" t="n"/>
      <c r="Z25" s="500" t="n"/>
    </row>
    <row r="26" ht="30" customHeight="1" s="673">
      <c r="A26" s="500" t="n"/>
      <c r="B26" s="547" t="n"/>
      <c r="C26" s="537" t="n"/>
      <c r="D26" s="537" t="n"/>
      <c r="E26" s="537" t="n"/>
      <c r="F26" s="537" t="n"/>
      <c r="G26" s="537" t="n"/>
      <c r="H26" s="537" t="n"/>
      <c r="I26" s="537" t="n"/>
      <c r="J26" s="537" t="n"/>
      <c r="K26" s="537" t="n"/>
      <c r="L26" s="537" t="n"/>
      <c r="M26" s="537" t="n"/>
      <c r="N26" s="537" t="n"/>
      <c r="O26" s="537" t="n"/>
      <c r="P26" s="537" t="n"/>
      <c r="Q26" s="537" t="n"/>
      <c r="R26" s="500" t="n"/>
      <c r="S26" s="500" t="n"/>
      <c r="T26" s="500" t="n"/>
      <c r="U26" s="500" t="n"/>
      <c r="V26" s="500" t="n"/>
      <c r="W26" s="500" t="n"/>
      <c r="X26" s="500" t="n"/>
      <c r="Y26" s="500" t="n"/>
      <c r="Z26" s="500" t="n"/>
    </row>
    <row r="27" ht="30" customHeight="1" s="673">
      <c r="A27" s="500" t="n"/>
      <c r="B27" s="547" t="n"/>
      <c r="C27" s="537" t="n"/>
      <c r="D27" s="537" t="n"/>
      <c r="E27" s="537" t="n"/>
      <c r="F27" s="537" t="n"/>
      <c r="G27" s="537" t="n"/>
      <c r="H27" s="537" t="n"/>
      <c r="I27" s="537" t="n"/>
      <c r="J27" s="537" t="n"/>
      <c r="K27" s="537" t="n"/>
      <c r="L27" s="537" t="n"/>
      <c r="M27" s="537" t="n"/>
      <c r="N27" s="537" t="n"/>
      <c r="O27" s="537" t="n"/>
      <c r="P27" s="537" t="n"/>
      <c r="Q27" s="537" t="n"/>
      <c r="R27" s="500" t="n"/>
      <c r="S27" s="500" t="n"/>
      <c r="T27" s="500" t="n"/>
      <c r="U27" s="500" t="n"/>
      <c r="V27" s="500" t="n"/>
      <c r="W27" s="500" t="n"/>
      <c r="X27" s="500" t="n"/>
      <c r="Y27" s="500" t="n"/>
      <c r="Z27" s="500" t="n"/>
    </row>
    <row r="28" ht="30" customHeight="1" s="673">
      <c r="A28" s="500" t="n"/>
      <c r="B28" s="547" t="n"/>
      <c r="C28" s="537" t="n"/>
      <c r="D28" s="537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00" t="n"/>
      <c r="S28" s="500" t="n"/>
      <c r="T28" s="500" t="n"/>
      <c r="U28" s="500" t="n"/>
      <c r="V28" s="500" t="n"/>
      <c r="W28" s="500" t="n"/>
      <c r="X28" s="500" t="n"/>
      <c r="Y28" s="500" t="n"/>
      <c r="Z28" s="500" t="n"/>
    </row>
    <row r="29" ht="30" customHeight="1" s="673">
      <c r="A29" s="500" t="n"/>
      <c r="B29" s="547" t="n"/>
      <c r="C29" s="537" t="n"/>
      <c r="D29" s="537" t="n"/>
      <c r="E29" s="537" t="n"/>
      <c r="F29" s="537" t="n"/>
      <c r="G29" s="537" t="n"/>
      <c r="H29" s="537" t="n"/>
      <c r="I29" s="537" t="n"/>
      <c r="J29" s="537" t="n"/>
      <c r="K29" s="537" t="n"/>
      <c r="L29" s="537" t="n"/>
      <c r="M29" s="537" t="n"/>
      <c r="N29" s="537" t="n"/>
      <c r="O29" s="537" t="n"/>
      <c r="P29" s="537" t="n"/>
      <c r="Q29" s="537" t="n"/>
      <c r="R29" s="500" t="n"/>
      <c r="S29" s="500" t="n"/>
      <c r="T29" s="500" t="n"/>
      <c r="U29" s="500" t="n"/>
      <c r="V29" s="500" t="n"/>
      <c r="W29" s="500" t="n"/>
      <c r="X29" s="500" t="n"/>
      <c r="Y29" s="500" t="n"/>
      <c r="Z29" s="500" t="n"/>
    </row>
    <row r="30" ht="30" customHeight="1" s="673">
      <c r="A30" s="500" t="n"/>
      <c r="B30" s="547" t="n"/>
      <c r="C30" s="537" t="n"/>
      <c r="D30" s="537" t="n"/>
      <c r="E30" s="537" t="n"/>
      <c r="F30" s="537" t="n"/>
      <c r="G30" s="537" t="n"/>
      <c r="H30" s="537" t="n"/>
      <c r="I30" s="537" t="n"/>
      <c r="J30" s="537" t="n"/>
      <c r="K30" s="537" t="n"/>
      <c r="L30" s="537" t="n"/>
      <c r="M30" s="537" t="n"/>
      <c r="N30" s="537" t="n"/>
      <c r="O30" s="537" t="n"/>
      <c r="P30" s="537" t="n"/>
      <c r="Q30" s="537" t="n"/>
      <c r="R30" s="500" t="n"/>
      <c r="S30" s="500" t="n"/>
      <c r="T30" s="500" t="n"/>
      <c r="U30" s="500" t="n"/>
      <c r="V30" s="500" t="n"/>
      <c r="W30" s="500" t="n"/>
      <c r="X30" s="500" t="n"/>
      <c r="Y30" s="500" t="n"/>
      <c r="Z30" s="500" t="n"/>
    </row>
    <row r="31" ht="30" customHeight="1" s="673">
      <c r="A31" s="500" t="n"/>
      <c r="B31" s="547" t="n"/>
      <c r="C31" s="537" t="n"/>
      <c r="D31" s="537" t="n"/>
      <c r="E31" s="537" t="n"/>
      <c r="F31" s="537" t="n"/>
      <c r="G31" s="537" t="n"/>
      <c r="H31" s="537" t="n"/>
      <c r="I31" s="537" t="n"/>
      <c r="J31" s="537" t="n"/>
      <c r="K31" s="537" t="n"/>
      <c r="L31" s="537" t="n"/>
      <c r="M31" s="537" t="n"/>
      <c r="N31" s="537" t="n"/>
      <c r="O31" s="537" t="n"/>
      <c r="P31" s="537" t="n"/>
      <c r="Q31" s="537" t="n"/>
      <c r="R31" s="500" t="n"/>
      <c r="S31" s="500" t="n"/>
      <c r="T31" s="500" t="n"/>
      <c r="U31" s="500" t="n"/>
      <c r="V31" s="500" t="n"/>
      <c r="W31" s="500" t="n"/>
      <c r="X31" s="500" t="n"/>
      <c r="Y31" s="500" t="n"/>
      <c r="Z31" s="500" t="n"/>
    </row>
    <row r="32" ht="30" customHeight="1" s="673">
      <c r="A32" s="500" t="n"/>
      <c r="B32" s="547" t="n"/>
      <c r="C32" s="537" t="n"/>
      <c r="D32" s="537" t="n"/>
      <c r="E32" s="537" t="n"/>
      <c r="F32" s="537" t="n"/>
      <c r="G32" s="537" t="n"/>
      <c r="H32" s="537" t="n"/>
      <c r="I32" s="537" t="n"/>
      <c r="J32" s="537" t="n"/>
      <c r="K32" s="537" t="n"/>
      <c r="L32" s="537" t="n"/>
      <c r="M32" s="537" t="n"/>
      <c r="N32" s="537" t="n"/>
      <c r="O32" s="537" t="n"/>
      <c r="P32" s="537" t="n"/>
      <c r="Q32" s="537" t="n"/>
      <c r="R32" s="500" t="n"/>
      <c r="S32" s="500" t="n"/>
      <c r="T32" s="500" t="n"/>
      <c r="U32" s="500" t="n"/>
      <c r="V32" s="500" t="n"/>
      <c r="W32" s="500" t="n"/>
      <c r="X32" s="500" t="n"/>
      <c r="Y32" s="500" t="n"/>
      <c r="Z32" s="500" t="n"/>
    </row>
    <row r="33" ht="30" customHeight="1" s="673">
      <c r="A33" s="500" t="n"/>
      <c r="B33" s="547" t="n"/>
      <c r="C33" s="537" t="n"/>
      <c r="D33" s="537" t="n"/>
      <c r="E33" s="537" t="n"/>
      <c r="F33" s="537" t="n"/>
      <c r="G33" s="537" t="n"/>
      <c r="H33" s="537" t="n"/>
      <c r="I33" s="537" t="n"/>
      <c r="J33" s="537" t="n"/>
      <c r="K33" s="537" t="n"/>
      <c r="L33" s="537" t="n"/>
      <c r="M33" s="537" t="n"/>
      <c r="N33" s="537" t="n"/>
      <c r="O33" s="537" t="n"/>
      <c r="P33" s="537" t="n"/>
      <c r="Q33" s="537" t="n"/>
      <c r="R33" s="500" t="n"/>
      <c r="S33" s="500" t="n"/>
      <c r="T33" s="500" t="n"/>
      <c r="U33" s="500" t="n"/>
      <c r="V33" s="500" t="n"/>
      <c r="W33" s="500" t="n"/>
      <c r="X33" s="500" t="n"/>
      <c r="Y33" s="500" t="n"/>
      <c r="Z33" s="500" t="n"/>
    </row>
    <row r="34" ht="30" customHeight="1" s="673">
      <c r="A34" s="500" t="n"/>
      <c r="B34" s="547" t="n"/>
      <c r="C34" s="537" t="n"/>
      <c r="D34" s="537" t="n"/>
      <c r="E34" s="537" t="n"/>
      <c r="F34" s="537" t="n"/>
      <c r="G34" s="537" t="n"/>
      <c r="H34" s="537" t="n"/>
      <c r="I34" s="537" t="n"/>
      <c r="J34" s="537" t="n"/>
      <c r="K34" s="537" t="n"/>
      <c r="L34" s="537" t="n"/>
      <c r="M34" s="537" t="n"/>
      <c r="N34" s="537" t="n"/>
      <c r="O34" s="537" t="n"/>
      <c r="P34" s="537" t="n"/>
      <c r="Q34" s="537" t="n"/>
      <c r="R34" s="500" t="n"/>
      <c r="S34" s="500" t="n"/>
      <c r="T34" s="500" t="n"/>
      <c r="U34" s="500" t="n"/>
      <c r="V34" s="500" t="n"/>
      <c r="W34" s="500" t="n"/>
      <c r="X34" s="500" t="n"/>
      <c r="Y34" s="500" t="n"/>
      <c r="Z34" s="500" t="n"/>
    </row>
    <row r="35" ht="30" customHeight="1" s="673">
      <c r="A35" s="500" t="n"/>
      <c r="B35" s="547" t="n"/>
      <c r="C35" s="537" t="n"/>
      <c r="D35" s="537" t="n"/>
      <c r="E35" s="537" t="n"/>
      <c r="F35" s="537" t="n"/>
      <c r="G35" s="537" t="n"/>
      <c r="H35" s="537" t="n"/>
      <c r="I35" s="537" t="n"/>
      <c r="J35" s="537" t="n"/>
      <c r="K35" s="537" t="n"/>
      <c r="L35" s="537" t="n"/>
      <c r="M35" s="537" t="n"/>
      <c r="N35" s="537" t="n"/>
      <c r="O35" s="537" t="n"/>
      <c r="P35" s="537" t="n"/>
      <c r="Q35" s="537" t="n"/>
      <c r="R35" s="500" t="n"/>
      <c r="S35" s="500" t="n"/>
      <c r="T35" s="500" t="n"/>
      <c r="U35" s="500" t="n"/>
      <c r="V35" s="500" t="n"/>
      <c r="W35" s="500" t="n"/>
      <c r="X35" s="500" t="n"/>
      <c r="Y35" s="500" t="n"/>
      <c r="Z35" s="500" t="n"/>
    </row>
    <row r="36" ht="30" customHeight="1" s="673">
      <c r="A36" s="500" t="n"/>
      <c r="B36" s="547" t="n"/>
      <c r="C36" s="537" t="n"/>
      <c r="D36" s="537" t="n"/>
      <c r="E36" s="537" t="n"/>
      <c r="F36" s="537" t="n"/>
      <c r="G36" s="537" t="n"/>
      <c r="H36" s="537" t="n"/>
      <c r="I36" s="537" t="n"/>
      <c r="J36" s="537" t="n"/>
      <c r="K36" s="537" t="n"/>
      <c r="L36" s="537" t="n"/>
      <c r="M36" s="537" t="n"/>
      <c r="N36" s="537" t="n"/>
      <c r="O36" s="537" t="n"/>
      <c r="P36" s="537" t="n"/>
      <c r="Q36" s="537" t="n"/>
      <c r="R36" s="500" t="n"/>
      <c r="S36" s="500" t="n"/>
      <c r="T36" s="500" t="n"/>
      <c r="U36" s="500" t="n"/>
      <c r="V36" s="500" t="n"/>
      <c r="W36" s="500" t="n"/>
      <c r="X36" s="500" t="n"/>
      <c r="Y36" s="500" t="n"/>
      <c r="Z36" s="500" t="n"/>
    </row>
    <row r="37" ht="30" customHeight="1" s="673">
      <c r="A37" s="500" t="n"/>
      <c r="B37" s="547" t="n"/>
      <c r="C37" s="537" t="n"/>
      <c r="D37" s="537" t="n"/>
      <c r="E37" s="537" t="n"/>
      <c r="F37" s="537" t="n"/>
      <c r="G37" s="537" t="n"/>
      <c r="H37" s="537" t="n"/>
      <c r="I37" s="537" t="n"/>
      <c r="J37" s="537" t="n"/>
      <c r="K37" s="537" t="n"/>
      <c r="L37" s="537" t="n"/>
      <c r="M37" s="537" t="n"/>
      <c r="N37" s="537" t="n"/>
      <c r="O37" s="537" t="n"/>
      <c r="P37" s="537" t="n"/>
      <c r="Q37" s="537" t="n"/>
      <c r="R37" s="500" t="n"/>
      <c r="S37" s="500" t="n"/>
      <c r="T37" s="500" t="n"/>
      <c r="U37" s="500" t="n"/>
      <c r="V37" s="500" t="n"/>
      <c r="W37" s="500" t="n"/>
      <c r="X37" s="500" t="n"/>
      <c r="Y37" s="500" t="n"/>
      <c r="Z37" s="500" t="n"/>
    </row>
    <row r="38" ht="30" customHeight="1" s="673">
      <c r="A38" s="500" t="n"/>
      <c r="B38" s="547" t="n"/>
      <c r="C38" s="537" t="n"/>
      <c r="D38" s="537" t="n"/>
      <c r="E38" s="537" t="n"/>
      <c r="F38" s="537" t="n"/>
      <c r="G38" s="537" t="n"/>
      <c r="H38" s="537" t="n"/>
      <c r="I38" s="537" t="n"/>
      <c r="J38" s="537" t="n"/>
      <c r="K38" s="537" t="n"/>
      <c r="L38" s="537" t="n"/>
      <c r="M38" s="537" t="n"/>
      <c r="N38" s="537" t="n"/>
      <c r="O38" s="537" t="n"/>
      <c r="P38" s="537" t="n"/>
      <c r="Q38" s="537" t="n"/>
      <c r="R38" s="500" t="n"/>
      <c r="S38" s="500" t="n"/>
      <c r="T38" s="500" t="n"/>
      <c r="U38" s="500" t="n"/>
      <c r="V38" s="500" t="n"/>
      <c r="W38" s="500" t="n"/>
      <c r="X38" s="500" t="n"/>
      <c r="Y38" s="500" t="n"/>
      <c r="Z38" s="500" t="n"/>
    </row>
    <row r="39" ht="30" customHeight="1" s="673">
      <c r="A39" s="500" t="n"/>
      <c r="B39" s="547" t="n"/>
      <c r="C39" s="537" t="n"/>
      <c r="D39" s="537" t="n"/>
      <c r="E39" s="537" t="n"/>
      <c r="F39" s="537" t="n"/>
      <c r="G39" s="537" t="n"/>
      <c r="H39" s="537" t="n"/>
      <c r="I39" s="537" t="n"/>
      <c r="J39" s="537" t="n"/>
      <c r="K39" s="537" t="n"/>
      <c r="L39" s="537" t="n"/>
      <c r="M39" s="537" t="n"/>
      <c r="N39" s="537" t="n"/>
      <c r="O39" s="537" t="n"/>
      <c r="P39" s="537" t="n"/>
      <c r="Q39" s="537" t="n"/>
      <c r="R39" s="500" t="n"/>
      <c r="S39" s="500" t="n"/>
      <c r="T39" s="500" t="n"/>
      <c r="U39" s="500" t="n"/>
      <c r="V39" s="500" t="n"/>
      <c r="W39" s="500" t="n"/>
      <c r="X39" s="500" t="n"/>
      <c r="Y39" s="500" t="n"/>
      <c r="Z39" s="500" t="n"/>
    </row>
    <row r="40" ht="30" customHeight="1" s="673">
      <c r="A40" s="500" t="n"/>
      <c r="B40" s="547" t="n"/>
      <c r="C40" s="537" t="n"/>
      <c r="D40" s="537" t="n"/>
      <c r="E40" s="537" t="n"/>
      <c r="F40" s="537" t="n"/>
      <c r="G40" s="537" t="n"/>
      <c r="H40" s="537" t="n"/>
      <c r="I40" s="537" t="n"/>
      <c r="J40" s="537" t="n"/>
      <c r="K40" s="537" t="n"/>
      <c r="L40" s="537" t="n"/>
      <c r="M40" s="537" t="n"/>
      <c r="N40" s="537" t="n"/>
      <c r="O40" s="537" t="n"/>
      <c r="P40" s="537" t="n"/>
      <c r="Q40" s="537" t="n"/>
      <c r="R40" s="500" t="n"/>
      <c r="S40" s="500" t="n"/>
      <c r="T40" s="500" t="n"/>
      <c r="U40" s="500" t="n"/>
      <c r="V40" s="500" t="n"/>
      <c r="W40" s="500" t="n"/>
      <c r="X40" s="500" t="n"/>
      <c r="Y40" s="500" t="n"/>
      <c r="Z40" s="500" t="n"/>
    </row>
    <row r="41" ht="30" customHeight="1" s="673">
      <c r="A41" s="500" t="n"/>
      <c r="B41" s="547" t="n"/>
      <c r="C41" s="537" t="n"/>
      <c r="D41" s="537" t="n"/>
      <c r="E41" s="537" t="n"/>
      <c r="F41" s="537" t="n"/>
      <c r="G41" s="537" t="n"/>
      <c r="H41" s="537" t="n"/>
      <c r="I41" s="537" t="n"/>
      <c r="J41" s="537" t="n"/>
      <c r="K41" s="537" t="n"/>
      <c r="L41" s="537" t="n"/>
      <c r="M41" s="537" t="n"/>
      <c r="N41" s="537" t="n"/>
      <c r="O41" s="537" t="n"/>
      <c r="P41" s="537" t="n"/>
      <c r="Q41" s="537" t="n"/>
      <c r="R41" s="500" t="n"/>
      <c r="S41" s="500" t="n"/>
      <c r="T41" s="500" t="n"/>
      <c r="U41" s="500" t="n"/>
      <c r="V41" s="500" t="n"/>
      <c r="W41" s="500" t="n"/>
      <c r="X41" s="500" t="n"/>
      <c r="Y41" s="500" t="n"/>
      <c r="Z41" s="500" t="n"/>
    </row>
    <row r="42" ht="30" customHeight="1" s="673">
      <c r="A42" s="500" t="n"/>
      <c r="B42" s="547" t="n"/>
      <c r="C42" s="537" t="n"/>
      <c r="D42" s="537" t="n"/>
      <c r="E42" s="537" t="n"/>
      <c r="F42" s="537" t="n"/>
      <c r="G42" s="537" t="n"/>
      <c r="H42" s="537" t="n"/>
      <c r="I42" s="537" t="n"/>
      <c r="J42" s="537" t="n"/>
      <c r="K42" s="537" t="n"/>
      <c r="L42" s="537" t="n"/>
      <c r="M42" s="537" t="n"/>
      <c r="N42" s="537" t="n"/>
      <c r="O42" s="537" t="n"/>
      <c r="P42" s="537" t="n"/>
      <c r="Q42" s="537" t="n"/>
      <c r="R42" s="500" t="n"/>
      <c r="S42" s="500" t="n"/>
      <c r="T42" s="500" t="n"/>
      <c r="U42" s="500" t="n"/>
      <c r="V42" s="500" t="n"/>
      <c r="W42" s="500" t="n"/>
      <c r="X42" s="500" t="n"/>
      <c r="Y42" s="500" t="n"/>
      <c r="Z42" s="500" t="n"/>
    </row>
    <row r="43" ht="30" customHeight="1" s="673">
      <c r="A43" s="500" t="n"/>
      <c r="B43" s="547" t="n"/>
      <c r="C43" s="537" t="n"/>
      <c r="D43" s="537" t="n"/>
      <c r="E43" s="537" t="n"/>
      <c r="F43" s="537" t="n"/>
      <c r="G43" s="537" t="n"/>
      <c r="H43" s="537" t="n"/>
      <c r="I43" s="537" t="n"/>
      <c r="J43" s="537" t="n"/>
      <c r="K43" s="537" t="n"/>
      <c r="L43" s="537" t="n"/>
      <c r="M43" s="537" t="n"/>
      <c r="N43" s="537" t="n"/>
      <c r="O43" s="537" t="n"/>
      <c r="P43" s="537" t="n"/>
      <c r="Q43" s="537" t="n"/>
      <c r="R43" s="500" t="n"/>
      <c r="S43" s="500" t="n"/>
      <c r="T43" s="500" t="n"/>
      <c r="U43" s="500" t="n"/>
      <c r="V43" s="500" t="n"/>
      <c r="W43" s="500" t="n"/>
      <c r="X43" s="500" t="n"/>
      <c r="Y43" s="500" t="n"/>
      <c r="Z43" s="500" t="n"/>
    </row>
    <row r="44" ht="30" customHeight="1" s="673">
      <c r="A44" s="500" t="n"/>
      <c r="B44" s="547" t="n"/>
      <c r="C44" s="537" t="n"/>
      <c r="D44" s="537" t="n"/>
      <c r="E44" s="537" t="n"/>
      <c r="F44" s="537" t="n"/>
      <c r="G44" s="537" t="n"/>
      <c r="H44" s="537" t="n"/>
      <c r="I44" s="537" t="n"/>
      <c r="J44" s="537" t="n"/>
      <c r="K44" s="537" t="n"/>
      <c r="L44" s="537" t="n"/>
      <c r="M44" s="537" t="n"/>
      <c r="N44" s="537" t="n"/>
      <c r="O44" s="537" t="n"/>
      <c r="P44" s="537" t="n"/>
      <c r="Q44" s="537" t="n"/>
      <c r="R44" s="500" t="n"/>
      <c r="S44" s="500" t="n"/>
      <c r="T44" s="500" t="n"/>
      <c r="U44" s="500" t="n"/>
      <c r="V44" s="500" t="n"/>
      <c r="W44" s="500" t="n"/>
      <c r="X44" s="500" t="n"/>
      <c r="Y44" s="500" t="n"/>
      <c r="Z44" s="500" t="n"/>
    </row>
    <row r="45" ht="30" customHeight="1" s="673">
      <c r="A45" s="500" t="n"/>
      <c r="B45" s="547" t="n"/>
      <c r="C45" s="537" t="n"/>
      <c r="D45" s="537" t="n"/>
      <c r="E45" s="537" t="n"/>
      <c r="F45" s="537" t="n"/>
      <c r="G45" s="537" t="n"/>
      <c r="H45" s="537" t="n"/>
      <c r="I45" s="537" t="n"/>
      <c r="J45" s="537" t="n"/>
      <c r="K45" s="537" t="n"/>
      <c r="L45" s="537" t="n"/>
      <c r="M45" s="537" t="n"/>
      <c r="N45" s="537" t="n"/>
      <c r="O45" s="537" t="n"/>
      <c r="P45" s="537" t="n"/>
      <c r="Q45" s="537" t="n"/>
      <c r="R45" s="500" t="n"/>
      <c r="S45" s="500" t="n"/>
      <c r="T45" s="500" t="n"/>
      <c r="U45" s="500" t="n"/>
      <c r="V45" s="500" t="n"/>
      <c r="W45" s="500" t="n"/>
      <c r="X45" s="500" t="n"/>
      <c r="Y45" s="500" t="n"/>
      <c r="Z45" s="500" t="n"/>
    </row>
    <row r="46" ht="30" customHeight="1" s="673">
      <c r="A46" s="500" t="n"/>
      <c r="B46" s="547" t="n"/>
      <c r="C46" s="537" t="n"/>
      <c r="D46" s="537" t="n"/>
      <c r="E46" s="537" t="n"/>
      <c r="F46" s="537" t="n"/>
      <c r="G46" s="537" t="n"/>
      <c r="H46" s="537" t="n"/>
      <c r="I46" s="537" t="n"/>
      <c r="J46" s="537" t="n"/>
      <c r="K46" s="537" t="n"/>
      <c r="L46" s="537" t="n"/>
      <c r="M46" s="537" t="n"/>
      <c r="N46" s="537" t="n"/>
      <c r="O46" s="537" t="n"/>
      <c r="P46" s="537" t="n"/>
      <c r="Q46" s="537" t="n"/>
      <c r="R46" s="500" t="n"/>
      <c r="S46" s="500" t="n"/>
      <c r="T46" s="500" t="n"/>
      <c r="U46" s="500" t="n"/>
      <c r="V46" s="500" t="n"/>
      <c r="W46" s="500" t="n"/>
      <c r="X46" s="500" t="n"/>
      <c r="Y46" s="500" t="n"/>
      <c r="Z46" s="500" t="n"/>
    </row>
    <row r="47" ht="30" customHeight="1" s="673">
      <c r="A47" s="500" t="n"/>
      <c r="B47" s="547" t="n"/>
      <c r="C47" s="537" t="n"/>
      <c r="D47" s="537" t="n"/>
      <c r="E47" s="537" t="n"/>
      <c r="F47" s="537" t="n"/>
      <c r="G47" s="537" t="n"/>
      <c r="H47" s="537" t="n"/>
      <c r="I47" s="537" t="n"/>
      <c r="J47" s="537" t="n"/>
      <c r="K47" s="537" t="n"/>
      <c r="L47" s="537" t="n"/>
      <c r="M47" s="537" t="n"/>
      <c r="N47" s="537" t="n"/>
      <c r="O47" s="537" t="n"/>
      <c r="P47" s="537" t="n"/>
      <c r="Q47" s="537" t="n"/>
      <c r="R47" s="500" t="n"/>
      <c r="S47" s="500" t="n"/>
      <c r="T47" s="500" t="n"/>
      <c r="U47" s="500" t="n"/>
      <c r="V47" s="500" t="n"/>
      <c r="W47" s="500" t="n"/>
      <c r="X47" s="500" t="n"/>
      <c r="Y47" s="500" t="n"/>
      <c r="Z47" s="500" t="n"/>
    </row>
    <row r="48" ht="30" customHeight="1" s="673">
      <c r="A48" s="500" t="n"/>
      <c r="B48" s="547" t="n"/>
      <c r="C48" s="537" t="n"/>
      <c r="D48" s="537" t="n"/>
      <c r="E48" s="537" t="n"/>
      <c r="F48" s="537" t="n"/>
      <c r="G48" s="537" t="n"/>
      <c r="H48" s="537" t="n"/>
      <c r="I48" s="537" t="n"/>
      <c r="J48" s="537" t="n"/>
      <c r="K48" s="537" t="n"/>
      <c r="L48" s="537" t="n"/>
      <c r="M48" s="537" t="n"/>
      <c r="N48" s="537" t="n"/>
      <c r="O48" s="537" t="n"/>
      <c r="P48" s="537" t="n"/>
      <c r="Q48" s="537" t="n"/>
      <c r="R48" s="500" t="n"/>
      <c r="S48" s="500" t="n"/>
      <c r="T48" s="500" t="n"/>
      <c r="U48" s="500" t="n"/>
      <c r="V48" s="500" t="n"/>
      <c r="W48" s="500" t="n"/>
      <c r="X48" s="500" t="n"/>
      <c r="Y48" s="500" t="n"/>
      <c r="Z48" s="500" t="n"/>
    </row>
    <row r="49" ht="30" customHeight="1" s="673">
      <c r="A49" s="500" t="n"/>
      <c r="B49" s="547" t="n"/>
      <c r="C49" s="537" t="n"/>
      <c r="D49" s="537" t="n"/>
      <c r="E49" s="537" t="n"/>
      <c r="F49" s="537" t="n"/>
      <c r="G49" s="537" t="n"/>
      <c r="H49" s="537" t="n"/>
      <c r="I49" s="537" t="n"/>
      <c r="J49" s="537" t="n"/>
      <c r="K49" s="537" t="n"/>
      <c r="L49" s="537" t="n"/>
      <c r="M49" s="537" t="n"/>
      <c r="N49" s="537" t="n"/>
      <c r="O49" s="537" t="n"/>
      <c r="P49" s="537" t="n"/>
      <c r="Q49" s="537" t="n"/>
      <c r="R49" s="500" t="n"/>
      <c r="S49" s="500" t="n"/>
      <c r="T49" s="500" t="n"/>
      <c r="U49" s="500" t="n"/>
      <c r="V49" s="500" t="n"/>
      <c r="W49" s="500" t="n"/>
      <c r="X49" s="500" t="n"/>
      <c r="Y49" s="500" t="n"/>
      <c r="Z49" s="500" t="n"/>
    </row>
    <row r="50" ht="30" customHeight="1" s="673">
      <c r="A50" s="500" t="n"/>
      <c r="B50" s="547" t="n"/>
      <c r="C50" s="537" t="n"/>
      <c r="D50" s="537" t="n"/>
      <c r="E50" s="537" t="n"/>
      <c r="F50" s="537" t="n"/>
      <c r="G50" s="537" t="n"/>
      <c r="H50" s="537" t="n"/>
      <c r="I50" s="537" t="n"/>
      <c r="J50" s="537" t="n"/>
      <c r="K50" s="537" t="n"/>
      <c r="L50" s="537" t="n"/>
      <c r="M50" s="537" t="n"/>
      <c r="N50" s="537" t="n"/>
      <c r="O50" s="537" t="n"/>
      <c r="P50" s="537" t="n"/>
      <c r="Q50" s="537" t="n"/>
      <c r="R50" s="500" t="n"/>
      <c r="S50" s="500" t="n"/>
      <c r="T50" s="500" t="n"/>
      <c r="U50" s="500" t="n"/>
      <c r="V50" s="500" t="n"/>
      <c r="W50" s="500" t="n"/>
      <c r="X50" s="500" t="n"/>
      <c r="Y50" s="500" t="n"/>
      <c r="Z50" s="500" t="n"/>
    </row>
    <row r="51" ht="30" customHeight="1" s="673">
      <c r="A51" s="500" t="n"/>
      <c r="B51" s="547" t="n"/>
      <c r="C51" s="537" t="n"/>
      <c r="D51" s="537" t="n"/>
      <c r="E51" s="537" t="n"/>
      <c r="F51" s="537" t="n"/>
      <c r="G51" s="537" t="n"/>
      <c r="H51" s="537" t="n"/>
      <c r="I51" s="537" t="n"/>
      <c r="J51" s="537" t="n"/>
      <c r="K51" s="537" t="n"/>
      <c r="L51" s="537" t="n"/>
      <c r="M51" s="537" t="n"/>
      <c r="N51" s="537" t="n"/>
      <c r="O51" s="537" t="n"/>
      <c r="P51" s="537" t="n"/>
      <c r="Q51" s="537" t="n"/>
      <c r="R51" s="500" t="n"/>
      <c r="S51" s="500" t="n"/>
      <c r="T51" s="500" t="n"/>
      <c r="U51" s="500" t="n"/>
      <c r="V51" s="500" t="n"/>
      <c r="W51" s="500" t="n"/>
      <c r="X51" s="500" t="n"/>
      <c r="Y51" s="500" t="n"/>
      <c r="Z51" s="500" t="n"/>
    </row>
    <row r="52" ht="30" customHeight="1" s="673">
      <c r="A52" s="500" t="n"/>
      <c r="B52" s="547" t="n"/>
      <c r="C52" s="537" t="n"/>
      <c r="D52" s="537" t="n"/>
      <c r="E52" s="537" t="n"/>
      <c r="F52" s="537" t="n"/>
      <c r="G52" s="537" t="n"/>
      <c r="H52" s="537" t="n"/>
      <c r="I52" s="537" t="n"/>
      <c r="J52" s="537" t="n"/>
      <c r="K52" s="537" t="n"/>
      <c r="L52" s="537" t="n"/>
      <c r="M52" s="537" t="n"/>
      <c r="N52" s="537" t="n"/>
      <c r="O52" s="537" t="n"/>
      <c r="P52" s="537" t="n"/>
      <c r="Q52" s="537" t="n"/>
      <c r="R52" s="500" t="n"/>
      <c r="S52" s="500" t="n"/>
      <c r="T52" s="500" t="n"/>
      <c r="U52" s="500" t="n"/>
      <c r="V52" s="500" t="n"/>
      <c r="W52" s="500" t="n"/>
      <c r="X52" s="500" t="n"/>
      <c r="Y52" s="500" t="n"/>
      <c r="Z52" s="500" t="n"/>
    </row>
    <row r="53" ht="30" customHeight="1" s="673">
      <c r="A53" s="500" t="n"/>
      <c r="B53" s="547" t="n"/>
      <c r="C53" s="537" t="n"/>
      <c r="D53" s="537" t="n"/>
      <c r="E53" s="537" t="n"/>
      <c r="F53" s="537" t="n"/>
      <c r="G53" s="537" t="n"/>
      <c r="H53" s="537" t="n"/>
      <c r="I53" s="537" t="n"/>
      <c r="J53" s="537" t="n"/>
      <c r="K53" s="537" t="n"/>
      <c r="L53" s="537" t="n"/>
      <c r="M53" s="537" t="n"/>
      <c r="N53" s="537" t="n"/>
      <c r="O53" s="537" t="n"/>
      <c r="P53" s="537" t="n"/>
      <c r="Q53" s="537" t="n"/>
      <c r="R53" s="500" t="n"/>
      <c r="S53" s="500" t="n"/>
      <c r="T53" s="500" t="n"/>
      <c r="U53" s="500" t="n"/>
      <c r="V53" s="500" t="n"/>
      <c r="W53" s="500" t="n"/>
      <c r="X53" s="500" t="n"/>
      <c r="Y53" s="500" t="n"/>
      <c r="Z53" s="500" t="n"/>
    </row>
    <row r="54" ht="30" customHeight="1" s="673">
      <c r="A54" s="500" t="n"/>
      <c r="B54" s="547" t="n"/>
      <c r="C54" s="537" t="n"/>
      <c r="D54" s="537" t="n"/>
      <c r="E54" s="537" t="n"/>
      <c r="F54" s="537" t="n"/>
      <c r="G54" s="537" t="n"/>
      <c r="H54" s="537" t="n"/>
      <c r="I54" s="537" t="n"/>
      <c r="J54" s="537" t="n"/>
      <c r="K54" s="537" t="n"/>
      <c r="L54" s="537" t="n"/>
      <c r="M54" s="537" t="n"/>
      <c r="N54" s="537" t="n"/>
      <c r="O54" s="537" t="n"/>
      <c r="P54" s="537" t="n"/>
      <c r="Q54" s="537" t="n"/>
      <c r="R54" s="500" t="n"/>
      <c r="S54" s="500" t="n"/>
      <c r="T54" s="500" t="n"/>
      <c r="U54" s="500" t="n"/>
      <c r="V54" s="500" t="n"/>
      <c r="W54" s="500" t="n"/>
      <c r="X54" s="500" t="n"/>
      <c r="Y54" s="500" t="n"/>
      <c r="Z54" s="500" t="n"/>
    </row>
    <row r="55" ht="30" customHeight="1" s="673">
      <c r="A55" s="500" t="n"/>
      <c r="B55" s="547" t="n"/>
      <c r="C55" s="537" t="n"/>
      <c r="D55" s="537" t="n"/>
      <c r="E55" s="537" t="n"/>
      <c r="F55" s="537" t="n"/>
      <c r="G55" s="537" t="n"/>
      <c r="H55" s="537" t="n"/>
      <c r="I55" s="537" t="n"/>
      <c r="J55" s="537" t="n"/>
      <c r="K55" s="537" t="n"/>
      <c r="L55" s="537" t="n"/>
      <c r="M55" s="537" t="n"/>
      <c r="N55" s="537" t="n"/>
      <c r="O55" s="537" t="n"/>
      <c r="P55" s="537" t="n"/>
      <c r="Q55" s="537" t="n"/>
      <c r="R55" s="500" t="n"/>
      <c r="S55" s="500" t="n"/>
      <c r="T55" s="500" t="n"/>
      <c r="U55" s="500" t="n"/>
      <c r="V55" s="500" t="n"/>
      <c r="W55" s="500" t="n"/>
      <c r="X55" s="500" t="n"/>
      <c r="Y55" s="500" t="n"/>
      <c r="Z55" s="500" t="n"/>
    </row>
    <row r="56" ht="30" customHeight="1" s="673">
      <c r="A56" s="500" t="n"/>
      <c r="B56" s="547" t="n"/>
      <c r="C56" s="537" t="n"/>
      <c r="D56" s="537" t="n"/>
      <c r="E56" s="537" t="n"/>
      <c r="F56" s="537" t="n"/>
      <c r="G56" s="537" t="n"/>
      <c r="H56" s="537" t="n"/>
      <c r="I56" s="537" t="n"/>
      <c r="J56" s="537" t="n"/>
      <c r="K56" s="537" t="n"/>
      <c r="L56" s="537" t="n"/>
      <c r="M56" s="537" t="n"/>
      <c r="N56" s="537" t="n"/>
      <c r="O56" s="537" t="n"/>
      <c r="P56" s="537" t="n"/>
      <c r="Q56" s="537" t="n"/>
      <c r="R56" s="500" t="n"/>
      <c r="S56" s="500" t="n"/>
      <c r="T56" s="500" t="n"/>
      <c r="U56" s="500" t="n"/>
      <c r="V56" s="500" t="n"/>
      <c r="W56" s="500" t="n"/>
      <c r="X56" s="500" t="n"/>
      <c r="Y56" s="500" t="n"/>
      <c r="Z56" s="500" t="n"/>
    </row>
    <row r="57" ht="30" customHeight="1" s="673">
      <c r="A57" s="500" t="n"/>
      <c r="B57" s="547" t="n"/>
      <c r="C57" s="537" t="n"/>
      <c r="D57" s="537" t="n"/>
      <c r="E57" s="537" t="n"/>
      <c r="F57" s="537" t="n"/>
      <c r="G57" s="537" t="n"/>
      <c r="H57" s="537" t="n"/>
      <c r="I57" s="537" t="n"/>
      <c r="J57" s="537" t="n"/>
      <c r="K57" s="537" t="n"/>
      <c r="L57" s="537" t="n"/>
      <c r="M57" s="537" t="n"/>
      <c r="N57" s="537" t="n"/>
      <c r="O57" s="537" t="n"/>
      <c r="P57" s="537" t="n"/>
      <c r="Q57" s="537" t="n"/>
      <c r="R57" s="500" t="n"/>
      <c r="S57" s="500" t="n"/>
      <c r="T57" s="500" t="n"/>
      <c r="U57" s="500" t="n"/>
      <c r="V57" s="500" t="n"/>
      <c r="W57" s="500" t="n"/>
      <c r="X57" s="500" t="n"/>
      <c r="Y57" s="500" t="n"/>
      <c r="Z57" s="500" t="n"/>
    </row>
    <row r="58" ht="30" customHeight="1" s="673">
      <c r="A58" s="500" t="n"/>
      <c r="B58" s="547" t="n"/>
      <c r="C58" s="537" t="n"/>
      <c r="D58" s="537" t="n"/>
      <c r="E58" s="537" t="n"/>
      <c r="F58" s="537" t="n"/>
      <c r="G58" s="537" t="n"/>
      <c r="H58" s="537" t="n"/>
      <c r="I58" s="537" t="n"/>
      <c r="J58" s="537" t="n"/>
      <c r="K58" s="537" t="n"/>
      <c r="L58" s="537" t="n"/>
      <c r="M58" s="537" t="n"/>
      <c r="N58" s="537" t="n"/>
      <c r="O58" s="537" t="n"/>
      <c r="P58" s="537" t="n"/>
      <c r="Q58" s="537" t="n"/>
      <c r="R58" s="500" t="n"/>
      <c r="S58" s="500" t="n"/>
      <c r="T58" s="500" t="n"/>
      <c r="U58" s="500" t="n"/>
      <c r="V58" s="500" t="n"/>
      <c r="W58" s="500" t="n"/>
      <c r="X58" s="500" t="n"/>
      <c r="Y58" s="500" t="n"/>
      <c r="Z58" s="500" t="n"/>
    </row>
    <row r="59" ht="30" customHeight="1" s="673">
      <c r="A59" s="500" t="n"/>
      <c r="B59" s="547" t="n"/>
      <c r="C59" s="537" t="n"/>
      <c r="D59" s="537" t="n"/>
      <c r="E59" s="537" t="n"/>
      <c r="F59" s="537" t="n"/>
      <c r="G59" s="537" t="n"/>
      <c r="H59" s="537" t="n"/>
      <c r="I59" s="537" t="n"/>
      <c r="J59" s="537" t="n"/>
      <c r="K59" s="537" t="n"/>
      <c r="L59" s="537" t="n"/>
      <c r="M59" s="537" t="n"/>
      <c r="N59" s="537" t="n"/>
      <c r="O59" s="537" t="n"/>
      <c r="P59" s="537" t="n"/>
      <c r="Q59" s="537" t="n"/>
      <c r="R59" s="500" t="n"/>
      <c r="S59" s="500" t="n"/>
      <c r="T59" s="500" t="n"/>
      <c r="U59" s="500" t="n"/>
      <c r="V59" s="500" t="n"/>
      <c r="W59" s="500" t="n"/>
      <c r="X59" s="500" t="n"/>
      <c r="Y59" s="500" t="n"/>
      <c r="Z59" s="500" t="n"/>
    </row>
    <row r="60" ht="30" customHeight="1" s="673">
      <c r="A60" s="500" t="n"/>
      <c r="B60" s="547" t="n"/>
      <c r="C60" s="537" t="n"/>
      <c r="D60" s="537" t="n"/>
      <c r="E60" s="537" t="n"/>
      <c r="F60" s="537" t="n"/>
      <c r="G60" s="537" t="n"/>
      <c r="H60" s="537" t="n"/>
      <c r="I60" s="537" t="n"/>
      <c r="J60" s="537" t="n"/>
      <c r="K60" s="537" t="n"/>
      <c r="L60" s="537" t="n"/>
      <c r="M60" s="537" t="n"/>
      <c r="N60" s="537" t="n"/>
      <c r="O60" s="537" t="n"/>
      <c r="P60" s="537" t="n"/>
      <c r="Q60" s="537" t="n"/>
      <c r="R60" s="500" t="n"/>
      <c r="S60" s="500" t="n"/>
      <c r="T60" s="500" t="n"/>
      <c r="U60" s="500" t="n"/>
      <c r="V60" s="500" t="n"/>
      <c r="W60" s="500" t="n"/>
      <c r="X60" s="500" t="n"/>
      <c r="Y60" s="500" t="n"/>
      <c r="Z60" s="500" t="n"/>
    </row>
    <row r="61" ht="30" customHeight="1" s="673">
      <c r="A61" s="500" t="n"/>
      <c r="B61" s="547" t="n"/>
      <c r="C61" s="537" t="n"/>
      <c r="D61" s="537" t="n"/>
      <c r="E61" s="537" t="n"/>
      <c r="F61" s="537" t="n"/>
      <c r="G61" s="537" t="n"/>
      <c r="H61" s="537" t="n"/>
      <c r="I61" s="537" t="n"/>
      <c r="J61" s="537" t="n"/>
      <c r="K61" s="537" t="n"/>
      <c r="L61" s="537" t="n"/>
      <c r="M61" s="537" t="n"/>
      <c r="N61" s="537" t="n"/>
      <c r="O61" s="537" t="n"/>
      <c r="P61" s="537" t="n"/>
      <c r="Q61" s="537" t="n"/>
      <c r="R61" s="500" t="n"/>
      <c r="S61" s="500" t="n"/>
      <c r="T61" s="500" t="n"/>
      <c r="U61" s="500" t="n"/>
      <c r="V61" s="500" t="n"/>
      <c r="W61" s="500" t="n"/>
      <c r="X61" s="500" t="n"/>
      <c r="Y61" s="500" t="n"/>
      <c r="Z61" s="500" t="n"/>
    </row>
    <row r="62" ht="30" customHeight="1" s="673">
      <c r="A62" s="500" t="n"/>
      <c r="B62" s="547" t="n"/>
      <c r="C62" s="537" t="n"/>
      <c r="D62" s="537" t="n"/>
      <c r="E62" s="537" t="n"/>
      <c r="F62" s="537" t="n"/>
      <c r="G62" s="537" t="n"/>
      <c r="H62" s="537" t="n"/>
      <c r="I62" s="537" t="n"/>
      <c r="J62" s="537" t="n"/>
      <c r="K62" s="537" t="n"/>
      <c r="L62" s="537" t="n"/>
      <c r="M62" s="537" t="n"/>
      <c r="N62" s="537" t="n"/>
      <c r="O62" s="537" t="n"/>
      <c r="P62" s="537" t="n"/>
      <c r="Q62" s="537" t="n"/>
      <c r="R62" s="500" t="n"/>
      <c r="S62" s="500" t="n"/>
      <c r="T62" s="500" t="n"/>
      <c r="U62" s="500" t="n"/>
      <c r="V62" s="500" t="n"/>
      <c r="W62" s="500" t="n"/>
      <c r="X62" s="500" t="n"/>
      <c r="Y62" s="500" t="n"/>
      <c r="Z62" s="500" t="n"/>
    </row>
    <row r="63" ht="30" customHeight="1" s="673">
      <c r="A63" s="500" t="n"/>
      <c r="B63" s="547" t="n"/>
      <c r="C63" s="537" t="n"/>
      <c r="D63" s="537" t="n"/>
      <c r="E63" s="537" t="n"/>
      <c r="F63" s="537" t="n"/>
      <c r="G63" s="537" t="n"/>
      <c r="H63" s="537" t="n"/>
      <c r="I63" s="537" t="n"/>
      <c r="J63" s="537" t="n"/>
      <c r="K63" s="537" t="n"/>
      <c r="L63" s="537" t="n"/>
      <c r="M63" s="537" t="n"/>
      <c r="N63" s="537" t="n"/>
      <c r="O63" s="537" t="n"/>
      <c r="P63" s="537" t="n"/>
      <c r="Q63" s="537" t="n"/>
      <c r="R63" s="500" t="n"/>
      <c r="S63" s="500" t="n"/>
      <c r="T63" s="500" t="n"/>
      <c r="U63" s="500" t="n"/>
      <c r="V63" s="500" t="n"/>
      <c r="W63" s="500" t="n"/>
      <c r="X63" s="500" t="n"/>
      <c r="Y63" s="500" t="n"/>
      <c r="Z63" s="500" t="n"/>
    </row>
    <row r="64" ht="30" customHeight="1" s="673">
      <c r="A64" s="500" t="n"/>
      <c r="B64" s="547" t="n"/>
      <c r="C64" s="537" t="n"/>
      <c r="D64" s="537" t="n"/>
      <c r="E64" s="537" t="n"/>
      <c r="F64" s="537" t="n"/>
      <c r="G64" s="537" t="n"/>
      <c r="H64" s="537" t="n"/>
      <c r="I64" s="537" t="n"/>
      <c r="J64" s="537" t="n"/>
      <c r="K64" s="537" t="n"/>
      <c r="L64" s="537" t="n"/>
      <c r="M64" s="537" t="n"/>
      <c r="N64" s="537" t="n"/>
      <c r="O64" s="537" t="n"/>
      <c r="P64" s="537" t="n"/>
      <c r="Q64" s="537" t="n"/>
      <c r="R64" s="500" t="n"/>
      <c r="S64" s="500" t="n"/>
      <c r="T64" s="500" t="n"/>
      <c r="U64" s="500" t="n"/>
      <c r="V64" s="500" t="n"/>
      <c r="W64" s="500" t="n"/>
      <c r="X64" s="500" t="n"/>
      <c r="Y64" s="500" t="n"/>
      <c r="Z64" s="500" t="n"/>
    </row>
    <row r="65" ht="30" customHeight="1" s="673">
      <c r="A65" s="500" t="n"/>
      <c r="B65" s="547" t="n"/>
      <c r="C65" s="537" t="n"/>
      <c r="D65" s="537" t="n"/>
      <c r="E65" s="537" t="n"/>
      <c r="F65" s="537" t="n"/>
      <c r="G65" s="537" t="n"/>
      <c r="H65" s="537" t="n"/>
      <c r="I65" s="537" t="n"/>
      <c r="J65" s="537" t="n"/>
      <c r="K65" s="537" t="n"/>
      <c r="L65" s="537" t="n"/>
      <c r="M65" s="537" t="n"/>
      <c r="N65" s="537" t="n"/>
      <c r="O65" s="537" t="n"/>
      <c r="P65" s="537" t="n"/>
      <c r="Q65" s="537" t="n"/>
      <c r="R65" s="500" t="n"/>
      <c r="S65" s="500" t="n"/>
      <c r="T65" s="500" t="n"/>
      <c r="U65" s="500" t="n"/>
      <c r="V65" s="500" t="n"/>
      <c r="W65" s="500" t="n"/>
      <c r="X65" s="500" t="n"/>
      <c r="Y65" s="500" t="n"/>
      <c r="Z65" s="500" t="n"/>
    </row>
    <row r="66" ht="30" customHeight="1" s="673">
      <c r="A66" s="500" t="n"/>
      <c r="B66" s="547" t="n"/>
      <c r="C66" s="537" t="n"/>
      <c r="D66" s="537" t="n"/>
      <c r="E66" s="537" t="n"/>
      <c r="F66" s="537" t="n"/>
      <c r="G66" s="537" t="n"/>
      <c r="H66" s="537" t="n"/>
      <c r="I66" s="537" t="n"/>
      <c r="J66" s="537" t="n"/>
      <c r="K66" s="537" t="n"/>
      <c r="L66" s="537" t="n"/>
      <c r="M66" s="537" t="n"/>
      <c r="N66" s="537" t="n"/>
      <c r="O66" s="537" t="n"/>
      <c r="P66" s="537" t="n"/>
      <c r="Q66" s="537" t="n"/>
      <c r="R66" s="500" t="n"/>
      <c r="S66" s="500" t="n"/>
      <c r="T66" s="500" t="n"/>
      <c r="U66" s="500" t="n"/>
      <c r="V66" s="500" t="n"/>
      <c r="W66" s="500" t="n"/>
      <c r="X66" s="500" t="n"/>
      <c r="Y66" s="500" t="n"/>
      <c r="Z66" s="500" t="n"/>
    </row>
    <row r="67" ht="30" customHeight="1" s="673">
      <c r="A67" s="500" t="n"/>
      <c r="B67" s="547" t="n"/>
      <c r="C67" s="537" t="n"/>
      <c r="D67" s="537" t="n"/>
      <c r="E67" s="537" t="n"/>
      <c r="F67" s="537" t="n"/>
      <c r="G67" s="537" t="n"/>
      <c r="H67" s="537" t="n"/>
      <c r="I67" s="537" t="n"/>
      <c r="J67" s="537" t="n"/>
      <c r="K67" s="537" t="n"/>
      <c r="L67" s="537" t="n"/>
      <c r="M67" s="537" t="n"/>
      <c r="N67" s="537" t="n"/>
      <c r="O67" s="537" t="n"/>
      <c r="P67" s="537" t="n"/>
      <c r="Q67" s="537" t="n"/>
      <c r="R67" s="500" t="n"/>
      <c r="S67" s="500" t="n"/>
      <c r="T67" s="500" t="n"/>
      <c r="U67" s="500" t="n"/>
      <c r="V67" s="500" t="n"/>
      <c r="W67" s="500" t="n"/>
      <c r="X67" s="500" t="n"/>
      <c r="Y67" s="500" t="n"/>
      <c r="Z67" s="500" t="n"/>
    </row>
    <row r="68" ht="30" customHeight="1" s="673">
      <c r="A68" s="500" t="n"/>
      <c r="B68" s="547" t="n"/>
      <c r="C68" s="537" t="n"/>
      <c r="D68" s="537" t="n"/>
      <c r="E68" s="537" t="n"/>
      <c r="F68" s="537" t="n"/>
      <c r="G68" s="537" t="n"/>
      <c r="H68" s="537" t="n"/>
      <c r="I68" s="537" t="n"/>
      <c r="J68" s="537" t="n"/>
      <c r="K68" s="537" t="n"/>
      <c r="L68" s="537" t="n"/>
      <c r="M68" s="537" t="n"/>
      <c r="N68" s="537" t="n"/>
      <c r="O68" s="537" t="n"/>
      <c r="P68" s="537" t="n"/>
      <c r="Q68" s="537" t="n"/>
      <c r="R68" s="500" t="n"/>
      <c r="S68" s="500" t="n"/>
      <c r="T68" s="500" t="n"/>
      <c r="U68" s="500" t="n"/>
      <c r="V68" s="500" t="n"/>
      <c r="W68" s="500" t="n"/>
      <c r="X68" s="500" t="n"/>
      <c r="Y68" s="500" t="n"/>
      <c r="Z68" s="500" t="n"/>
    </row>
    <row r="69" ht="30" customHeight="1" s="673">
      <c r="A69" s="500" t="n"/>
      <c r="B69" s="547" t="n"/>
      <c r="C69" s="537" t="n"/>
      <c r="D69" s="537" t="n"/>
      <c r="E69" s="537" t="n"/>
      <c r="F69" s="537" t="n"/>
      <c r="G69" s="537" t="n"/>
      <c r="H69" s="537" t="n"/>
      <c r="I69" s="537" t="n"/>
      <c r="J69" s="537" t="n"/>
      <c r="K69" s="537" t="n"/>
      <c r="L69" s="537" t="n"/>
      <c r="M69" s="537" t="n"/>
      <c r="N69" s="537" t="n"/>
      <c r="O69" s="537" t="n"/>
      <c r="P69" s="537" t="n"/>
      <c r="Q69" s="537" t="n"/>
      <c r="R69" s="500" t="n"/>
      <c r="S69" s="500" t="n"/>
      <c r="T69" s="500" t="n"/>
      <c r="U69" s="500" t="n"/>
      <c r="V69" s="500" t="n"/>
      <c r="W69" s="500" t="n"/>
      <c r="X69" s="500" t="n"/>
      <c r="Y69" s="500" t="n"/>
      <c r="Z69" s="500" t="n"/>
    </row>
    <row r="70" ht="30" customHeight="1" s="673">
      <c r="A70" s="500" t="n"/>
      <c r="B70" s="547" t="n"/>
      <c r="C70" s="537" t="n"/>
      <c r="D70" s="537" t="n"/>
      <c r="E70" s="537" t="n"/>
      <c r="F70" s="537" t="n"/>
      <c r="G70" s="537" t="n"/>
      <c r="H70" s="537" t="n"/>
      <c r="I70" s="537" t="n"/>
      <c r="J70" s="537" t="n"/>
      <c r="K70" s="537" t="n"/>
      <c r="L70" s="537" t="n"/>
      <c r="M70" s="537" t="n"/>
      <c r="N70" s="537" t="n"/>
      <c r="O70" s="537" t="n"/>
      <c r="P70" s="537" t="n"/>
      <c r="Q70" s="537" t="n"/>
      <c r="R70" s="500" t="n"/>
      <c r="S70" s="500" t="n"/>
      <c r="T70" s="500" t="n"/>
      <c r="U70" s="500" t="n"/>
      <c r="V70" s="500" t="n"/>
      <c r="W70" s="500" t="n"/>
      <c r="X70" s="500" t="n"/>
      <c r="Y70" s="500" t="n"/>
      <c r="Z70" s="500" t="n"/>
    </row>
    <row r="71" ht="30" customHeight="1" s="673">
      <c r="A71" s="500" t="n"/>
      <c r="B71" s="547" t="n"/>
      <c r="C71" s="537" t="n"/>
      <c r="D71" s="537" t="n"/>
      <c r="E71" s="537" t="n"/>
      <c r="F71" s="537" t="n"/>
      <c r="G71" s="537" t="n"/>
      <c r="H71" s="537" t="n"/>
      <c r="I71" s="537" t="n"/>
      <c r="J71" s="537" t="n"/>
      <c r="K71" s="537" t="n"/>
      <c r="L71" s="537" t="n"/>
      <c r="M71" s="537" t="n"/>
      <c r="N71" s="537" t="n"/>
      <c r="O71" s="537" t="n"/>
      <c r="P71" s="537" t="n"/>
      <c r="Q71" s="537" t="n"/>
      <c r="R71" s="500" t="n"/>
      <c r="S71" s="500" t="n"/>
      <c r="T71" s="500" t="n"/>
      <c r="U71" s="500" t="n"/>
      <c r="V71" s="500" t="n"/>
      <c r="W71" s="500" t="n"/>
      <c r="X71" s="500" t="n"/>
      <c r="Y71" s="500" t="n"/>
      <c r="Z71" s="500" t="n"/>
    </row>
    <row r="72" ht="30" customHeight="1" s="673">
      <c r="A72" s="500" t="n"/>
      <c r="B72" s="547" t="n"/>
      <c r="C72" s="537" t="n"/>
      <c r="D72" s="537" t="n"/>
      <c r="E72" s="537" t="n"/>
      <c r="F72" s="537" t="n"/>
      <c r="G72" s="537" t="n"/>
      <c r="H72" s="537" t="n"/>
      <c r="I72" s="537" t="n"/>
      <c r="J72" s="537" t="n"/>
      <c r="K72" s="537" t="n"/>
      <c r="L72" s="537" t="n"/>
      <c r="M72" s="537" t="n"/>
      <c r="N72" s="537" t="n"/>
      <c r="O72" s="537" t="n"/>
      <c r="P72" s="537" t="n"/>
      <c r="Q72" s="537" t="n"/>
      <c r="R72" s="500" t="n"/>
      <c r="S72" s="500" t="n"/>
      <c r="T72" s="500" t="n"/>
      <c r="U72" s="500" t="n"/>
      <c r="V72" s="500" t="n"/>
      <c r="W72" s="500" t="n"/>
      <c r="X72" s="500" t="n"/>
      <c r="Y72" s="500" t="n"/>
      <c r="Z72" s="500" t="n"/>
    </row>
    <row r="73" ht="30" customHeight="1" s="673">
      <c r="A73" s="500" t="n"/>
      <c r="B73" s="547" t="n"/>
      <c r="C73" s="537" t="n"/>
      <c r="D73" s="537" t="n"/>
      <c r="E73" s="537" t="n"/>
      <c r="F73" s="537" t="n"/>
      <c r="G73" s="537" t="n"/>
      <c r="H73" s="537" t="n"/>
      <c r="I73" s="537" t="n"/>
      <c r="J73" s="537" t="n"/>
      <c r="K73" s="537" t="n"/>
      <c r="L73" s="537" t="n"/>
      <c r="M73" s="537" t="n"/>
      <c r="N73" s="537" t="n"/>
      <c r="O73" s="537" t="n"/>
      <c r="P73" s="537" t="n"/>
      <c r="Q73" s="537" t="n"/>
      <c r="R73" s="500" t="n"/>
      <c r="S73" s="500" t="n"/>
      <c r="T73" s="500" t="n"/>
      <c r="U73" s="500" t="n"/>
      <c r="V73" s="500" t="n"/>
      <c r="W73" s="500" t="n"/>
      <c r="X73" s="500" t="n"/>
      <c r="Y73" s="500" t="n"/>
      <c r="Z73" s="500" t="n"/>
    </row>
    <row r="74" ht="30" customHeight="1" s="673">
      <c r="A74" s="500" t="n"/>
      <c r="B74" s="547" t="n"/>
      <c r="C74" s="537" t="n"/>
      <c r="D74" s="537" t="n"/>
      <c r="E74" s="537" t="n"/>
      <c r="F74" s="537" t="n"/>
      <c r="G74" s="537" t="n"/>
      <c r="H74" s="537" t="n"/>
      <c r="I74" s="537" t="n"/>
      <c r="J74" s="537" t="n"/>
      <c r="K74" s="537" t="n"/>
      <c r="L74" s="537" t="n"/>
      <c r="M74" s="537" t="n"/>
      <c r="N74" s="537" t="n"/>
      <c r="O74" s="537" t="n"/>
      <c r="P74" s="537" t="n"/>
      <c r="Q74" s="537" t="n"/>
      <c r="R74" s="500" t="n"/>
      <c r="S74" s="500" t="n"/>
      <c r="T74" s="500" t="n"/>
      <c r="U74" s="500" t="n"/>
      <c r="V74" s="500" t="n"/>
      <c r="W74" s="500" t="n"/>
      <c r="X74" s="500" t="n"/>
      <c r="Y74" s="500" t="n"/>
      <c r="Z74" s="500" t="n"/>
    </row>
    <row r="75" ht="30" customHeight="1" s="673">
      <c r="A75" s="500" t="n"/>
      <c r="B75" s="547" t="n"/>
      <c r="C75" s="537" t="n"/>
      <c r="D75" s="537" t="n"/>
      <c r="E75" s="537" t="n"/>
      <c r="F75" s="537" t="n"/>
      <c r="G75" s="537" t="n"/>
      <c r="H75" s="537" t="n"/>
      <c r="I75" s="537" t="n"/>
      <c r="J75" s="537" t="n"/>
      <c r="K75" s="537" t="n"/>
      <c r="L75" s="537" t="n"/>
      <c r="M75" s="537" t="n"/>
      <c r="N75" s="537" t="n"/>
      <c r="O75" s="537" t="n"/>
      <c r="P75" s="537" t="n"/>
      <c r="Q75" s="537" t="n"/>
      <c r="R75" s="500" t="n"/>
      <c r="S75" s="500" t="n"/>
      <c r="T75" s="500" t="n"/>
      <c r="U75" s="500" t="n"/>
      <c r="V75" s="500" t="n"/>
      <c r="W75" s="500" t="n"/>
      <c r="X75" s="500" t="n"/>
      <c r="Y75" s="500" t="n"/>
      <c r="Z75" s="500" t="n"/>
    </row>
    <row r="76" ht="30" customHeight="1" s="673">
      <c r="A76" s="500" t="n"/>
      <c r="B76" s="547" t="n"/>
      <c r="C76" s="537" t="n"/>
      <c r="D76" s="537" t="n"/>
      <c r="E76" s="537" t="n"/>
      <c r="F76" s="537" t="n"/>
      <c r="G76" s="537" t="n"/>
      <c r="H76" s="537" t="n"/>
      <c r="I76" s="537" t="n"/>
      <c r="J76" s="537" t="n"/>
      <c r="K76" s="537" t="n"/>
      <c r="L76" s="537" t="n"/>
      <c r="M76" s="537" t="n"/>
      <c r="N76" s="537" t="n"/>
      <c r="O76" s="537" t="n"/>
      <c r="P76" s="537" t="n"/>
      <c r="Q76" s="537" t="n"/>
      <c r="R76" s="500" t="n"/>
      <c r="S76" s="500" t="n"/>
      <c r="T76" s="500" t="n"/>
      <c r="U76" s="500" t="n"/>
      <c r="V76" s="500" t="n"/>
      <c r="W76" s="500" t="n"/>
      <c r="X76" s="500" t="n"/>
      <c r="Y76" s="500" t="n"/>
      <c r="Z76" s="500" t="n"/>
    </row>
    <row r="77" ht="30" customHeight="1" s="673">
      <c r="A77" s="500" t="n"/>
      <c r="B77" s="547" t="n"/>
      <c r="C77" s="537" t="n"/>
      <c r="D77" s="537" t="n"/>
      <c r="E77" s="537" t="n"/>
      <c r="F77" s="537" t="n"/>
      <c r="G77" s="537" t="n"/>
      <c r="H77" s="537" t="n"/>
      <c r="I77" s="537" t="n"/>
      <c r="J77" s="537" t="n"/>
      <c r="K77" s="537" t="n"/>
      <c r="L77" s="537" t="n"/>
      <c r="M77" s="537" t="n"/>
      <c r="N77" s="537" t="n"/>
      <c r="O77" s="537" t="n"/>
      <c r="P77" s="537" t="n"/>
      <c r="Q77" s="537" t="n"/>
      <c r="R77" s="500" t="n"/>
      <c r="S77" s="500" t="n"/>
      <c r="T77" s="500" t="n"/>
      <c r="U77" s="500" t="n"/>
      <c r="V77" s="500" t="n"/>
      <c r="W77" s="500" t="n"/>
      <c r="X77" s="500" t="n"/>
      <c r="Y77" s="500" t="n"/>
      <c r="Z77" s="500" t="n"/>
    </row>
    <row r="78" ht="30" customHeight="1" s="673">
      <c r="A78" s="500" t="n"/>
      <c r="B78" s="547" t="n"/>
      <c r="C78" s="537" t="n"/>
      <c r="D78" s="537" t="n"/>
      <c r="E78" s="537" t="n"/>
      <c r="F78" s="537" t="n"/>
      <c r="G78" s="537" t="n"/>
      <c r="H78" s="537" t="n"/>
      <c r="I78" s="537" t="n"/>
      <c r="J78" s="537" t="n"/>
      <c r="K78" s="537" t="n"/>
      <c r="L78" s="537" t="n"/>
      <c r="M78" s="537" t="n"/>
      <c r="N78" s="537" t="n"/>
      <c r="O78" s="537" t="n"/>
      <c r="P78" s="537" t="n"/>
      <c r="Q78" s="537" t="n"/>
      <c r="R78" s="500" t="n"/>
      <c r="S78" s="500" t="n"/>
      <c r="T78" s="500" t="n"/>
      <c r="U78" s="500" t="n"/>
      <c r="V78" s="500" t="n"/>
      <c r="W78" s="500" t="n"/>
      <c r="X78" s="500" t="n"/>
      <c r="Y78" s="500" t="n"/>
      <c r="Z78" s="500" t="n"/>
    </row>
    <row r="79" ht="30" customHeight="1" s="673">
      <c r="A79" s="500" t="n"/>
      <c r="B79" s="547" t="n"/>
      <c r="C79" s="537" t="n"/>
      <c r="D79" s="537" t="n"/>
      <c r="E79" s="537" t="n"/>
      <c r="F79" s="537" t="n"/>
      <c r="G79" s="537" t="n"/>
      <c r="H79" s="537" t="n"/>
      <c r="I79" s="537" t="n"/>
      <c r="J79" s="537" t="n"/>
      <c r="K79" s="537" t="n"/>
      <c r="L79" s="537" t="n"/>
      <c r="M79" s="537" t="n"/>
      <c r="N79" s="537" t="n"/>
      <c r="O79" s="537" t="n"/>
      <c r="P79" s="537" t="n"/>
      <c r="Q79" s="537" t="n"/>
      <c r="R79" s="500" t="n"/>
      <c r="S79" s="500" t="n"/>
      <c r="T79" s="500" t="n"/>
      <c r="U79" s="500" t="n"/>
      <c r="V79" s="500" t="n"/>
      <c r="W79" s="500" t="n"/>
      <c r="X79" s="500" t="n"/>
      <c r="Y79" s="500" t="n"/>
      <c r="Z79" s="500" t="n"/>
    </row>
    <row r="80" ht="30" customHeight="1" s="673">
      <c r="A80" s="500" t="n"/>
      <c r="B80" s="547" t="n"/>
      <c r="C80" s="537" t="n"/>
      <c r="D80" s="537" t="n"/>
      <c r="E80" s="537" t="n"/>
      <c r="F80" s="537" t="n"/>
      <c r="G80" s="537" t="n"/>
      <c r="H80" s="537" t="n"/>
      <c r="I80" s="537" t="n"/>
      <c r="J80" s="537" t="n"/>
      <c r="K80" s="537" t="n"/>
      <c r="L80" s="537" t="n"/>
      <c r="M80" s="537" t="n"/>
      <c r="N80" s="537" t="n"/>
      <c r="O80" s="537" t="n"/>
      <c r="P80" s="537" t="n"/>
      <c r="Q80" s="537" t="n"/>
      <c r="R80" s="500" t="n"/>
      <c r="S80" s="500" t="n"/>
      <c r="T80" s="500" t="n"/>
      <c r="U80" s="500" t="n"/>
      <c r="V80" s="500" t="n"/>
      <c r="W80" s="500" t="n"/>
      <c r="X80" s="500" t="n"/>
      <c r="Y80" s="500" t="n"/>
      <c r="Z80" s="500" t="n"/>
    </row>
    <row r="81" ht="30" customHeight="1" s="673">
      <c r="A81" s="500" t="n"/>
      <c r="B81" s="547" t="n"/>
      <c r="C81" s="537" t="n"/>
      <c r="D81" s="537" t="n"/>
      <c r="E81" s="537" t="n"/>
      <c r="F81" s="537" t="n"/>
      <c r="G81" s="537" t="n"/>
      <c r="H81" s="537" t="n"/>
      <c r="I81" s="537" t="n"/>
      <c r="J81" s="537" t="n"/>
      <c r="K81" s="537" t="n"/>
      <c r="L81" s="537" t="n"/>
      <c r="M81" s="537" t="n"/>
      <c r="N81" s="537" t="n"/>
      <c r="O81" s="537" t="n"/>
      <c r="P81" s="537" t="n"/>
      <c r="Q81" s="537" t="n"/>
      <c r="R81" s="500" t="n"/>
      <c r="S81" s="500" t="n"/>
      <c r="T81" s="500" t="n"/>
      <c r="U81" s="500" t="n"/>
      <c r="V81" s="500" t="n"/>
      <c r="W81" s="500" t="n"/>
      <c r="X81" s="500" t="n"/>
      <c r="Y81" s="500" t="n"/>
      <c r="Z81" s="500" t="n"/>
    </row>
    <row r="82" ht="30" customHeight="1" s="673">
      <c r="A82" s="500" t="n"/>
      <c r="B82" s="547" t="n"/>
      <c r="C82" s="537" t="n"/>
      <c r="D82" s="537" t="n"/>
      <c r="E82" s="537" t="n"/>
      <c r="F82" s="537" t="n"/>
      <c r="G82" s="537" t="n"/>
      <c r="H82" s="537" t="n"/>
      <c r="I82" s="537" t="n"/>
      <c r="J82" s="537" t="n"/>
      <c r="K82" s="537" t="n"/>
      <c r="L82" s="537" t="n"/>
      <c r="M82" s="537" t="n"/>
      <c r="N82" s="537" t="n"/>
      <c r="O82" s="537" t="n"/>
      <c r="P82" s="537" t="n"/>
      <c r="Q82" s="537" t="n"/>
      <c r="R82" s="500" t="n"/>
      <c r="S82" s="500" t="n"/>
      <c r="T82" s="500" t="n"/>
      <c r="U82" s="500" t="n"/>
      <c r="V82" s="500" t="n"/>
      <c r="W82" s="500" t="n"/>
      <c r="X82" s="500" t="n"/>
      <c r="Y82" s="500" t="n"/>
      <c r="Z82" s="500" t="n"/>
    </row>
    <row r="83" ht="30" customHeight="1" s="673">
      <c r="A83" s="500" t="n"/>
      <c r="B83" s="547" t="n"/>
      <c r="C83" s="537" t="n"/>
      <c r="D83" s="537" t="n"/>
      <c r="E83" s="537" t="n"/>
      <c r="F83" s="537" t="n"/>
      <c r="G83" s="537" t="n"/>
      <c r="H83" s="537" t="n"/>
      <c r="I83" s="537" t="n"/>
      <c r="J83" s="537" t="n"/>
      <c r="K83" s="537" t="n"/>
      <c r="L83" s="537" t="n"/>
      <c r="M83" s="537" t="n"/>
      <c r="N83" s="537" t="n"/>
      <c r="O83" s="537" t="n"/>
      <c r="P83" s="537" t="n"/>
      <c r="Q83" s="537" t="n"/>
      <c r="R83" s="500" t="n"/>
      <c r="S83" s="500" t="n"/>
      <c r="T83" s="500" t="n"/>
      <c r="U83" s="500" t="n"/>
      <c r="V83" s="500" t="n"/>
      <c r="W83" s="500" t="n"/>
      <c r="X83" s="500" t="n"/>
      <c r="Y83" s="500" t="n"/>
      <c r="Z83" s="500" t="n"/>
    </row>
    <row r="84" ht="30" customHeight="1" s="673">
      <c r="A84" s="500" t="n"/>
      <c r="B84" s="547" t="n"/>
      <c r="C84" s="537" t="n"/>
      <c r="D84" s="537" t="n"/>
      <c r="E84" s="537" t="n"/>
      <c r="F84" s="537" t="n"/>
      <c r="G84" s="537" t="n"/>
      <c r="H84" s="537" t="n"/>
      <c r="I84" s="537" t="n"/>
      <c r="J84" s="537" t="n"/>
      <c r="K84" s="537" t="n"/>
      <c r="L84" s="537" t="n"/>
      <c r="M84" s="537" t="n"/>
      <c r="N84" s="537" t="n"/>
      <c r="O84" s="537" t="n"/>
      <c r="P84" s="537" t="n"/>
      <c r="Q84" s="537" t="n"/>
      <c r="R84" s="500" t="n"/>
      <c r="S84" s="500" t="n"/>
      <c r="T84" s="500" t="n"/>
      <c r="U84" s="500" t="n"/>
      <c r="V84" s="500" t="n"/>
      <c r="W84" s="500" t="n"/>
      <c r="X84" s="500" t="n"/>
      <c r="Y84" s="500" t="n"/>
      <c r="Z84" s="500" t="n"/>
    </row>
    <row r="85" ht="30" customHeight="1" s="673">
      <c r="A85" s="500" t="n"/>
      <c r="B85" s="547" t="n"/>
      <c r="C85" s="537" t="n"/>
      <c r="D85" s="537" t="n"/>
      <c r="E85" s="537" t="n"/>
      <c r="F85" s="537" t="n"/>
      <c r="G85" s="537" t="n"/>
      <c r="H85" s="537" t="n"/>
      <c r="I85" s="537" t="n"/>
      <c r="J85" s="537" t="n"/>
      <c r="K85" s="537" t="n"/>
      <c r="L85" s="537" t="n"/>
      <c r="M85" s="537" t="n"/>
      <c r="N85" s="537" t="n"/>
      <c r="O85" s="537" t="n"/>
      <c r="P85" s="537" t="n"/>
      <c r="Q85" s="537" t="n"/>
      <c r="R85" s="500" t="n"/>
      <c r="S85" s="500" t="n"/>
      <c r="T85" s="500" t="n"/>
      <c r="U85" s="500" t="n"/>
      <c r="V85" s="500" t="n"/>
      <c r="W85" s="500" t="n"/>
      <c r="X85" s="500" t="n"/>
      <c r="Y85" s="500" t="n"/>
      <c r="Z85" s="500" t="n"/>
    </row>
    <row r="86" ht="30" customHeight="1" s="673">
      <c r="A86" s="500" t="n"/>
      <c r="B86" s="547" t="n"/>
      <c r="C86" s="537" t="n"/>
      <c r="D86" s="537" t="n"/>
      <c r="E86" s="537" t="n"/>
      <c r="F86" s="537" t="n"/>
      <c r="G86" s="537" t="n"/>
      <c r="H86" s="537" t="n"/>
      <c r="I86" s="537" t="n"/>
      <c r="J86" s="537" t="n"/>
      <c r="K86" s="537" t="n"/>
      <c r="L86" s="537" t="n"/>
      <c r="M86" s="537" t="n"/>
      <c r="N86" s="537" t="n"/>
      <c r="O86" s="537" t="n"/>
      <c r="P86" s="537" t="n"/>
      <c r="Q86" s="537" t="n"/>
      <c r="R86" s="500" t="n"/>
      <c r="S86" s="500" t="n"/>
      <c r="T86" s="500" t="n"/>
      <c r="U86" s="500" t="n"/>
      <c r="V86" s="500" t="n"/>
      <c r="W86" s="500" t="n"/>
      <c r="X86" s="500" t="n"/>
      <c r="Y86" s="500" t="n"/>
      <c r="Z86" s="500" t="n"/>
    </row>
    <row r="87" ht="30" customHeight="1" s="673">
      <c r="A87" s="500" t="n"/>
      <c r="B87" s="547" t="n"/>
      <c r="C87" s="537" t="n"/>
      <c r="D87" s="537" t="n"/>
      <c r="E87" s="537" t="n"/>
      <c r="F87" s="537" t="n"/>
      <c r="G87" s="537" t="n"/>
      <c r="H87" s="537" t="n"/>
      <c r="I87" s="537" t="n"/>
      <c r="J87" s="537" t="n"/>
      <c r="K87" s="537" t="n"/>
      <c r="L87" s="537" t="n"/>
      <c r="M87" s="537" t="n"/>
      <c r="N87" s="537" t="n"/>
      <c r="O87" s="537" t="n"/>
      <c r="P87" s="537" t="n"/>
      <c r="Q87" s="537" t="n"/>
      <c r="R87" s="500" t="n"/>
      <c r="S87" s="500" t="n"/>
      <c r="T87" s="500" t="n"/>
      <c r="U87" s="500" t="n"/>
      <c r="V87" s="500" t="n"/>
      <c r="W87" s="500" t="n"/>
      <c r="X87" s="500" t="n"/>
      <c r="Y87" s="500" t="n"/>
      <c r="Z87" s="500" t="n"/>
    </row>
    <row r="88" ht="30" customHeight="1" s="673">
      <c r="A88" s="500" t="n"/>
      <c r="B88" s="547" t="n"/>
      <c r="C88" s="537" t="n"/>
      <c r="D88" s="537" t="n"/>
      <c r="E88" s="537" t="n"/>
      <c r="F88" s="537" t="n"/>
      <c r="G88" s="537" t="n"/>
      <c r="H88" s="537" t="n"/>
      <c r="I88" s="537" t="n"/>
      <c r="J88" s="537" t="n"/>
      <c r="K88" s="537" t="n"/>
      <c r="L88" s="537" t="n"/>
      <c r="M88" s="537" t="n"/>
      <c r="N88" s="537" t="n"/>
      <c r="O88" s="537" t="n"/>
      <c r="P88" s="537" t="n"/>
      <c r="Q88" s="537" t="n"/>
      <c r="R88" s="500" t="n"/>
      <c r="S88" s="500" t="n"/>
      <c r="T88" s="500" t="n"/>
      <c r="U88" s="500" t="n"/>
      <c r="V88" s="500" t="n"/>
      <c r="W88" s="500" t="n"/>
      <c r="X88" s="500" t="n"/>
      <c r="Y88" s="500" t="n"/>
      <c r="Z88" s="500" t="n"/>
    </row>
    <row r="89" ht="30" customHeight="1" s="673">
      <c r="A89" s="500" t="n"/>
      <c r="B89" s="547" t="n"/>
      <c r="C89" s="537" t="n"/>
      <c r="D89" s="537" t="n"/>
      <c r="E89" s="537" t="n"/>
      <c r="F89" s="537" t="n"/>
      <c r="G89" s="537" t="n"/>
      <c r="H89" s="537" t="n"/>
      <c r="I89" s="537" t="n"/>
      <c r="J89" s="537" t="n"/>
      <c r="K89" s="537" t="n"/>
      <c r="L89" s="537" t="n"/>
      <c r="M89" s="537" t="n"/>
      <c r="N89" s="537" t="n"/>
      <c r="O89" s="537" t="n"/>
      <c r="P89" s="537" t="n"/>
      <c r="Q89" s="537" t="n"/>
      <c r="R89" s="500" t="n"/>
      <c r="S89" s="500" t="n"/>
      <c r="T89" s="500" t="n"/>
      <c r="U89" s="500" t="n"/>
      <c r="V89" s="500" t="n"/>
      <c r="W89" s="500" t="n"/>
      <c r="X89" s="500" t="n"/>
      <c r="Y89" s="500" t="n"/>
      <c r="Z89" s="500" t="n"/>
    </row>
    <row r="90" ht="30" customHeight="1" s="673">
      <c r="A90" s="500" t="n"/>
      <c r="B90" s="547" t="n"/>
      <c r="C90" s="537" t="n"/>
      <c r="D90" s="537" t="n"/>
      <c r="E90" s="537" t="n"/>
      <c r="F90" s="537" t="n"/>
      <c r="G90" s="537" t="n"/>
      <c r="H90" s="537" t="n"/>
      <c r="I90" s="537" t="n"/>
      <c r="J90" s="537" t="n"/>
      <c r="K90" s="537" t="n"/>
      <c r="L90" s="537" t="n"/>
      <c r="M90" s="537" t="n"/>
      <c r="N90" s="537" t="n"/>
      <c r="O90" s="537" t="n"/>
      <c r="P90" s="537" t="n"/>
      <c r="Q90" s="537" t="n"/>
      <c r="R90" s="500" t="n"/>
      <c r="S90" s="500" t="n"/>
      <c r="T90" s="500" t="n"/>
      <c r="U90" s="500" t="n"/>
      <c r="V90" s="500" t="n"/>
      <c r="W90" s="500" t="n"/>
      <c r="X90" s="500" t="n"/>
      <c r="Y90" s="500" t="n"/>
      <c r="Z90" s="500" t="n"/>
    </row>
    <row r="91" ht="30" customHeight="1" s="673">
      <c r="A91" s="500" t="n"/>
      <c r="B91" s="547" t="n"/>
      <c r="C91" s="537" t="n"/>
      <c r="D91" s="537" t="n"/>
      <c r="E91" s="537" t="n"/>
      <c r="F91" s="537" t="n"/>
      <c r="G91" s="537" t="n"/>
      <c r="H91" s="537" t="n"/>
      <c r="I91" s="537" t="n"/>
      <c r="J91" s="537" t="n"/>
      <c r="K91" s="537" t="n"/>
      <c r="L91" s="537" t="n"/>
      <c r="M91" s="537" t="n"/>
      <c r="N91" s="537" t="n"/>
      <c r="O91" s="537" t="n"/>
      <c r="P91" s="537" t="n"/>
      <c r="Q91" s="537" t="n"/>
      <c r="R91" s="500" t="n"/>
      <c r="S91" s="500" t="n"/>
      <c r="T91" s="500" t="n"/>
      <c r="U91" s="500" t="n"/>
      <c r="V91" s="500" t="n"/>
      <c r="W91" s="500" t="n"/>
      <c r="X91" s="500" t="n"/>
      <c r="Y91" s="500" t="n"/>
      <c r="Z91" s="500" t="n"/>
    </row>
    <row r="92" ht="30" customHeight="1" s="673">
      <c r="A92" s="500" t="n"/>
      <c r="B92" s="547" t="n"/>
      <c r="C92" s="537" t="n"/>
      <c r="D92" s="537" t="n"/>
      <c r="E92" s="537" t="n"/>
      <c r="F92" s="537" t="n"/>
      <c r="G92" s="537" t="n"/>
      <c r="H92" s="537" t="n"/>
      <c r="I92" s="537" t="n"/>
      <c r="J92" s="537" t="n"/>
      <c r="K92" s="537" t="n"/>
      <c r="L92" s="537" t="n"/>
      <c r="M92" s="537" t="n"/>
      <c r="N92" s="537" t="n"/>
      <c r="O92" s="537" t="n"/>
      <c r="P92" s="537" t="n"/>
      <c r="Q92" s="537" t="n"/>
      <c r="R92" s="500" t="n"/>
      <c r="S92" s="500" t="n"/>
      <c r="T92" s="500" t="n"/>
      <c r="U92" s="500" t="n"/>
      <c r="V92" s="500" t="n"/>
      <c r="W92" s="500" t="n"/>
      <c r="X92" s="500" t="n"/>
      <c r="Y92" s="500" t="n"/>
      <c r="Z92" s="500" t="n"/>
    </row>
    <row r="93" ht="30" customHeight="1" s="673">
      <c r="A93" s="500" t="n"/>
      <c r="B93" s="547" t="n"/>
      <c r="C93" s="537" t="n"/>
      <c r="D93" s="537" t="n"/>
      <c r="E93" s="537" t="n"/>
      <c r="F93" s="537" t="n"/>
      <c r="G93" s="537" t="n"/>
      <c r="H93" s="537" t="n"/>
      <c r="I93" s="537" t="n"/>
      <c r="J93" s="537" t="n"/>
      <c r="K93" s="537" t="n"/>
      <c r="L93" s="537" t="n"/>
      <c r="M93" s="537" t="n"/>
      <c r="N93" s="537" t="n"/>
      <c r="O93" s="537" t="n"/>
      <c r="P93" s="537" t="n"/>
      <c r="Q93" s="537" t="n"/>
      <c r="R93" s="500" t="n"/>
      <c r="S93" s="500" t="n"/>
      <c r="T93" s="500" t="n"/>
      <c r="U93" s="500" t="n"/>
      <c r="V93" s="500" t="n"/>
      <c r="W93" s="500" t="n"/>
      <c r="X93" s="500" t="n"/>
      <c r="Y93" s="500" t="n"/>
      <c r="Z93" s="500" t="n"/>
    </row>
    <row r="94" ht="30" customHeight="1" s="673">
      <c r="A94" s="500" t="n"/>
      <c r="B94" s="547" t="n"/>
      <c r="C94" s="537" t="n"/>
      <c r="D94" s="537" t="n"/>
      <c r="E94" s="537" t="n"/>
      <c r="F94" s="537" t="n"/>
      <c r="G94" s="537" t="n"/>
      <c r="H94" s="537" t="n"/>
      <c r="I94" s="537" t="n"/>
      <c r="J94" s="537" t="n"/>
      <c r="K94" s="537" t="n"/>
      <c r="L94" s="537" t="n"/>
      <c r="M94" s="537" t="n"/>
      <c r="N94" s="537" t="n"/>
      <c r="O94" s="537" t="n"/>
      <c r="P94" s="537" t="n"/>
      <c r="Q94" s="537" t="n"/>
      <c r="R94" s="500" t="n"/>
      <c r="S94" s="500" t="n"/>
      <c r="T94" s="500" t="n"/>
      <c r="U94" s="500" t="n"/>
      <c r="V94" s="500" t="n"/>
      <c r="W94" s="500" t="n"/>
      <c r="X94" s="500" t="n"/>
      <c r="Y94" s="500" t="n"/>
      <c r="Z94" s="500" t="n"/>
    </row>
    <row r="95" ht="30" customHeight="1" s="673">
      <c r="A95" s="500" t="n"/>
      <c r="B95" s="547" t="n"/>
      <c r="C95" s="537" t="n"/>
      <c r="D95" s="537" t="n"/>
      <c r="E95" s="537" t="n"/>
      <c r="F95" s="537" t="n"/>
      <c r="G95" s="537" t="n"/>
      <c r="H95" s="537" t="n"/>
      <c r="I95" s="537" t="n"/>
      <c r="J95" s="537" t="n"/>
      <c r="K95" s="537" t="n"/>
      <c r="L95" s="537" t="n"/>
      <c r="M95" s="537" t="n"/>
      <c r="N95" s="537" t="n"/>
      <c r="O95" s="537" t="n"/>
      <c r="P95" s="537" t="n"/>
      <c r="Q95" s="537" t="n"/>
      <c r="R95" s="500" t="n"/>
      <c r="S95" s="500" t="n"/>
      <c r="T95" s="500" t="n"/>
      <c r="U95" s="500" t="n"/>
      <c r="V95" s="500" t="n"/>
      <c r="W95" s="500" t="n"/>
      <c r="X95" s="500" t="n"/>
      <c r="Y95" s="500" t="n"/>
      <c r="Z95" s="500" t="n"/>
    </row>
    <row r="96" ht="30" customHeight="1" s="673">
      <c r="A96" s="500" t="n"/>
      <c r="B96" s="547" t="n"/>
      <c r="C96" s="537" t="n"/>
      <c r="D96" s="537" t="n"/>
      <c r="E96" s="537" t="n"/>
      <c r="F96" s="537" t="n"/>
      <c r="G96" s="537" t="n"/>
      <c r="H96" s="537" t="n"/>
      <c r="I96" s="537" t="n"/>
      <c r="J96" s="537" t="n"/>
      <c r="K96" s="537" t="n"/>
      <c r="L96" s="537" t="n"/>
      <c r="M96" s="537" t="n"/>
      <c r="N96" s="537" t="n"/>
      <c r="O96" s="537" t="n"/>
      <c r="P96" s="537" t="n"/>
      <c r="Q96" s="537" t="n"/>
      <c r="R96" s="500" t="n"/>
      <c r="S96" s="500" t="n"/>
      <c r="T96" s="500" t="n"/>
      <c r="U96" s="500" t="n"/>
      <c r="V96" s="500" t="n"/>
      <c r="W96" s="500" t="n"/>
      <c r="X96" s="500" t="n"/>
      <c r="Y96" s="500" t="n"/>
      <c r="Z96" s="500" t="n"/>
    </row>
    <row r="97" ht="30" customHeight="1" s="673">
      <c r="A97" s="500" t="n"/>
      <c r="B97" s="547" t="n"/>
      <c r="C97" s="537" t="n"/>
      <c r="D97" s="537" t="n"/>
      <c r="E97" s="537" t="n"/>
      <c r="F97" s="537" t="n"/>
      <c r="G97" s="537" t="n"/>
      <c r="H97" s="537" t="n"/>
      <c r="I97" s="537" t="n"/>
      <c r="J97" s="537" t="n"/>
      <c r="K97" s="537" t="n"/>
      <c r="L97" s="537" t="n"/>
      <c r="M97" s="537" t="n"/>
      <c r="N97" s="537" t="n"/>
      <c r="O97" s="537" t="n"/>
      <c r="P97" s="537" t="n"/>
      <c r="Q97" s="537" t="n"/>
      <c r="R97" s="500" t="n"/>
      <c r="S97" s="500" t="n"/>
      <c r="T97" s="500" t="n"/>
      <c r="U97" s="500" t="n"/>
      <c r="V97" s="500" t="n"/>
      <c r="W97" s="500" t="n"/>
      <c r="X97" s="500" t="n"/>
      <c r="Y97" s="500" t="n"/>
      <c r="Z97" s="500" t="n"/>
    </row>
    <row r="98" ht="30" customHeight="1" s="673">
      <c r="A98" s="500" t="n"/>
      <c r="B98" s="547" t="n"/>
      <c r="C98" s="537" t="n"/>
      <c r="D98" s="537" t="n"/>
      <c r="E98" s="537" t="n"/>
      <c r="F98" s="537" t="n"/>
      <c r="G98" s="537" t="n"/>
      <c r="H98" s="537" t="n"/>
      <c r="I98" s="537" t="n"/>
      <c r="J98" s="537" t="n"/>
      <c r="K98" s="537" t="n"/>
      <c r="L98" s="537" t="n"/>
      <c r="M98" s="537" t="n"/>
      <c r="N98" s="537" t="n"/>
      <c r="O98" s="537" t="n"/>
      <c r="P98" s="537" t="n"/>
      <c r="Q98" s="537" t="n"/>
      <c r="R98" s="500" t="n"/>
      <c r="S98" s="500" t="n"/>
      <c r="T98" s="500" t="n"/>
      <c r="U98" s="500" t="n"/>
      <c r="V98" s="500" t="n"/>
      <c r="W98" s="500" t="n"/>
      <c r="X98" s="500" t="n"/>
      <c r="Y98" s="500" t="n"/>
      <c r="Z98" s="500" t="n"/>
    </row>
    <row r="99" ht="30" customHeight="1" s="673">
      <c r="A99" s="500" t="n"/>
      <c r="B99" s="547" t="n"/>
      <c r="C99" s="537" t="n"/>
      <c r="D99" s="537" t="n"/>
      <c r="E99" s="537" t="n"/>
      <c r="F99" s="537" t="n"/>
      <c r="G99" s="537" t="n"/>
      <c r="H99" s="537" t="n"/>
      <c r="I99" s="537" t="n"/>
      <c r="J99" s="537" t="n"/>
      <c r="K99" s="537" t="n"/>
      <c r="L99" s="537" t="n"/>
      <c r="M99" s="537" t="n"/>
      <c r="N99" s="537" t="n"/>
      <c r="O99" s="537" t="n"/>
      <c r="P99" s="537" t="n"/>
      <c r="Q99" s="537" t="n"/>
      <c r="R99" s="500" t="n"/>
      <c r="S99" s="500" t="n"/>
      <c r="T99" s="500" t="n"/>
      <c r="U99" s="500" t="n"/>
      <c r="V99" s="500" t="n"/>
      <c r="W99" s="500" t="n"/>
      <c r="X99" s="500" t="n"/>
      <c r="Y99" s="500" t="n"/>
      <c r="Z99" s="500" t="n"/>
    </row>
    <row r="100" ht="30" customHeight="1" s="673">
      <c r="A100" s="500" t="n"/>
      <c r="B100" s="547" t="n"/>
      <c r="C100" s="537" t="n"/>
      <c r="D100" s="537" t="n"/>
      <c r="E100" s="537" t="n"/>
      <c r="F100" s="537" t="n"/>
      <c r="G100" s="537" t="n"/>
      <c r="H100" s="537" t="n"/>
      <c r="I100" s="537" t="n"/>
      <c r="J100" s="537" t="n"/>
      <c r="K100" s="537" t="n"/>
      <c r="L100" s="537" t="n"/>
      <c r="M100" s="537" t="n"/>
      <c r="N100" s="537" t="n"/>
      <c r="O100" s="537" t="n"/>
      <c r="P100" s="537" t="n"/>
      <c r="Q100" s="537" t="n"/>
      <c r="R100" s="500" t="n"/>
      <c r="S100" s="500" t="n"/>
      <c r="T100" s="500" t="n"/>
      <c r="U100" s="500" t="n"/>
      <c r="V100" s="500" t="n"/>
      <c r="W100" s="500" t="n"/>
      <c r="X100" s="500" t="n"/>
      <c r="Y100" s="500" t="n"/>
      <c r="Z100" s="500" t="n"/>
    </row>
    <row r="101" ht="30" customHeight="1" s="673">
      <c r="A101" s="500" t="n"/>
      <c r="B101" s="547" t="n"/>
      <c r="C101" s="537" t="n"/>
      <c r="D101" s="537" t="n"/>
      <c r="E101" s="537" t="n"/>
      <c r="F101" s="537" t="n"/>
      <c r="G101" s="537" t="n"/>
      <c r="H101" s="537" t="n"/>
      <c r="I101" s="537" t="n"/>
      <c r="J101" s="537" t="n"/>
      <c r="K101" s="537" t="n"/>
      <c r="L101" s="537" t="n"/>
      <c r="M101" s="537" t="n"/>
      <c r="N101" s="537" t="n"/>
      <c r="O101" s="537" t="n"/>
      <c r="P101" s="537" t="n"/>
      <c r="Q101" s="537" t="n"/>
      <c r="R101" s="500" t="n"/>
      <c r="S101" s="500" t="n"/>
      <c r="T101" s="500" t="n"/>
      <c r="U101" s="500" t="n"/>
      <c r="V101" s="500" t="n"/>
      <c r="W101" s="500" t="n"/>
      <c r="X101" s="500" t="n"/>
      <c r="Y101" s="500" t="n"/>
      <c r="Z101" s="500" t="n"/>
    </row>
    <row r="102" ht="30" customHeight="1" s="673">
      <c r="A102" s="500" t="n"/>
      <c r="B102" s="547" t="n"/>
      <c r="C102" s="537" t="n"/>
      <c r="D102" s="537" t="n"/>
      <c r="E102" s="537" t="n"/>
      <c r="F102" s="537" t="n"/>
      <c r="G102" s="537" t="n"/>
      <c r="H102" s="537" t="n"/>
      <c r="I102" s="537" t="n"/>
      <c r="J102" s="537" t="n"/>
      <c r="K102" s="537" t="n"/>
      <c r="L102" s="537" t="n"/>
      <c r="M102" s="537" t="n"/>
      <c r="N102" s="537" t="n"/>
      <c r="O102" s="537" t="n"/>
      <c r="P102" s="537" t="n"/>
      <c r="Q102" s="537" t="n"/>
      <c r="R102" s="500" t="n"/>
      <c r="S102" s="500" t="n"/>
      <c r="T102" s="500" t="n"/>
      <c r="U102" s="500" t="n"/>
      <c r="V102" s="500" t="n"/>
      <c r="W102" s="500" t="n"/>
      <c r="X102" s="500" t="n"/>
      <c r="Y102" s="500" t="n"/>
      <c r="Z102" s="500" t="n"/>
    </row>
    <row r="103" ht="30" customHeight="1" s="673">
      <c r="A103" s="500" t="n"/>
      <c r="B103" s="547" t="n"/>
      <c r="C103" s="537" t="n"/>
      <c r="D103" s="537" t="n"/>
      <c r="E103" s="537" t="n"/>
      <c r="F103" s="537" t="n"/>
      <c r="G103" s="537" t="n"/>
      <c r="H103" s="537" t="n"/>
      <c r="I103" s="537" t="n"/>
      <c r="J103" s="537" t="n"/>
      <c r="K103" s="537" t="n"/>
      <c r="L103" s="537" t="n"/>
      <c r="M103" s="537" t="n"/>
      <c r="N103" s="537" t="n"/>
      <c r="O103" s="537" t="n"/>
      <c r="P103" s="537" t="n"/>
      <c r="Q103" s="537" t="n"/>
      <c r="R103" s="500" t="n"/>
      <c r="S103" s="500" t="n"/>
      <c r="T103" s="500" t="n"/>
      <c r="U103" s="500" t="n"/>
      <c r="V103" s="500" t="n"/>
      <c r="W103" s="500" t="n"/>
      <c r="X103" s="500" t="n"/>
      <c r="Y103" s="500" t="n"/>
      <c r="Z103" s="500" t="n"/>
    </row>
    <row r="104" ht="30" customHeight="1" s="673">
      <c r="A104" s="500" t="n"/>
      <c r="B104" s="547" t="n"/>
      <c r="C104" s="537" t="n"/>
      <c r="D104" s="537" t="n"/>
      <c r="E104" s="537" t="n"/>
      <c r="F104" s="537" t="n"/>
      <c r="G104" s="537" t="n"/>
      <c r="H104" s="537" t="n"/>
      <c r="I104" s="537" t="n"/>
      <c r="J104" s="537" t="n"/>
      <c r="K104" s="537" t="n"/>
      <c r="L104" s="537" t="n"/>
      <c r="M104" s="537" t="n"/>
      <c r="N104" s="537" t="n"/>
      <c r="O104" s="537" t="n"/>
      <c r="P104" s="537" t="n"/>
      <c r="Q104" s="537" t="n"/>
      <c r="R104" s="500" t="n"/>
      <c r="S104" s="500" t="n"/>
      <c r="T104" s="500" t="n"/>
      <c r="U104" s="500" t="n"/>
      <c r="V104" s="500" t="n"/>
      <c r="W104" s="500" t="n"/>
      <c r="X104" s="500" t="n"/>
      <c r="Y104" s="500" t="n"/>
      <c r="Z104" s="500" t="n"/>
    </row>
    <row r="105" ht="30" customHeight="1" s="673">
      <c r="A105" s="500" t="n"/>
      <c r="B105" s="547" t="n"/>
      <c r="C105" s="537" t="n"/>
      <c r="D105" s="537" t="n"/>
      <c r="E105" s="537" t="n"/>
      <c r="F105" s="537" t="n"/>
      <c r="G105" s="537" t="n"/>
      <c r="H105" s="537" t="n"/>
      <c r="I105" s="537" t="n"/>
      <c r="J105" s="537" t="n"/>
      <c r="K105" s="537" t="n"/>
      <c r="L105" s="537" t="n"/>
      <c r="M105" s="537" t="n"/>
      <c r="N105" s="537" t="n"/>
      <c r="O105" s="537" t="n"/>
      <c r="P105" s="537" t="n"/>
      <c r="Q105" s="537" t="n"/>
      <c r="R105" s="500" t="n"/>
      <c r="S105" s="500" t="n"/>
      <c r="T105" s="500" t="n"/>
      <c r="U105" s="500" t="n"/>
      <c r="V105" s="500" t="n"/>
      <c r="W105" s="500" t="n"/>
      <c r="X105" s="500" t="n"/>
      <c r="Y105" s="500" t="n"/>
      <c r="Z105" s="500" t="n"/>
    </row>
    <row r="106" ht="30" customHeight="1" s="673">
      <c r="A106" s="500" t="n"/>
      <c r="B106" s="547" t="n"/>
      <c r="C106" s="537" t="n"/>
      <c r="D106" s="537" t="n"/>
      <c r="E106" s="537" t="n"/>
      <c r="F106" s="537" t="n"/>
      <c r="G106" s="537" t="n"/>
      <c r="H106" s="537" t="n"/>
      <c r="I106" s="537" t="n"/>
      <c r="J106" s="537" t="n"/>
      <c r="K106" s="537" t="n"/>
      <c r="L106" s="537" t="n"/>
      <c r="M106" s="537" t="n"/>
      <c r="N106" s="537" t="n"/>
      <c r="O106" s="537" t="n"/>
      <c r="P106" s="537" t="n"/>
      <c r="Q106" s="537" t="n"/>
      <c r="R106" s="500" t="n"/>
      <c r="S106" s="500" t="n"/>
      <c r="T106" s="500" t="n"/>
      <c r="U106" s="500" t="n"/>
      <c r="V106" s="500" t="n"/>
      <c r="W106" s="500" t="n"/>
      <c r="X106" s="500" t="n"/>
      <c r="Y106" s="500" t="n"/>
      <c r="Z106" s="500" t="n"/>
    </row>
    <row r="107" ht="30" customHeight="1" s="673">
      <c r="A107" s="500" t="n"/>
      <c r="B107" s="547" t="n"/>
      <c r="C107" s="537" t="n"/>
      <c r="D107" s="537" t="n"/>
      <c r="E107" s="537" t="n"/>
      <c r="F107" s="537" t="n"/>
      <c r="G107" s="537" t="n"/>
      <c r="H107" s="537" t="n"/>
      <c r="I107" s="537" t="n"/>
      <c r="J107" s="537" t="n"/>
      <c r="K107" s="537" t="n"/>
      <c r="L107" s="537" t="n"/>
      <c r="M107" s="537" t="n"/>
      <c r="N107" s="537" t="n"/>
      <c r="O107" s="537" t="n"/>
      <c r="P107" s="537" t="n"/>
      <c r="Q107" s="537" t="n"/>
      <c r="R107" s="500" t="n"/>
      <c r="S107" s="500" t="n"/>
      <c r="T107" s="500" t="n"/>
      <c r="U107" s="500" t="n"/>
      <c r="V107" s="500" t="n"/>
      <c r="W107" s="500" t="n"/>
      <c r="X107" s="500" t="n"/>
      <c r="Y107" s="500" t="n"/>
      <c r="Z107" s="500" t="n"/>
    </row>
    <row r="108" ht="30" customHeight="1" s="673">
      <c r="A108" s="500" t="n"/>
      <c r="B108" s="547" t="n"/>
      <c r="C108" s="537" t="n"/>
      <c r="D108" s="537" t="n"/>
      <c r="E108" s="537" t="n"/>
      <c r="F108" s="537" t="n"/>
      <c r="G108" s="537" t="n"/>
      <c r="H108" s="537" t="n"/>
      <c r="I108" s="537" t="n"/>
      <c r="J108" s="537" t="n"/>
      <c r="K108" s="537" t="n"/>
      <c r="L108" s="537" t="n"/>
      <c r="M108" s="537" t="n"/>
      <c r="N108" s="537" t="n"/>
      <c r="O108" s="537" t="n"/>
      <c r="P108" s="537" t="n"/>
      <c r="Q108" s="537" t="n"/>
      <c r="R108" s="500" t="n"/>
      <c r="S108" s="500" t="n"/>
      <c r="T108" s="500" t="n"/>
      <c r="U108" s="500" t="n"/>
      <c r="V108" s="500" t="n"/>
      <c r="W108" s="500" t="n"/>
      <c r="X108" s="500" t="n"/>
      <c r="Y108" s="500" t="n"/>
      <c r="Z108" s="500" t="n"/>
    </row>
    <row r="109" ht="30" customHeight="1" s="673">
      <c r="A109" s="500" t="n"/>
      <c r="B109" s="547" t="n"/>
      <c r="C109" s="537" t="n"/>
      <c r="D109" s="537" t="n"/>
      <c r="E109" s="537" t="n"/>
      <c r="F109" s="537" t="n"/>
      <c r="G109" s="537" t="n"/>
      <c r="H109" s="537" t="n"/>
      <c r="I109" s="537" t="n"/>
      <c r="J109" s="537" t="n"/>
      <c r="K109" s="537" t="n"/>
      <c r="L109" s="537" t="n"/>
      <c r="M109" s="537" t="n"/>
      <c r="N109" s="537" t="n"/>
      <c r="O109" s="537" t="n"/>
      <c r="P109" s="537" t="n"/>
      <c r="Q109" s="537" t="n"/>
      <c r="R109" s="500" t="n"/>
      <c r="S109" s="500" t="n"/>
      <c r="T109" s="500" t="n"/>
      <c r="U109" s="500" t="n"/>
      <c r="V109" s="500" t="n"/>
      <c r="W109" s="500" t="n"/>
      <c r="X109" s="500" t="n"/>
      <c r="Y109" s="500" t="n"/>
      <c r="Z109" s="500" t="n"/>
    </row>
    <row r="110" ht="30" customHeight="1" s="673">
      <c r="A110" s="500" t="n"/>
      <c r="B110" s="547" t="n"/>
      <c r="C110" s="537" t="n"/>
      <c r="D110" s="537" t="n"/>
      <c r="E110" s="537" t="n"/>
      <c r="F110" s="537" t="n"/>
      <c r="G110" s="537" t="n"/>
      <c r="H110" s="537" t="n"/>
      <c r="I110" s="537" t="n"/>
      <c r="J110" s="537" t="n"/>
      <c r="K110" s="537" t="n"/>
      <c r="L110" s="537" t="n"/>
      <c r="M110" s="537" t="n"/>
      <c r="N110" s="537" t="n"/>
      <c r="O110" s="537" t="n"/>
      <c r="P110" s="537" t="n"/>
      <c r="Q110" s="537" t="n"/>
      <c r="R110" s="500" t="n"/>
      <c r="S110" s="500" t="n"/>
      <c r="T110" s="500" t="n"/>
      <c r="U110" s="500" t="n"/>
      <c r="V110" s="500" t="n"/>
      <c r="W110" s="500" t="n"/>
      <c r="X110" s="500" t="n"/>
      <c r="Y110" s="500" t="n"/>
      <c r="Z110" s="500" t="n"/>
    </row>
    <row r="111" ht="30" customHeight="1" s="673">
      <c r="A111" s="500" t="n"/>
      <c r="B111" s="547" t="n"/>
      <c r="C111" s="537" t="n"/>
      <c r="D111" s="537" t="n"/>
      <c r="E111" s="537" t="n"/>
      <c r="F111" s="537" t="n"/>
      <c r="G111" s="537" t="n"/>
      <c r="H111" s="537" t="n"/>
      <c r="I111" s="537" t="n"/>
      <c r="J111" s="537" t="n"/>
      <c r="K111" s="537" t="n"/>
      <c r="L111" s="537" t="n"/>
      <c r="M111" s="537" t="n"/>
      <c r="N111" s="537" t="n"/>
      <c r="O111" s="537" t="n"/>
      <c r="P111" s="537" t="n"/>
      <c r="Q111" s="537" t="n"/>
      <c r="R111" s="500" t="n"/>
      <c r="S111" s="500" t="n"/>
      <c r="T111" s="500" t="n"/>
      <c r="U111" s="500" t="n"/>
      <c r="V111" s="500" t="n"/>
      <c r="W111" s="500" t="n"/>
      <c r="X111" s="500" t="n"/>
      <c r="Y111" s="500" t="n"/>
      <c r="Z111" s="500" t="n"/>
    </row>
    <row r="112" ht="30" customHeight="1" s="673">
      <c r="A112" s="500" t="n"/>
      <c r="B112" s="547" t="n"/>
      <c r="C112" s="537" t="n"/>
      <c r="D112" s="537" t="n"/>
      <c r="E112" s="537" t="n"/>
      <c r="F112" s="537" t="n"/>
      <c r="G112" s="537" t="n"/>
      <c r="H112" s="537" t="n"/>
      <c r="I112" s="537" t="n"/>
      <c r="J112" s="537" t="n"/>
      <c r="K112" s="537" t="n"/>
      <c r="L112" s="537" t="n"/>
      <c r="M112" s="537" t="n"/>
      <c r="N112" s="537" t="n"/>
      <c r="O112" s="537" t="n"/>
      <c r="P112" s="537" t="n"/>
      <c r="Q112" s="537" t="n"/>
      <c r="R112" s="500" t="n"/>
      <c r="S112" s="500" t="n"/>
      <c r="T112" s="500" t="n"/>
      <c r="U112" s="500" t="n"/>
      <c r="V112" s="500" t="n"/>
      <c r="W112" s="500" t="n"/>
      <c r="X112" s="500" t="n"/>
      <c r="Y112" s="500" t="n"/>
      <c r="Z112" s="500" t="n"/>
    </row>
    <row r="113" ht="30" customHeight="1" s="673">
      <c r="A113" s="500" t="n"/>
      <c r="B113" s="547" t="n"/>
      <c r="C113" s="537" t="n"/>
      <c r="D113" s="537" t="n"/>
      <c r="E113" s="537" t="n"/>
      <c r="F113" s="537" t="n"/>
      <c r="G113" s="537" t="n"/>
      <c r="H113" s="537" t="n"/>
      <c r="I113" s="537" t="n"/>
      <c r="J113" s="537" t="n"/>
      <c r="K113" s="537" t="n"/>
      <c r="L113" s="537" t="n"/>
      <c r="M113" s="537" t="n"/>
      <c r="N113" s="537" t="n"/>
      <c r="O113" s="537" t="n"/>
      <c r="P113" s="537" t="n"/>
      <c r="Q113" s="537" t="n"/>
      <c r="R113" s="500" t="n"/>
      <c r="S113" s="500" t="n"/>
      <c r="T113" s="500" t="n"/>
      <c r="U113" s="500" t="n"/>
      <c r="V113" s="500" t="n"/>
      <c r="W113" s="500" t="n"/>
      <c r="X113" s="500" t="n"/>
      <c r="Y113" s="500" t="n"/>
      <c r="Z113" s="500" t="n"/>
    </row>
    <row r="114" ht="30" customHeight="1" s="673">
      <c r="A114" s="500" t="n"/>
      <c r="B114" s="547" t="n"/>
      <c r="C114" s="537" t="n"/>
      <c r="D114" s="537" t="n"/>
      <c r="E114" s="537" t="n"/>
      <c r="F114" s="537" t="n"/>
      <c r="G114" s="537" t="n"/>
      <c r="H114" s="537" t="n"/>
      <c r="I114" s="537" t="n"/>
      <c r="J114" s="537" t="n"/>
      <c r="K114" s="537" t="n"/>
      <c r="L114" s="537" t="n"/>
      <c r="M114" s="537" t="n"/>
      <c r="N114" s="537" t="n"/>
      <c r="O114" s="537" t="n"/>
      <c r="P114" s="537" t="n"/>
      <c r="Q114" s="537" t="n"/>
      <c r="R114" s="500" t="n"/>
      <c r="S114" s="500" t="n"/>
      <c r="T114" s="500" t="n"/>
      <c r="U114" s="500" t="n"/>
      <c r="V114" s="500" t="n"/>
      <c r="W114" s="500" t="n"/>
      <c r="X114" s="500" t="n"/>
      <c r="Y114" s="500" t="n"/>
      <c r="Z114" s="500" t="n"/>
    </row>
    <row r="115" ht="30" customHeight="1" s="673">
      <c r="A115" s="500" t="n"/>
      <c r="B115" s="547" t="n"/>
      <c r="C115" s="537" t="n"/>
      <c r="D115" s="537" t="n"/>
      <c r="E115" s="537" t="n"/>
      <c r="F115" s="537" t="n"/>
      <c r="G115" s="537" t="n"/>
      <c r="H115" s="537" t="n"/>
      <c r="I115" s="537" t="n"/>
      <c r="J115" s="537" t="n"/>
      <c r="K115" s="537" t="n"/>
      <c r="L115" s="537" t="n"/>
      <c r="M115" s="537" t="n"/>
      <c r="N115" s="537" t="n"/>
      <c r="O115" s="537" t="n"/>
      <c r="P115" s="537" t="n"/>
      <c r="Q115" s="537" t="n"/>
      <c r="R115" s="500" t="n"/>
      <c r="S115" s="500" t="n"/>
      <c r="T115" s="500" t="n"/>
      <c r="U115" s="500" t="n"/>
      <c r="V115" s="500" t="n"/>
      <c r="W115" s="500" t="n"/>
      <c r="X115" s="500" t="n"/>
      <c r="Y115" s="500" t="n"/>
      <c r="Z115" s="500" t="n"/>
    </row>
    <row r="116" ht="30" customHeight="1" s="673">
      <c r="A116" s="500" t="n"/>
      <c r="B116" s="547" t="n"/>
      <c r="C116" s="537" t="n"/>
      <c r="D116" s="537" t="n"/>
      <c r="E116" s="537" t="n"/>
      <c r="F116" s="537" t="n"/>
      <c r="G116" s="537" t="n"/>
      <c r="H116" s="537" t="n"/>
      <c r="I116" s="537" t="n"/>
      <c r="J116" s="537" t="n"/>
      <c r="K116" s="537" t="n"/>
      <c r="L116" s="537" t="n"/>
      <c r="M116" s="537" t="n"/>
      <c r="N116" s="537" t="n"/>
      <c r="O116" s="537" t="n"/>
      <c r="P116" s="537" t="n"/>
      <c r="Q116" s="537" t="n"/>
      <c r="R116" s="500" t="n"/>
      <c r="S116" s="500" t="n"/>
      <c r="T116" s="500" t="n"/>
      <c r="U116" s="500" t="n"/>
      <c r="V116" s="500" t="n"/>
      <c r="W116" s="500" t="n"/>
      <c r="X116" s="500" t="n"/>
      <c r="Y116" s="500" t="n"/>
      <c r="Z116" s="500" t="n"/>
    </row>
    <row r="117" ht="30" customHeight="1" s="673">
      <c r="A117" s="500" t="n"/>
      <c r="B117" s="547" t="n"/>
      <c r="C117" s="537" t="n"/>
      <c r="D117" s="537" t="n"/>
      <c r="E117" s="537" t="n"/>
      <c r="F117" s="537" t="n"/>
      <c r="G117" s="537" t="n"/>
      <c r="H117" s="537" t="n"/>
      <c r="I117" s="537" t="n"/>
      <c r="J117" s="537" t="n"/>
      <c r="K117" s="537" t="n"/>
      <c r="L117" s="537" t="n"/>
      <c r="M117" s="537" t="n"/>
      <c r="N117" s="537" t="n"/>
      <c r="O117" s="537" t="n"/>
      <c r="P117" s="537" t="n"/>
      <c r="Q117" s="537" t="n"/>
      <c r="R117" s="500" t="n"/>
      <c r="S117" s="500" t="n"/>
      <c r="T117" s="500" t="n"/>
      <c r="U117" s="500" t="n"/>
      <c r="V117" s="500" t="n"/>
      <c r="W117" s="500" t="n"/>
      <c r="X117" s="500" t="n"/>
      <c r="Y117" s="500" t="n"/>
      <c r="Z117" s="500" t="n"/>
    </row>
    <row r="118" ht="30" customHeight="1" s="673">
      <c r="A118" s="500" t="n"/>
      <c r="B118" s="547" t="n"/>
      <c r="C118" s="537" t="n"/>
      <c r="D118" s="537" t="n"/>
      <c r="E118" s="537" t="n"/>
      <c r="F118" s="537" t="n"/>
      <c r="G118" s="537" t="n"/>
      <c r="H118" s="537" t="n"/>
      <c r="I118" s="537" t="n"/>
      <c r="J118" s="537" t="n"/>
      <c r="K118" s="537" t="n"/>
      <c r="L118" s="537" t="n"/>
      <c r="M118" s="537" t="n"/>
      <c r="N118" s="537" t="n"/>
      <c r="O118" s="537" t="n"/>
      <c r="P118" s="537" t="n"/>
      <c r="Q118" s="537" t="n"/>
      <c r="R118" s="500" t="n"/>
      <c r="S118" s="500" t="n"/>
      <c r="T118" s="500" t="n"/>
      <c r="U118" s="500" t="n"/>
      <c r="V118" s="500" t="n"/>
      <c r="W118" s="500" t="n"/>
      <c r="X118" s="500" t="n"/>
      <c r="Y118" s="500" t="n"/>
      <c r="Z118" s="500" t="n"/>
    </row>
    <row r="119" ht="30" customHeight="1" s="673">
      <c r="A119" s="500" t="n"/>
      <c r="B119" s="547" t="n"/>
      <c r="C119" s="537" t="n"/>
      <c r="D119" s="537" t="n"/>
      <c r="E119" s="537" t="n"/>
      <c r="F119" s="537" t="n"/>
      <c r="G119" s="537" t="n"/>
      <c r="H119" s="537" t="n"/>
      <c r="I119" s="537" t="n"/>
      <c r="J119" s="537" t="n"/>
      <c r="K119" s="537" t="n"/>
      <c r="L119" s="537" t="n"/>
      <c r="M119" s="537" t="n"/>
      <c r="N119" s="537" t="n"/>
      <c r="O119" s="537" t="n"/>
      <c r="P119" s="537" t="n"/>
      <c r="Q119" s="537" t="n"/>
      <c r="R119" s="500" t="n"/>
      <c r="S119" s="500" t="n"/>
      <c r="T119" s="500" t="n"/>
      <c r="U119" s="500" t="n"/>
      <c r="V119" s="500" t="n"/>
      <c r="W119" s="500" t="n"/>
      <c r="X119" s="500" t="n"/>
      <c r="Y119" s="500" t="n"/>
      <c r="Z119" s="500" t="n"/>
    </row>
    <row r="120" ht="30" customHeight="1" s="673">
      <c r="A120" s="500" t="n"/>
      <c r="B120" s="547" t="n"/>
      <c r="C120" s="537" t="n"/>
      <c r="D120" s="537" t="n"/>
      <c r="E120" s="537" t="n"/>
      <c r="F120" s="537" t="n"/>
      <c r="G120" s="537" t="n"/>
      <c r="H120" s="537" t="n"/>
      <c r="I120" s="537" t="n"/>
      <c r="J120" s="537" t="n"/>
      <c r="K120" s="537" t="n"/>
      <c r="L120" s="537" t="n"/>
      <c r="M120" s="537" t="n"/>
      <c r="N120" s="537" t="n"/>
      <c r="O120" s="537" t="n"/>
      <c r="P120" s="537" t="n"/>
      <c r="Q120" s="537" t="n"/>
      <c r="R120" s="500" t="n"/>
      <c r="S120" s="500" t="n"/>
      <c r="T120" s="500" t="n"/>
      <c r="U120" s="500" t="n"/>
      <c r="V120" s="500" t="n"/>
      <c r="W120" s="500" t="n"/>
      <c r="X120" s="500" t="n"/>
      <c r="Y120" s="500" t="n"/>
      <c r="Z120" s="500" t="n"/>
    </row>
    <row r="121" ht="30" customHeight="1" s="673">
      <c r="A121" s="500" t="n"/>
      <c r="B121" s="547" t="n"/>
      <c r="C121" s="537" t="n"/>
      <c r="D121" s="537" t="n"/>
      <c r="E121" s="537" t="n"/>
      <c r="F121" s="537" t="n"/>
      <c r="G121" s="537" t="n"/>
      <c r="H121" s="537" t="n"/>
      <c r="I121" s="537" t="n"/>
      <c r="J121" s="537" t="n"/>
      <c r="K121" s="537" t="n"/>
      <c r="L121" s="537" t="n"/>
      <c r="M121" s="537" t="n"/>
      <c r="N121" s="537" t="n"/>
      <c r="O121" s="537" t="n"/>
      <c r="P121" s="537" t="n"/>
      <c r="Q121" s="537" t="n"/>
      <c r="R121" s="500" t="n"/>
      <c r="S121" s="500" t="n"/>
      <c r="T121" s="500" t="n"/>
      <c r="U121" s="500" t="n"/>
      <c r="V121" s="500" t="n"/>
      <c r="W121" s="500" t="n"/>
      <c r="X121" s="500" t="n"/>
      <c r="Y121" s="500" t="n"/>
      <c r="Z121" s="500" t="n"/>
    </row>
    <row r="122" ht="30" customHeight="1" s="673">
      <c r="A122" s="500" t="n"/>
      <c r="B122" s="547" t="n"/>
      <c r="C122" s="537" t="n"/>
      <c r="D122" s="537" t="n"/>
      <c r="E122" s="537" t="n"/>
      <c r="F122" s="537" t="n"/>
      <c r="G122" s="537" t="n"/>
      <c r="H122" s="537" t="n"/>
      <c r="I122" s="537" t="n"/>
      <c r="J122" s="537" t="n"/>
      <c r="K122" s="537" t="n"/>
      <c r="L122" s="537" t="n"/>
      <c r="M122" s="537" t="n"/>
      <c r="N122" s="537" t="n"/>
      <c r="O122" s="537" t="n"/>
      <c r="P122" s="537" t="n"/>
      <c r="Q122" s="537" t="n"/>
      <c r="R122" s="500" t="n"/>
      <c r="S122" s="500" t="n"/>
      <c r="T122" s="500" t="n"/>
      <c r="U122" s="500" t="n"/>
      <c r="V122" s="500" t="n"/>
      <c r="W122" s="500" t="n"/>
      <c r="X122" s="500" t="n"/>
      <c r="Y122" s="500" t="n"/>
      <c r="Z122" s="500" t="n"/>
    </row>
    <row r="123" ht="30" customHeight="1" s="673">
      <c r="A123" s="500" t="n"/>
      <c r="B123" s="547" t="n"/>
      <c r="C123" s="537" t="n"/>
      <c r="D123" s="537" t="n"/>
      <c r="E123" s="537" t="n"/>
      <c r="F123" s="537" t="n"/>
      <c r="G123" s="537" t="n"/>
      <c r="H123" s="537" t="n"/>
      <c r="I123" s="537" t="n"/>
      <c r="J123" s="537" t="n"/>
      <c r="K123" s="537" t="n"/>
      <c r="L123" s="537" t="n"/>
      <c r="M123" s="537" t="n"/>
      <c r="N123" s="537" t="n"/>
      <c r="O123" s="537" t="n"/>
      <c r="P123" s="537" t="n"/>
      <c r="Q123" s="537" t="n"/>
      <c r="R123" s="500" t="n"/>
      <c r="S123" s="500" t="n"/>
      <c r="T123" s="500" t="n"/>
      <c r="U123" s="500" t="n"/>
      <c r="V123" s="500" t="n"/>
      <c r="W123" s="500" t="n"/>
      <c r="X123" s="500" t="n"/>
      <c r="Y123" s="500" t="n"/>
      <c r="Z123" s="500" t="n"/>
    </row>
    <row r="124" ht="30" customHeight="1" s="673">
      <c r="A124" s="500" t="n"/>
      <c r="B124" s="547" t="n"/>
      <c r="C124" s="537" t="n"/>
      <c r="D124" s="537" t="n"/>
      <c r="E124" s="537" t="n"/>
      <c r="F124" s="537" t="n"/>
      <c r="G124" s="537" t="n"/>
      <c r="H124" s="537" t="n"/>
      <c r="I124" s="537" t="n"/>
      <c r="J124" s="537" t="n"/>
      <c r="K124" s="537" t="n"/>
      <c r="L124" s="537" t="n"/>
      <c r="M124" s="537" t="n"/>
      <c r="N124" s="537" t="n"/>
      <c r="O124" s="537" t="n"/>
      <c r="P124" s="537" t="n"/>
      <c r="Q124" s="537" t="n"/>
      <c r="R124" s="500" t="n"/>
      <c r="S124" s="500" t="n"/>
      <c r="T124" s="500" t="n"/>
      <c r="U124" s="500" t="n"/>
      <c r="V124" s="500" t="n"/>
      <c r="W124" s="500" t="n"/>
      <c r="X124" s="500" t="n"/>
      <c r="Y124" s="500" t="n"/>
      <c r="Z124" s="500" t="n"/>
    </row>
    <row r="125" ht="30" customHeight="1" s="673">
      <c r="A125" s="500" t="n"/>
      <c r="B125" s="547" t="n"/>
      <c r="C125" s="537" t="n"/>
      <c r="D125" s="537" t="n"/>
      <c r="E125" s="537" t="n"/>
      <c r="F125" s="537" t="n"/>
      <c r="G125" s="537" t="n"/>
      <c r="H125" s="537" t="n"/>
      <c r="I125" s="537" t="n"/>
      <c r="J125" s="537" t="n"/>
      <c r="K125" s="537" t="n"/>
      <c r="L125" s="537" t="n"/>
      <c r="M125" s="537" t="n"/>
      <c r="N125" s="537" t="n"/>
      <c r="O125" s="537" t="n"/>
      <c r="P125" s="537" t="n"/>
      <c r="Q125" s="537" t="n"/>
      <c r="R125" s="500" t="n"/>
      <c r="S125" s="500" t="n"/>
      <c r="T125" s="500" t="n"/>
      <c r="U125" s="500" t="n"/>
      <c r="V125" s="500" t="n"/>
      <c r="W125" s="500" t="n"/>
      <c r="X125" s="500" t="n"/>
      <c r="Y125" s="500" t="n"/>
      <c r="Z125" s="500" t="n"/>
    </row>
    <row r="126" ht="30" customHeight="1" s="673">
      <c r="A126" s="500" t="n"/>
      <c r="B126" s="547" t="n"/>
      <c r="C126" s="537" t="n"/>
      <c r="D126" s="537" t="n"/>
      <c r="E126" s="537" t="n"/>
      <c r="F126" s="537" t="n"/>
      <c r="G126" s="537" t="n"/>
      <c r="H126" s="537" t="n"/>
      <c r="I126" s="537" t="n"/>
      <c r="J126" s="537" t="n"/>
      <c r="K126" s="537" t="n"/>
      <c r="L126" s="537" t="n"/>
      <c r="M126" s="537" t="n"/>
      <c r="N126" s="537" t="n"/>
      <c r="O126" s="537" t="n"/>
      <c r="P126" s="537" t="n"/>
      <c r="Q126" s="537" t="n"/>
      <c r="R126" s="500" t="n"/>
      <c r="S126" s="500" t="n"/>
      <c r="T126" s="500" t="n"/>
      <c r="U126" s="500" t="n"/>
      <c r="V126" s="500" t="n"/>
      <c r="W126" s="500" t="n"/>
      <c r="X126" s="500" t="n"/>
      <c r="Y126" s="500" t="n"/>
      <c r="Z126" s="500" t="n"/>
    </row>
    <row r="127" ht="30" customHeight="1" s="673">
      <c r="A127" s="500" t="n"/>
      <c r="B127" s="547" t="n"/>
      <c r="C127" s="537" t="n"/>
      <c r="D127" s="537" t="n"/>
      <c r="E127" s="537" t="n"/>
      <c r="F127" s="537" t="n"/>
      <c r="G127" s="537" t="n"/>
      <c r="H127" s="537" t="n"/>
      <c r="I127" s="537" t="n"/>
      <c r="J127" s="537" t="n"/>
      <c r="K127" s="537" t="n"/>
      <c r="L127" s="537" t="n"/>
      <c r="M127" s="537" t="n"/>
      <c r="N127" s="537" t="n"/>
      <c r="O127" s="537" t="n"/>
      <c r="P127" s="537" t="n"/>
      <c r="Q127" s="537" t="n"/>
      <c r="R127" s="500" t="n"/>
      <c r="S127" s="500" t="n"/>
      <c r="T127" s="500" t="n"/>
      <c r="U127" s="500" t="n"/>
      <c r="V127" s="500" t="n"/>
      <c r="W127" s="500" t="n"/>
      <c r="X127" s="500" t="n"/>
      <c r="Y127" s="500" t="n"/>
      <c r="Z127" s="500" t="n"/>
    </row>
    <row r="128" ht="30" customHeight="1" s="673">
      <c r="A128" s="500" t="n"/>
      <c r="B128" s="547" t="n"/>
      <c r="C128" s="537" t="n"/>
      <c r="D128" s="537" t="n"/>
      <c r="E128" s="537" t="n"/>
      <c r="F128" s="537" t="n"/>
      <c r="G128" s="537" t="n"/>
      <c r="H128" s="537" t="n"/>
      <c r="I128" s="537" t="n"/>
      <c r="J128" s="537" t="n"/>
      <c r="K128" s="537" t="n"/>
      <c r="L128" s="537" t="n"/>
      <c r="M128" s="537" t="n"/>
      <c r="N128" s="537" t="n"/>
      <c r="O128" s="537" t="n"/>
      <c r="P128" s="537" t="n"/>
      <c r="Q128" s="537" t="n"/>
      <c r="R128" s="500" t="n"/>
      <c r="S128" s="500" t="n"/>
      <c r="T128" s="500" t="n"/>
      <c r="U128" s="500" t="n"/>
      <c r="V128" s="500" t="n"/>
      <c r="W128" s="500" t="n"/>
      <c r="X128" s="500" t="n"/>
      <c r="Y128" s="500" t="n"/>
      <c r="Z128" s="500" t="n"/>
    </row>
    <row r="129" ht="30" customHeight="1" s="673">
      <c r="A129" s="500" t="n"/>
      <c r="B129" s="547" t="n"/>
      <c r="C129" s="537" t="n"/>
      <c r="D129" s="537" t="n"/>
      <c r="E129" s="537" t="n"/>
      <c r="F129" s="537" t="n"/>
      <c r="G129" s="537" t="n"/>
      <c r="H129" s="537" t="n"/>
      <c r="I129" s="537" t="n"/>
      <c r="J129" s="537" t="n"/>
      <c r="K129" s="537" t="n"/>
      <c r="L129" s="537" t="n"/>
      <c r="M129" s="537" t="n"/>
      <c r="N129" s="537" t="n"/>
      <c r="O129" s="537" t="n"/>
      <c r="P129" s="537" t="n"/>
      <c r="Q129" s="537" t="n"/>
      <c r="R129" s="500" t="n"/>
      <c r="S129" s="500" t="n"/>
      <c r="T129" s="500" t="n"/>
      <c r="U129" s="500" t="n"/>
      <c r="V129" s="500" t="n"/>
      <c r="W129" s="500" t="n"/>
      <c r="X129" s="500" t="n"/>
      <c r="Y129" s="500" t="n"/>
      <c r="Z129" s="500" t="n"/>
    </row>
    <row r="130" ht="30" customHeight="1" s="673">
      <c r="A130" s="500" t="n"/>
      <c r="B130" s="547" t="n"/>
      <c r="C130" s="537" t="n"/>
      <c r="D130" s="537" t="n"/>
      <c r="E130" s="537" t="n"/>
      <c r="F130" s="537" t="n"/>
      <c r="G130" s="537" t="n"/>
      <c r="H130" s="537" t="n"/>
      <c r="I130" s="537" t="n"/>
      <c r="J130" s="537" t="n"/>
      <c r="K130" s="537" t="n"/>
      <c r="L130" s="537" t="n"/>
      <c r="M130" s="537" t="n"/>
      <c r="N130" s="537" t="n"/>
      <c r="O130" s="537" t="n"/>
      <c r="P130" s="537" t="n"/>
      <c r="Q130" s="537" t="n"/>
      <c r="R130" s="500" t="n"/>
      <c r="S130" s="500" t="n"/>
      <c r="T130" s="500" t="n"/>
      <c r="U130" s="500" t="n"/>
      <c r="V130" s="500" t="n"/>
      <c r="W130" s="500" t="n"/>
      <c r="X130" s="500" t="n"/>
      <c r="Y130" s="500" t="n"/>
      <c r="Z130" s="500" t="n"/>
    </row>
    <row r="131" ht="30" customHeight="1" s="673">
      <c r="A131" s="500" t="n"/>
      <c r="B131" s="547" t="n"/>
      <c r="C131" s="537" t="n"/>
      <c r="D131" s="537" t="n"/>
      <c r="E131" s="537" t="n"/>
      <c r="F131" s="537" t="n"/>
      <c r="G131" s="537" t="n"/>
      <c r="H131" s="537" t="n"/>
      <c r="I131" s="537" t="n"/>
      <c r="J131" s="537" t="n"/>
      <c r="K131" s="537" t="n"/>
      <c r="L131" s="537" t="n"/>
      <c r="M131" s="537" t="n"/>
      <c r="N131" s="537" t="n"/>
      <c r="O131" s="537" t="n"/>
      <c r="P131" s="537" t="n"/>
      <c r="Q131" s="537" t="n"/>
      <c r="R131" s="500" t="n"/>
      <c r="S131" s="500" t="n"/>
      <c r="T131" s="500" t="n"/>
      <c r="U131" s="500" t="n"/>
      <c r="V131" s="500" t="n"/>
      <c r="W131" s="500" t="n"/>
      <c r="X131" s="500" t="n"/>
      <c r="Y131" s="500" t="n"/>
      <c r="Z131" s="500" t="n"/>
    </row>
    <row r="132" ht="30" customHeight="1" s="673">
      <c r="A132" s="500" t="n"/>
      <c r="B132" s="547" t="n"/>
      <c r="C132" s="537" t="n"/>
      <c r="D132" s="537" t="n"/>
      <c r="E132" s="537" t="n"/>
      <c r="F132" s="537" t="n"/>
      <c r="G132" s="537" t="n"/>
      <c r="H132" s="537" t="n"/>
      <c r="I132" s="537" t="n"/>
      <c r="J132" s="537" t="n"/>
      <c r="K132" s="537" t="n"/>
      <c r="L132" s="537" t="n"/>
      <c r="M132" s="537" t="n"/>
      <c r="N132" s="537" t="n"/>
      <c r="O132" s="537" t="n"/>
      <c r="P132" s="537" t="n"/>
      <c r="Q132" s="537" t="n"/>
      <c r="R132" s="500" t="n"/>
      <c r="S132" s="500" t="n"/>
      <c r="T132" s="500" t="n"/>
      <c r="U132" s="500" t="n"/>
      <c r="V132" s="500" t="n"/>
      <c r="W132" s="500" t="n"/>
      <c r="X132" s="500" t="n"/>
      <c r="Y132" s="500" t="n"/>
      <c r="Z132" s="500" t="n"/>
    </row>
    <row r="133" ht="30" customHeight="1" s="673">
      <c r="A133" s="500" t="n"/>
      <c r="B133" s="547" t="n"/>
      <c r="C133" s="537" t="n"/>
      <c r="D133" s="537" t="n"/>
      <c r="E133" s="537" t="n"/>
      <c r="F133" s="537" t="n"/>
      <c r="G133" s="537" t="n"/>
      <c r="H133" s="537" t="n"/>
      <c r="I133" s="537" t="n"/>
      <c r="J133" s="537" t="n"/>
      <c r="K133" s="537" t="n"/>
      <c r="L133" s="537" t="n"/>
      <c r="M133" s="537" t="n"/>
      <c r="N133" s="537" t="n"/>
      <c r="O133" s="537" t="n"/>
      <c r="P133" s="537" t="n"/>
      <c r="Q133" s="537" t="n"/>
      <c r="R133" s="500" t="n"/>
      <c r="S133" s="500" t="n"/>
      <c r="T133" s="500" t="n"/>
      <c r="U133" s="500" t="n"/>
      <c r="V133" s="500" t="n"/>
      <c r="W133" s="500" t="n"/>
      <c r="X133" s="500" t="n"/>
      <c r="Y133" s="500" t="n"/>
      <c r="Z133" s="500" t="n"/>
    </row>
    <row r="134" ht="30" customHeight="1" s="673">
      <c r="A134" s="500" t="n"/>
      <c r="B134" s="547" t="n"/>
      <c r="C134" s="537" t="n"/>
      <c r="D134" s="537" t="n"/>
      <c r="E134" s="537" t="n"/>
      <c r="F134" s="537" t="n"/>
      <c r="G134" s="537" t="n"/>
      <c r="H134" s="537" t="n"/>
      <c r="I134" s="537" t="n"/>
      <c r="J134" s="537" t="n"/>
      <c r="K134" s="537" t="n"/>
      <c r="L134" s="537" t="n"/>
      <c r="M134" s="537" t="n"/>
      <c r="N134" s="537" t="n"/>
      <c r="O134" s="537" t="n"/>
      <c r="P134" s="537" t="n"/>
      <c r="Q134" s="537" t="n"/>
      <c r="R134" s="500" t="n"/>
      <c r="S134" s="500" t="n"/>
      <c r="T134" s="500" t="n"/>
      <c r="U134" s="500" t="n"/>
      <c r="V134" s="500" t="n"/>
      <c r="W134" s="500" t="n"/>
      <c r="X134" s="500" t="n"/>
      <c r="Y134" s="500" t="n"/>
      <c r="Z134" s="500" t="n"/>
    </row>
    <row r="135" ht="30" customHeight="1" s="673">
      <c r="A135" s="500" t="n"/>
      <c r="B135" s="547" t="n"/>
      <c r="C135" s="537" t="n"/>
      <c r="D135" s="537" t="n"/>
      <c r="E135" s="537" t="n"/>
      <c r="F135" s="537" t="n"/>
      <c r="G135" s="537" t="n"/>
      <c r="H135" s="537" t="n"/>
      <c r="I135" s="537" t="n"/>
      <c r="J135" s="537" t="n"/>
      <c r="K135" s="537" t="n"/>
      <c r="L135" s="537" t="n"/>
      <c r="M135" s="537" t="n"/>
      <c r="N135" s="537" t="n"/>
      <c r="O135" s="537" t="n"/>
      <c r="P135" s="537" t="n"/>
      <c r="Q135" s="537" t="n"/>
      <c r="R135" s="500" t="n"/>
      <c r="S135" s="500" t="n"/>
      <c r="T135" s="500" t="n"/>
      <c r="U135" s="500" t="n"/>
      <c r="V135" s="500" t="n"/>
      <c r="W135" s="500" t="n"/>
      <c r="X135" s="500" t="n"/>
      <c r="Y135" s="500" t="n"/>
      <c r="Z135" s="500" t="n"/>
    </row>
    <row r="136" ht="30" customHeight="1" s="673">
      <c r="A136" s="500" t="n"/>
      <c r="B136" s="547" t="n"/>
      <c r="C136" s="537" t="n"/>
      <c r="D136" s="537" t="n"/>
      <c r="E136" s="537" t="n"/>
      <c r="F136" s="537" t="n"/>
      <c r="G136" s="537" t="n"/>
      <c r="H136" s="537" t="n"/>
      <c r="I136" s="537" t="n"/>
      <c r="J136" s="537" t="n"/>
      <c r="K136" s="537" t="n"/>
      <c r="L136" s="537" t="n"/>
      <c r="M136" s="537" t="n"/>
      <c r="N136" s="537" t="n"/>
      <c r="O136" s="537" t="n"/>
      <c r="P136" s="537" t="n"/>
      <c r="Q136" s="537" t="n"/>
      <c r="R136" s="500" t="n"/>
      <c r="S136" s="500" t="n"/>
      <c r="T136" s="500" t="n"/>
      <c r="U136" s="500" t="n"/>
      <c r="V136" s="500" t="n"/>
      <c r="W136" s="500" t="n"/>
      <c r="X136" s="500" t="n"/>
      <c r="Y136" s="500" t="n"/>
      <c r="Z136" s="500" t="n"/>
    </row>
    <row r="137" ht="30" customHeight="1" s="673">
      <c r="A137" s="500" t="n"/>
      <c r="B137" s="547" t="n"/>
      <c r="C137" s="537" t="n"/>
      <c r="D137" s="537" t="n"/>
      <c r="E137" s="537" t="n"/>
      <c r="F137" s="537" t="n"/>
      <c r="G137" s="537" t="n"/>
      <c r="H137" s="537" t="n"/>
      <c r="I137" s="537" t="n"/>
      <c r="J137" s="537" t="n"/>
      <c r="K137" s="537" t="n"/>
      <c r="L137" s="537" t="n"/>
      <c r="M137" s="537" t="n"/>
      <c r="N137" s="537" t="n"/>
      <c r="O137" s="537" t="n"/>
      <c r="P137" s="537" t="n"/>
      <c r="Q137" s="537" t="n"/>
      <c r="R137" s="500" t="n"/>
      <c r="S137" s="500" t="n"/>
      <c r="T137" s="500" t="n"/>
      <c r="U137" s="500" t="n"/>
      <c r="V137" s="500" t="n"/>
      <c r="W137" s="500" t="n"/>
      <c r="X137" s="500" t="n"/>
      <c r="Y137" s="500" t="n"/>
      <c r="Z137" s="500" t="n"/>
    </row>
    <row r="138" ht="30" customHeight="1" s="673">
      <c r="A138" s="500" t="n"/>
      <c r="B138" s="547" t="n"/>
      <c r="C138" s="537" t="n"/>
      <c r="D138" s="537" t="n"/>
      <c r="E138" s="537" t="n"/>
      <c r="F138" s="537" t="n"/>
      <c r="G138" s="537" t="n"/>
      <c r="H138" s="537" t="n"/>
      <c r="I138" s="537" t="n"/>
      <c r="J138" s="537" t="n"/>
      <c r="K138" s="537" t="n"/>
      <c r="L138" s="537" t="n"/>
      <c r="M138" s="537" t="n"/>
      <c r="N138" s="537" t="n"/>
      <c r="O138" s="537" t="n"/>
      <c r="P138" s="537" t="n"/>
      <c r="Q138" s="537" t="n"/>
      <c r="R138" s="500" t="n"/>
      <c r="S138" s="500" t="n"/>
      <c r="T138" s="500" t="n"/>
      <c r="U138" s="500" t="n"/>
      <c r="V138" s="500" t="n"/>
      <c r="W138" s="500" t="n"/>
      <c r="X138" s="500" t="n"/>
      <c r="Y138" s="500" t="n"/>
      <c r="Z138" s="500" t="n"/>
    </row>
    <row r="139" ht="30" customHeight="1" s="673">
      <c r="A139" s="500" t="n"/>
      <c r="B139" s="547" t="n"/>
      <c r="C139" s="537" t="n"/>
      <c r="D139" s="537" t="n"/>
      <c r="E139" s="537" t="n"/>
      <c r="F139" s="537" t="n"/>
      <c r="G139" s="537" t="n"/>
      <c r="H139" s="537" t="n"/>
      <c r="I139" s="537" t="n"/>
      <c r="J139" s="537" t="n"/>
      <c r="K139" s="537" t="n"/>
      <c r="L139" s="537" t="n"/>
      <c r="M139" s="537" t="n"/>
      <c r="N139" s="537" t="n"/>
      <c r="O139" s="537" t="n"/>
      <c r="P139" s="537" t="n"/>
      <c r="Q139" s="537" t="n"/>
      <c r="R139" s="500" t="n"/>
      <c r="S139" s="500" t="n"/>
      <c r="T139" s="500" t="n"/>
      <c r="U139" s="500" t="n"/>
      <c r="V139" s="500" t="n"/>
      <c r="W139" s="500" t="n"/>
      <c r="X139" s="500" t="n"/>
      <c r="Y139" s="500" t="n"/>
      <c r="Z139" s="500" t="n"/>
    </row>
    <row r="140" ht="30" customHeight="1" s="673">
      <c r="A140" s="500" t="n"/>
      <c r="B140" s="547" t="n"/>
      <c r="C140" s="537" t="n"/>
      <c r="D140" s="537" t="n"/>
      <c r="E140" s="537" t="n"/>
      <c r="F140" s="537" t="n"/>
      <c r="G140" s="537" t="n"/>
      <c r="H140" s="537" t="n"/>
      <c r="I140" s="537" t="n"/>
      <c r="J140" s="537" t="n"/>
      <c r="K140" s="537" t="n"/>
      <c r="L140" s="537" t="n"/>
      <c r="M140" s="537" t="n"/>
      <c r="N140" s="537" t="n"/>
      <c r="O140" s="537" t="n"/>
      <c r="P140" s="537" t="n"/>
      <c r="Q140" s="537" t="n"/>
      <c r="R140" s="500" t="n"/>
      <c r="S140" s="500" t="n"/>
      <c r="T140" s="500" t="n"/>
      <c r="U140" s="500" t="n"/>
      <c r="V140" s="500" t="n"/>
      <c r="W140" s="500" t="n"/>
      <c r="X140" s="500" t="n"/>
      <c r="Y140" s="500" t="n"/>
      <c r="Z140" s="500" t="n"/>
    </row>
    <row r="141" ht="30" customHeight="1" s="673">
      <c r="A141" s="500" t="n"/>
      <c r="B141" s="547" t="n"/>
      <c r="C141" s="537" t="n"/>
      <c r="D141" s="537" t="n"/>
      <c r="E141" s="537" t="n"/>
      <c r="F141" s="537" t="n"/>
      <c r="G141" s="537" t="n"/>
      <c r="H141" s="537" t="n"/>
      <c r="I141" s="537" t="n"/>
      <c r="J141" s="537" t="n"/>
      <c r="K141" s="537" t="n"/>
      <c r="L141" s="537" t="n"/>
      <c r="M141" s="537" t="n"/>
      <c r="N141" s="537" t="n"/>
      <c r="O141" s="537" t="n"/>
      <c r="P141" s="537" t="n"/>
      <c r="Q141" s="537" t="n"/>
      <c r="R141" s="500" t="n"/>
      <c r="S141" s="500" t="n"/>
      <c r="T141" s="500" t="n"/>
      <c r="U141" s="500" t="n"/>
      <c r="V141" s="500" t="n"/>
      <c r="W141" s="500" t="n"/>
      <c r="X141" s="500" t="n"/>
      <c r="Y141" s="500" t="n"/>
      <c r="Z141" s="500" t="n"/>
    </row>
    <row r="142" ht="30" customHeight="1" s="673">
      <c r="A142" s="500" t="n"/>
      <c r="B142" s="547" t="n"/>
      <c r="C142" s="537" t="n"/>
      <c r="D142" s="537" t="n"/>
      <c r="E142" s="537" t="n"/>
      <c r="F142" s="537" t="n"/>
      <c r="G142" s="537" t="n"/>
      <c r="H142" s="537" t="n"/>
      <c r="I142" s="537" t="n"/>
      <c r="J142" s="537" t="n"/>
      <c r="K142" s="537" t="n"/>
      <c r="L142" s="537" t="n"/>
      <c r="M142" s="537" t="n"/>
      <c r="N142" s="537" t="n"/>
      <c r="O142" s="537" t="n"/>
      <c r="P142" s="537" t="n"/>
      <c r="Q142" s="537" t="n"/>
      <c r="R142" s="500" t="n"/>
      <c r="S142" s="500" t="n"/>
      <c r="T142" s="500" t="n"/>
      <c r="U142" s="500" t="n"/>
      <c r="V142" s="500" t="n"/>
      <c r="W142" s="500" t="n"/>
      <c r="X142" s="500" t="n"/>
      <c r="Y142" s="500" t="n"/>
      <c r="Z142" s="500" t="n"/>
    </row>
    <row r="143" ht="30" customHeight="1" s="673">
      <c r="A143" s="500" t="n"/>
      <c r="B143" s="547" t="n"/>
      <c r="C143" s="537" t="n"/>
      <c r="D143" s="537" t="n"/>
      <c r="E143" s="537" t="n"/>
      <c r="F143" s="537" t="n"/>
      <c r="G143" s="537" t="n"/>
      <c r="H143" s="537" t="n"/>
      <c r="I143" s="537" t="n"/>
      <c r="J143" s="537" t="n"/>
      <c r="K143" s="537" t="n"/>
      <c r="L143" s="537" t="n"/>
      <c r="M143" s="537" t="n"/>
      <c r="N143" s="537" t="n"/>
      <c r="O143" s="537" t="n"/>
      <c r="P143" s="537" t="n"/>
      <c r="Q143" s="537" t="n"/>
      <c r="R143" s="500" t="n"/>
      <c r="S143" s="500" t="n"/>
      <c r="T143" s="500" t="n"/>
      <c r="U143" s="500" t="n"/>
      <c r="V143" s="500" t="n"/>
      <c r="W143" s="500" t="n"/>
      <c r="X143" s="500" t="n"/>
      <c r="Y143" s="500" t="n"/>
      <c r="Z143" s="500" t="n"/>
    </row>
    <row r="144" ht="30" customHeight="1" s="673">
      <c r="A144" s="500" t="n"/>
      <c r="B144" s="547" t="n"/>
      <c r="C144" s="537" t="n"/>
      <c r="D144" s="537" t="n"/>
      <c r="E144" s="537" t="n"/>
      <c r="F144" s="537" t="n"/>
      <c r="G144" s="537" t="n"/>
      <c r="H144" s="537" t="n"/>
      <c r="I144" s="537" t="n"/>
      <c r="J144" s="537" t="n"/>
      <c r="K144" s="537" t="n"/>
      <c r="L144" s="537" t="n"/>
      <c r="M144" s="537" t="n"/>
      <c r="N144" s="537" t="n"/>
      <c r="O144" s="537" t="n"/>
      <c r="P144" s="537" t="n"/>
      <c r="Q144" s="537" t="n"/>
      <c r="R144" s="500" t="n"/>
      <c r="S144" s="500" t="n"/>
      <c r="T144" s="500" t="n"/>
      <c r="U144" s="500" t="n"/>
      <c r="V144" s="500" t="n"/>
      <c r="W144" s="500" t="n"/>
      <c r="X144" s="500" t="n"/>
      <c r="Y144" s="500" t="n"/>
      <c r="Z144" s="500" t="n"/>
    </row>
    <row r="145" ht="30" customHeight="1" s="673">
      <c r="A145" s="500" t="n"/>
      <c r="B145" s="547" t="n"/>
      <c r="C145" s="537" t="n"/>
      <c r="D145" s="537" t="n"/>
      <c r="E145" s="537" t="n"/>
      <c r="F145" s="537" t="n"/>
      <c r="G145" s="537" t="n"/>
      <c r="H145" s="537" t="n"/>
      <c r="I145" s="537" t="n"/>
      <c r="J145" s="537" t="n"/>
      <c r="K145" s="537" t="n"/>
      <c r="L145" s="537" t="n"/>
      <c r="M145" s="537" t="n"/>
      <c r="N145" s="537" t="n"/>
      <c r="O145" s="537" t="n"/>
      <c r="P145" s="537" t="n"/>
      <c r="Q145" s="537" t="n"/>
      <c r="R145" s="500" t="n"/>
      <c r="S145" s="500" t="n"/>
      <c r="T145" s="500" t="n"/>
      <c r="U145" s="500" t="n"/>
      <c r="V145" s="500" t="n"/>
      <c r="W145" s="500" t="n"/>
      <c r="X145" s="500" t="n"/>
      <c r="Y145" s="500" t="n"/>
      <c r="Z145" s="500" t="n"/>
    </row>
    <row r="146" ht="30" customHeight="1" s="673">
      <c r="A146" s="500" t="n"/>
      <c r="B146" s="547" t="n"/>
      <c r="C146" s="537" t="n"/>
      <c r="D146" s="537" t="n"/>
      <c r="E146" s="537" t="n"/>
      <c r="F146" s="537" t="n"/>
      <c r="G146" s="537" t="n"/>
      <c r="H146" s="537" t="n"/>
      <c r="I146" s="537" t="n"/>
      <c r="J146" s="537" t="n"/>
      <c r="K146" s="537" t="n"/>
      <c r="L146" s="537" t="n"/>
      <c r="M146" s="537" t="n"/>
      <c r="N146" s="537" t="n"/>
      <c r="O146" s="537" t="n"/>
      <c r="P146" s="537" t="n"/>
      <c r="Q146" s="537" t="n"/>
      <c r="R146" s="500" t="n"/>
      <c r="S146" s="500" t="n"/>
      <c r="T146" s="500" t="n"/>
      <c r="U146" s="500" t="n"/>
      <c r="V146" s="500" t="n"/>
      <c r="W146" s="500" t="n"/>
      <c r="X146" s="500" t="n"/>
      <c r="Y146" s="500" t="n"/>
      <c r="Z146" s="500" t="n"/>
    </row>
    <row r="147" ht="30" customHeight="1" s="673">
      <c r="A147" s="500" t="n"/>
      <c r="B147" s="547" t="n"/>
      <c r="C147" s="537" t="n"/>
      <c r="D147" s="537" t="n"/>
      <c r="E147" s="537" t="n"/>
      <c r="F147" s="537" t="n"/>
      <c r="G147" s="537" t="n"/>
      <c r="H147" s="537" t="n"/>
      <c r="I147" s="537" t="n"/>
      <c r="J147" s="537" t="n"/>
      <c r="K147" s="537" t="n"/>
      <c r="L147" s="537" t="n"/>
      <c r="M147" s="537" t="n"/>
      <c r="N147" s="537" t="n"/>
      <c r="O147" s="537" t="n"/>
      <c r="P147" s="537" t="n"/>
      <c r="Q147" s="537" t="n"/>
      <c r="R147" s="500" t="n"/>
      <c r="S147" s="500" t="n"/>
      <c r="T147" s="500" t="n"/>
      <c r="U147" s="500" t="n"/>
      <c r="V147" s="500" t="n"/>
      <c r="W147" s="500" t="n"/>
      <c r="X147" s="500" t="n"/>
      <c r="Y147" s="500" t="n"/>
      <c r="Z147" s="500" t="n"/>
    </row>
    <row r="148" ht="30" customHeight="1" s="673">
      <c r="A148" s="500" t="n"/>
      <c r="B148" s="547" t="n"/>
      <c r="C148" s="537" t="n"/>
      <c r="D148" s="537" t="n"/>
      <c r="E148" s="537" t="n"/>
      <c r="F148" s="537" t="n"/>
      <c r="G148" s="537" t="n"/>
      <c r="H148" s="537" t="n"/>
      <c r="I148" s="537" t="n"/>
      <c r="J148" s="537" t="n"/>
      <c r="K148" s="537" t="n"/>
      <c r="L148" s="537" t="n"/>
      <c r="M148" s="537" t="n"/>
      <c r="N148" s="537" t="n"/>
      <c r="O148" s="537" t="n"/>
      <c r="P148" s="537" t="n"/>
      <c r="Q148" s="537" t="n"/>
      <c r="R148" s="500" t="n"/>
      <c r="S148" s="500" t="n"/>
      <c r="T148" s="500" t="n"/>
      <c r="U148" s="500" t="n"/>
      <c r="V148" s="500" t="n"/>
      <c r="W148" s="500" t="n"/>
      <c r="X148" s="500" t="n"/>
      <c r="Y148" s="500" t="n"/>
      <c r="Z148" s="500" t="n"/>
    </row>
    <row r="149" ht="30" customHeight="1" s="673">
      <c r="A149" s="500" t="n"/>
      <c r="B149" s="547" t="n"/>
      <c r="C149" s="537" t="n"/>
      <c r="D149" s="537" t="n"/>
      <c r="E149" s="537" t="n"/>
      <c r="F149" s="537" t="n"/>
      <c r="G149" s="537" t="n"/>
      <c r="H149" s="537" t="n"/>
      <c r="I149" s="537" t="n"/>
      <c r="J149" s="537" t="n"/>
      <c r="K149" s="537" t="n"/>
      <c r="L149" s="537" t="n"/>
      <c r="M149" s="537" t="n"/>
      <c r="N149" s="537" t="n"/>
      <c r="O149" s="537" t="n"/>
      <c r="P149" s="537" t="n"/>
      <c r="Q149" s="537" t="n"/>
      <c r="R149" s="500" t="n"/>
      <c r="S149" s="500" t="n"/>
      <c r="T149" s="500" t="n"/>
      <c r="U149" s="500" t="n"/>
      <c r="V149" s="500" t="n"/>
      <c r="W149" s="500" t="n"/>
      <c r="X149" s="500" t="n"/>
      <c r="Y149" s="500" t="n"/>
      <c r="Z149" s="500" t="n"/>
    </row>
    <row r="150" ht="30" customHeight="1" s="673">
      <c r="A150" s="500" t="n"/>
      <c r="B150" s="547" t="n"/>
      <c r="C150" s="537" t="n"/>
      <c r="D150" s="537" t="n"/>
      <c r="E150" s="537" t="n"/>
      <c r="F150" s="537" t="n"/>
      <c r="G150" s="537" t="n"/>
      <c r="H150" s="537" t="n"/>
      <c r="I150" s="537" t="n"/>
      <c r="J150" s="537" t="n"/>
      <c r="K150" s="537" t="n"/>
      <c r="L150" s="537" t="n"/>
      <c r="M150" s="537" t="n"/>
      <c r="N150" s="537" t="n"/>
      <c r="O150" s="537" t="n"/>
      <c r="P150" s="537" t="n"/>
      <c r="Q150" s="537" t="n"/>
      <c r="R150" s="500" t="n"/>
      <c r="S150" s="500" t="n"/>
      <c r="T150" s="500" t="n"/>
      <c r="U150" s="500" t="n"/>
      <c r="V150" s="500" t="n"/>
      <c r="W150" s="500" t="n"/>
      <c r="X150" s="500" t="n"/>
      <c r="Y150" s="500" t="n"/>
      <c r="Z150" s="500" t="n"/>
    </row>
    <row r="151" ht="30" customHeight="1" s="673">
      <c r="A151" s="500" t="n"/>
      <c r="B151" s="547" t="n"/>
      <c r="C151" s="537" t="n"/>
      <c r="D151" s="537" t="n"/>
      <c r="E151" s="537" t="n"/>
      <c r="F151" s="537" t="n"/>
      <c r="G151" s="537" t="n"/>
      <c r="H151" s="537" t="n"/>
      <c r="I151" s="537" t="n"/>
      <c r="J151" s="537" t="n"/>
      <c r="K151" s="537" t="n"/>
      <c r="L151" s="537" t="n"/>
      <c r="M151" s="537" t="n"/>
      <c r="N151" s="537" t="n"/>
      <c r="O151" s="537" t="n"/>
      <c r="P151" s="537" t="n"/>
      <c r="Q151" s="537" t="n"/>
      <c r="R151" s="500" t="n"/>
      <c r="S151" s="500" t="n"/>
      <c r="T151" s="500" t="n"/>
      <c r="U151" s="500" t="n"/>
      <c r="V151" s="500" t="n"/>
      <c r="W151" s="500" t="n"/>
      <c r="X151" s="500" t="n"/>
      <c r="Y151" s="500" t="n"/>
      <c r="Z151" s="500" t="n"/>
    </row>
    <row r="152" ht="30" customHeight="1" s="673">
      <c r="A152" s="500" t="n"/>
      <c r="B152" s="547" t="n"/>
      <c r="C152" s="537" t="n"/>
      <c r="D152" s="537" t="n"/>
      <c r="E152" s="537" t="n"/>
      <c r="F152" s="537" t="n"/>
      <c r="G152" s="537" t="n"/>
      <c r="H152" s="537" t="n"/>
      <c r="I152" s="537" t="n"/>
      <c r="J152" s="537" t="n"/>
      <c r="K152" s="537" t="n"/>
      <c r="L152" s="537" t="n"/>
      <c r="M152" s="537" t="n"/>
      <c r="N152" s="537" t="n"/>
      <c r="O152" s="537" t="n"/>
      <c r="P152" s="537" t="n"/>
      <c r="Q152" s="537" t="n"/>
      <c r="R152" s="500" t="n"/>
      <c r="S152" s="500" t="n"/>
      <c r="T152" s="500" t="n"/>
      <c r="U152" s="500" t="n"/>
      <c r="V152" s="500" t="n"/>
      <c r="W152" s="500" t="n"/>
      <c r="X152" s="500" t="n"/>
      <c r="Y152" s="500" t="n"/>
      <c r="Z152" s="500" t="n"/>
    </row>
    <row r="153" ht="30" customHeight="1" s="673">
      <c r="A153" s="500" t="n"/>
      <c r="B153" s="547" t="n"/>
      <c r="C153" s="537" t="n"/>
      <c r="D153" s="537" t="n"/>
      <c r="E153" s="537" t="n"/>
      <c r="F153" s="537" t="n"/>
      <c r="G153" s="537" t="n"/>
      <c r="H153" s="537" t="n"/>
      <c r="I153" s="537" t="n"/>
      <c r="J153" s="537" t="n"/>
      <c r="K153" s="537" t="n"/>
      <c r="L153" s="537" t="n"/>
      <c r="M153" s="537" t="n"/>
      <c r="N153" s="537" t="n"/>
      <c r="O153" s="537" t="n"/>
      <c r="P153" s="537" t="n"/>
      <c r="Q153" s="537" t="n"/>
      <c r="R153" s="500" t="n"/>
      <c r="S153" s="500" t="n"/>
      <c r="T153" s="500" t="n"/>
      <c r="U153" s="500" t="n"/>
      <c r="V153" s="500" t="n"/>
      <c r="W153" s="500" t="n"/>
      <c r="X153" s="500" t="n"/>
      <c r="Y153" s="500" t="n"/>
      <c r="Z153" s="500" t="n"/>
    </row>
    <row r="154" ht="30" customHeight="1" s="673">
      <c r="A154" s="500" t="n"/>
      <c r="B154" s="547" t="n"/>
      <c r="C154" s="537" t="n"/>
      <c r="D154" s="537" t="n"/>
      <c r="E154" s="537" t="n"/>
      <c r="F154" s="537" t="n"/>
      <c r="G154" s="537" t="n"/>
      <c r="H154" s="537" t="n"/>
      <c r="I154" s="537" t="n"/>
      <c r="J154" s="537" t="n"/>
      <c r="K154" s="537" t="n"/>
      <c r="L154" s="537" t="n"/>
      <c r="M154" s="537" t="n"/>
      <c r="N154" s="537" t="n"/>
      <c r="O154" s="537" t="n"/>
      <c r="P154" s="537" t="n"/>
      <c r="Q154" s="537" t="n"/>
      <c r="R154" s="500" t="n"/>
      <c r="S154" s="500" t="n"/>
      <c r="T154" s="500" t="n"/>
      <c r="U154" s="500" t="n"/>
      <c r="V154" s="500" t="n"/>
      <c r="W154" s="500" t="n"/>
      <c r="X154" s="500" t="n"/>
      <c r="Y154" s="500" t="n"/>
      <c r="Z154" s="500" t="n"/>
    </row>
    <row r="155" ht="30" customHeight="1" s="673">
      <c r="A155" s="500" t="n"/>
      <c r="B155" s="547" t="n"/>
      <c r="C155" s="537" t="n"/>
      <c r="D155" s="537" t="n"/>
      <c r="E155" s="537" t="n"/>
      <c r="F155" s="537" t="n"/>
      <c r="G155" s="537" t="n"/>
      <c r="H155" s="537" t="n"/>
      <c r="I155" s="537" t="n"/>
      <c r="J155" s="537" t="n"/>
      <c r="K155" s="537" t="n"/>
      <c r="L155" s="537" t="n"/>
      <c r="M155" s="537" t="n"/>
      <c r="N155" s="537" t="n"/>
      <c r="O155" s="537" t="n"/>
      <c r="P155" s="537" t="n"/>
      <c r="Q155" s="537" t="n"/>
      <c r="R155" s="500" t="n"/>
      <c r="S155" s="500" t="n"/>
      <c r="T155" s="500" t="n"/>
      <c r="U155" s="500" t="n"/>
      <c r="V155" s="500" t="n"/>
      <c r="W155" s="500" t="n"/>
      <c r="X155" s="500" t="n"/>
      <c r="Y155" s="500" t="n"/>
      <c r="Z155" s="500" t="n"/>
    </row>
    <row r="156" ht="30" customHeight="1" s="673">
      <c r="A156" s="500" t="n"/>
      <c r="B156" s="547" t="n"/>
      <c r="C156" s="537" t="n"/>
      <c r="D156" s="537" t="n"/>
      <c r="E156" s="537" t="n"/>
      <c r="F156" s="537" t="n"/>
      <c r="G156" s="537" t="n"/>
      <c r="H156" s="537" t="n"/>
      <c r="I156" s="537" t="n"/>
      <c r="J156" s="537" t="n"/>
      <c r="K156" s="537" t="n"/>
      <c r="L156" s="537" t="n"/>
      <c r="M156" s="537" t="n"/>
      <c r="N156" s="537" t="n"/>
      <c r="O156" s="537" t="n"/>
      <c r="P156" s="537" t="n"/>
      <c r="Q156" s="537" t="n"/>
      <c r="R156" s="500" t="n"/>
      <c r="S156" s="500" t="n"/>
      <c r="T156" s="500" t="n"/>
      <c r="U156" s="500" t="n"/>
      <c r="V156" s="500" t="n"/>
      <c r="W156" s="500" t="n"/>
      <c r="X156" s="500" t="n"/>
      <c r="Y156" s="500" t="n"/>
      <c r="Z156" s="500" t="n"/>
    </row>
    <row r="157" ht="30" customHeight="1" s="673">
      <c r="A157" s="500" t="n"/>
      <c r="B157" s="547" t="n"/>
      <c r="C157" s="537" t="n"/>
      <c r="D157" s="537" t="n"/>
      <c r="E157" s="537" t="n"/>
      <c r="F157" s="537" t="n"/>
      <c r="G157" s="537" t="n"/>
      <c r="H157" s="537" t="n"/>
      <c r="I157" s="537" t="n"/>
      <c r="J157" s="537" t="n"/>
      <c r="K157" s="537" t="n"/>
      <c r="L157" s="537" t="n"/>
      <c r="M157" s="537" t="n"/>
      <c r="N157" s="537" t="n"/>
      <c r="O157" s="537" t="n"/>
      <c r="P157" s="537" t="n"/>
      <c r="Q157" s="537" t="n"/>
      <c r="R157" s="500" t="n"/>
      <c r="S157" s="500" t="n"/>
      <c r="T157" s="500" t="n"/>
      <c r="U157" s="500" t="n"/>
      <c r="V157" s="500" t="n"/>
      <c r="W157" s="500" t="n"/>
      <c r="X157" s="500" t="n"/>
      <c r="Y157" s="500" t="n"/>
      <c r="Z157" s="500" t="n"/>
    </row>
    <row r="158" ht="30" customHeight="1" s="673">
      <c r="A158" s="500" t="n"/>
      <c r="B158" s="547" t="n"/>
      <c r="C158" s="537" t="n"/>
      <c r="D158" s="537" t="n"/>
      <c r="E158" s="537" t="n"/>
      <c r="F158" s="537" t="n"/>
      <c r="G158" s="537" t="n"/>
      <c r="H158" s="537" t="n"/>
      <c r="I158" s="537" t="n"/>
      <c r="J158" s="537" t="n"/>
      <c r="K158" s="537" t="n"/>
      <c r="L158" s="537" t="n"/>
      <c r="M158" s="537" t="n"/>
      <c r="N158" s="537" t="n"/>
      <c r="O158" s="537" t="n"/>
      <c r="P158" s="537" t="n"/>
      <c r="Q158" s="537" t="n"/>
      <c r="R158" s="500" t="n"/>
      <c r="S158" s="500" t="n"/>
      <c r="T158" s="500" t="n"/>
      <c r="U158" s="500" t="n"/>
      <c r="V158" s="500" t="n"/>
      <c r="W158" s="500" t="n"/>
      <c r="X158" s="500" t="n"/>
      <c r="Y158" s="500" t="n"/>
      <c r="Z158" s="500" t="n"/>
    </row>
    <row r="159" ht="30" customHeight="1" s="673">
      <c r="A159" s="500" t="n"/>
      <c r="B159" s="547" t="n"/>
      <c r="C159" s="537" t="n"/>
      <c r="D159" s="537" t="n"/>
      <c r="E159" s="537" t="n"/>
      <c r="F159" s="537" t="n"/>
      <c r="G159" s="537" t="n"/>
      <c r="H159" s="537" t="n"/>
      <c r="I159" s="537" t="n"/>
      <c r="J159" s="537" t="n"/>
      <c r="K159" s="537" t="n"/>
      <c r="L159" s="537" t="n"/>
      <c r="M159" s="537" t="n"/>
      <c r="N159" s="537" t="n"/>
      <c r="O159" s="537" t="n"/>
      <c r="P159" s="537" t="n"/>
      <c r="Q159" s="537" t="n"/>
      <c r="R159" s="500" t="n"/>
      <c r="S159" s="500" t="n"/>
      <c r="T159" s="500" t="n"/>
      <c r="U159" s="500" t="n"/>
      <c r="V159" s="500" t="n"/>
      <c r="W159" s="500" t="n"/>
      <c r="X159" s="500" t="n"/>
      <c r="Y159" s="500" t="n"/>
      <c r="Z159" s="500" t="n"/>
    </row>
    <row r="160" ht="30" customHeight="1" s="673">
      <c r="A160" s="500" t="n"/>
      <c r="B160" s="547" t="n"/>
      <c r="C160" s="537" t="n"/>
      <c r="D160" s="537" t="n"/>
      <c r="E160" s="537" t="n"/>
      <c r="F160" s="537" t="n"/>
      <c r="G160" s="537" t="n"/>
      <c r="H160" s="537" t="n"/>
      <c r="I160" s="537" t="n"/>
      <c r="J160" s="537" t="n"/>
      <c r="K160" s="537" t="n"/>
      <c r="L160" s="537" t="n"/>
      <c r="M160" s="537" t="n"/>
      <c r="N160" s="537" t="n"/>
      <c r="O160" s="537" t="n"/>
      <c r="P160" s="537" t="n"/>
      <c r="Q160" s="537" t="n"/>
      <c r="R160" s="500" t="n"/>
      <c r="S160" s="500" t="n"/>
      <c r="T160" s="500" t="n"/>
      <c r="U160" s="500" t="n"/>
      <c r="V160" s="500" t="n"/>
      <c r="W160" s="500" t="n"/>
      <c r="X160" s="500" t="n"/>
      <c r="Y160" s="500" t="n"/>
      <c r="Z160" s="500" t="n"/>
    </row>
    <row r="161" ht="30" customHeight="1" s="673">
      <c r="A161" s="500" t="n"/>
      <c r="B161" s="547" t="n"/>
      <c r="C161" s="537" t="n"/>
      <c r="D161" s="537" t="n"/>
      <c r="E161" s="537" t="n"/>
      <c r="F161" s="537" t="n"/>
      <c r="G161" s="537" t="n"/>
      <c r="H161" s="537" t="n"/>
      <c r="I161" s="537" t="n"/>
      <c r="J161" s="537" t="n"/>
      <c r="K161" s="537" t="n"/>
      <c r="L161" s="537" t="n"/>
      <c r="M161" s="537" t="n"/>
      <c r="N161" s="537" t="n"/>
      <c r="O161" s="537" t="n"/>
      <c r="P161" s="537" t="n"/>
      <c r="Q161" s="537" t="n"/>
      <c r="R161" s="500" t="n"/>
      <c r="S161" s="500" t="n"/>
      <c r="T161" s="500" t="n"/>
      <c r="U161" s="500" t="n"/>
      <c r="V161" s="500" t="n"/>
      <c r="W161" s="500" t="n"/>
      <c r="X161" s="500" t="n"/>
      <c r="Y161" s="500" t="n"/>
      <c r="Z161" s="500" t="n"/>
    </row>
    <row r="162" ht="30" customHeight="1" s="673">
      <c r="A162" s="500" t="n"/>
      <c r="B162" s="547" t="n"/>
      <c r="C162" s="537" t="n"/>
      <c r="D162" s="537" t="n"/>
      <c r="E162" s="537" t="n"/>
      <c r="F162" s="537" t="n"/>
      <c r="G162" s="537" t="n"/>
      <c r="H162" s="537" t="n"/>
      <c r="I162" s="537" t="n"/>
      <c r="J162" s="537" t="n"/>
      <c r="K162" s="537" t="n"/>
      <c r="L162" s="537" t="n"/>
      <c r="M162" s="537" t="n"/>
      <c r="N162" s="537" t="n"/>
      <c r="O162" s="537" t="n"/>
      <c r="P162" s="537" t="n"/>
      <c r="Q162" s="537" t="n"/>
      <c r="R162" s="500" t="n"/>
      <c r="S162" s="500" t="n"/>
      <c r="T162" s="500" t="n"/>
      <c r="U162" s="500" t="n"/>
      <c r="V162" s="500" t="n"/>
      <c r="W162" s="500" t="n"/>
      <c r="X162" s="500" t="n"/>
      <c r="Y162" s="500" t="n"/>
      <c r="Z162" s="500" t="n"/>
    </row>
    <row r="163" ht="30" customHeight="1" s="673">
      <c r="A163" s="500" t="n"/>
      <c r="B163" s="547" t="n"/>
      <c r="C163" s="537" t="n"/>
      <c r="D163" s="537" t="n"/>
      <c r="E163" s="537" t="n"/>
      <c r="F163" s="537" t="n"/>
      <c r="G163" s="537" t="n"/>
      <c r="H163" s="537" t="n"/>
      <c r="I163" s="537" t="n"/>
      <c r="J163" s="537" t="n"/>
      <c r="K163" s="537" t="n"/>
      <c r="L163" s="537" t="n"/>
      <c r="M163" s="537" t="n"/>
      <c r="N163" s="537" t="n"/>
      <c r="O163" s="537" t="n"/>
      <c r="P163" s="537" t="n"/>
      <c r="Q163" s="537" t="n"/>
      <c r="R163" s="500" t="n"/>
      <c r="S163" s="500" t="n"/>
      <c r="T163" s="500" t="n"/>
      <c r="U163" s="500" t="n"/>
      <c r="V163" s="500" t="n"/>
      <c r="W163" s="500" t="n"/>
      <c r="X163" s="500" t="n"/>
      <c r="Y163" s="500" t="n"/>
      <c r="Z163" s="500" t="n"/>
    </row>
    <row r="164" ht="30" customHeight="1" s="673">
      <c r="A164" s="500" t="n"/>
      <c r="B164" s="547" t="n"/>
      <c r="C164" s="537" t="n"/>
      <c r="D164" s="537" t="n"/>
      <c r="E164" s="537" t="n"/>
      <c r="F164" s="537" t="n"/>
      <c r="G164" s="537" t="n"/>
      <c r="H164" s="537" t="n"/>
      <c r="I164" s="537" t="n"/>
      <c r="J164" s="537" t="n"/>
      <c r="K164" s="537" t="n"/>
      <c r="L164" s="537" t="n"/>
      <c r="M164" s="537" t="n"/>
      <c r="N164" s="537" t="n"/>
      <c r="O164" s="537" t="n"/>
      <c r="P164" s="537" t="n"/>
      <c r="Q164" s="537" t="n"/>
      <c r="R164" s="500" t="n"/>
      <c r="S164" s="500" t="n"/>
      <c r="T164" s="500" t="n"/>
      <c r="U164" s="500" t="n"/>
      <c r="V164" s="500" t="n"/>
      <c r="W164" s="500" t="n"/>
      <c r="X164" s="500" t="n"/>
      <c r="Y164" s="500" t="n"/>
      <c r="Z164" s="500" t="n"/>
    </row>
    <row r="165" ht="30" customHeight="1" s="673">
      <c r="A165" s="500" t="n"/>
      <c r="B165" s="547" t="n"/>
      <c r="C165" s="537" t="n"/>
      <c r="D165" s="537" t="n"/>
      <c r="E165" s="537" t="n"/>
      <c r="F165" s="537" t="n"/>
      <c r="G165" s="537" t="n"/>
      <c r="H165" s="537" t="n"/>
      <c r="I165" s="537" t="n"/>
      <c r="J165" s="537" t="n"/>
      <c r="K165" s="537" t="n"/>
      <c r="L165" s="537" t="n"/>
      <c r="M165" s="537" t="n"/>
      <c r="N165" s="537" t="n"/>
      <c r="O165" s="537" t="n"/>
      <c r="P165" s="537" t="n"/>
      <c r="Q165" s="537" t="n"/>
      <c r="R165" s="500" t="n"/>
      <c r="S165" s="500" t="n"/>
      <c r="T165" s="500" t="n"/>
      <c r="U165" s="500" t="n"/>
      <c r="V165" s="500" t="n"/>
      <c r="W165" s="500" t="n"/>
      <c r="X165" s="500" t="n"/>
      <c r="Y165" s="500" t="n"/>
      <c r="Z165" s="500" t="n"/>
    </row>
    <row r="166" ht="30" customHeight="1" s="673">
      <c r="A166" s="500" t="n"/>
      <c r="B166" s="547" t="n"/>
      <c r="C166" s="537" t="n"/>
      <c r="D166" s="537" t="n"/>
      <c r="E166" s="537" t="n"/>
      <c r="F166" s="537" t="n"/>
      <c r="G166" s="537" t="n"/>
      <c r="H166" s="537" t="n"/>
      <c r="I166" s="537" t="n"/>
      <c r="J166" s="537" t="n"/>
      <c r="K166" s="537" t="n"/>
      <c r="L166" s="537" t="n"/>
      <c r="M166" s="537" t="n"/>
      <c r="N166" s="537" t="n"/>
      <c r="O166" s="537" t="n"/>
      <c r="P166" s="537" t="n"/>
      <c r="Q166" s="537" t="n"/>
      <c r="R166" s="500" t="n"/>
      <c r="S166" s="500" t="n"/>
      <c r="T166" s="500" t="n"/>
      <c r="U166" s="500" t="n"/>
      <c r="V166" s="500" t="n"/>
      <c r="W166" s="500" t="n"/>
      <c r="X166" s="500" t="n"/>
      <c r="Y166" s="500" t="n"/>
      <c r="Z166" s="500" t="n"/>
    </row>
    <row r="167" ht="30" customHeight="1" s="673">
      <c r="A167" s="500" t="n"/>
      <c r="B167" s="547" t="n"/>
      <c r="C167" s="537" t="n"/>
      <c r="D167" s="537" t="n"/>
      <c r="E167" s="537" t="n"/>
      <c r="F167" s="537" t="n"/>
      <c r="G167" s="537" t="n"/>
      <c r="H167" s="537" t="n"/>
      <c r="I167" s="537" t="n"/>
      <c r="J167" s="537" t="n"/>
      <c r="K167" s="537" t="n"/>
      <c r="L167" s="537" t="n"/>
      <c r="M167" s="537" t="n"/>
      <c r="N167" s="537" t="n"/>
      <c r="O167" s="537" t="n"/>
      <c r="P167" s="537" t="n"/>
      <c r="Q167" s="537" t="n"/>
      <c r="R167" s="500" t="n"/>
      <c r="S167" s="500" t="n"/>
      <c r="T167" s="500" t="n"/>
      <c r="U167" s="500" t="n"/>
      <c r="V167" s="500" t="n"/>
      <c r="W167" s="500" t="n"/>
      <c r="X167" s="500" t="n"/>
      <c r="Y167" s="500" t="n"/>
      <c r="Z167" s="500" t="n"/>
    </row>
    <row r="168" ht="30" customHeight="1" s="673">
      <c r="A168" s="500" t="n"/>
      <c r="B168" s="547" t="n"/>
      <c r="C168" s="537" t="n"/>
      <c r="D168" s="537" t="n"/>
      <c r="E168" s="537" t="n"/>
      <c r="F168" s="537" t="n"/>
      <c r="G168" s="537" t="n"/>
      <c r="H168" s="537" t="n"/>
      <c r="I168" s="537" t="n"/>
      <c r="J168" s="537" t="n"/>
      <c r="K168" s="537" t="n"/>
      <c r="L168" s="537" t="n"/>
      <c r="M168" s="537" t="n"/>
      <c r="N168" s="537" t="n"/>
      <c r="O168" s="537" t="n"/>
      <c r="P168" s="537" t="n"/>
      <c r="Q168" s="537" t="n"/>
      <c r="R168" s="500" t="n"/>
      <c r="S168" s="500" t="n"/>
      <c r="T168" s="500" t="n"/>
      <c r="U168" s="500" t="n"/>
      <c r="V168" s="500" t="n"/>
      <c r="W168" s="500" t="n"/>
      <c r="X168" s="500" t="n"/>
      <c r="Y168" s="500" t="n"/>
      <c r="Z168" s="500" t="n"/>
    </row>
    <row r="169" ht="30" customHeight="1" s="673">
      <c r="A169" s="500" t="n"/>
      <c r="B169" s="547" t="n"/>
      <c r="C169" s="537" t="n"/>
      <c r="D169" s="537" t="n"/>
      <c r="E169" s="537" t="n"/>
      <c r="F169" s="537" t="n"/>
      <c r="G169" s="537" t="n"/>
      <c r="H169" s="537" t="n"/>
      <c r="I169" s="537" t="n"/>
      <c r="J169" s="537" t="n"/>
      <c r="K169" s="537" t="n"/>
      <c r="L169" s="537" t="n"/>
      <c r="M169" s="537" t="n"/>
      <c r="N169" s="537" t="n"/>
      <c r="O169" s="537" t="n"/>
      <c r="P169" s="537" t="n"/>
      <c r="Q169" s="537" t="n"/>
      <c r="R169" s="500" t="n"/>
      <c r="S169" s="500" t="n"/>
      <c r="T169" s="500" t="n"/>
      <c r="U169" s="500" t="n"/>
      <c r="V169" s="500" t="n"/>
      <c r="W169" s="500" t="n"/>
      <c r="X169" s="500" t="n"/>
      <c r="Y169" s="500" t="n"/>
      <c r="Z169" s="500" t="n"/>
    </row>
    <row r="170" ht="30" customHeight="1" s="673">
      <c r="A170" s="500" t="n"/>
      <c r="B170" s="547" t="n"/>
      <c r="C170" s="537" t="n"/>
      <c r="D170" s="537" t="n"/>
      <c r="E170" s="537" t="n"/>
      <c r="F170" s="537" t="n"/>
      <c r="G170" s="537" t="n"/>
      <c r="H170" s="537" t="n"/>
      <c r="I170" s="537" t="n"/>
      <c r="J170" s="537" t="n"/>
      <c r="K170" s="537" t="n"/>
      <c r="L170" s="537" t="n"/>
      <c r="M170" s="537" t="n"/>
      <c r="N170" s="537" t="n"/>
      <c r="O170" s="537" t="n"/>
      <c r="P170" s="537" t="n"/>
      <c r="Q170" s="537" t="n"/>
      <c r="R170" s="500" t="n"/>
      <c r="S170" s="500" t="n"/>
      <c r="T170" s="500" t="n"/>
      <c r="U170" s="500" t="n"/>
      <c r="V170" s="500" t="n"/>
      <c r="W170" s="500" t="n"/>
      <c r="X170" s="500" t="n"/>
      <c r="Y170" s="500" t="n"/>
      <c r="Z170" s="500" t="n"/>
    </row>
    <row r="171" ht="30" customHeight="1" s="673">
      <c r="A171" s="500" t="n"/>
      <c r="B171" s="547" t="n"/>
      <c r="C171" s="537" t="n"/>
      <c r="D171" s="537" t="n"/>
      <c r="E171" s="537" t="n"/>
      <c r="F171" s="537" t="n"/>
      <c r="G171" s="537" t="n"/>
      <c r="H171" s="537" t="n"/>
      <c r="I171" s="537" t="n"/>
      <c r="J171" s="537" t="n"/>
      <c r="K171" s="537" t="n"/>
      <c r="L171" s="537" t="n"/>
      <c r="M171" s="537" t="n"/>
      <c r="N171" s="537" t="n"/>
      <c r="O171" s="537" t="n"/>
      <c r="P171" s="537" t="n"/>
      <c r="Q171" s="537" t="n"/>
      <c r="R171" s="500" t="n"/>
      <c r="S171" s="500" t="n"/>
      <c r="T171" s="500" t="n"/>
      <c r="U171" s="500" t="n"/>
      <c r="V171" s="500" t="n"/>
      <c r="W171" s="500" t="n"/>
      <c r="X171" s="500" t="n"/>
      <c r="Y171" s="500" t="n"/>
      <c r="Z171" s="500" t="n"/>
    </row>
    <row r="172" ht="30" customHeight="1" s="673">
      <c r="A172" s="500" t="n"/>
      <c r="B172" s="547" t="n"/>
      <c r="C172" s="537" t="n"/>
      <c r="D172" s="537" t="n"/>
      <c r="E172" s="537" t="n"/>
      <c r="F172" s="537" t="n"/>
      <c r="G172" s="537" t="n"/>
      <c r="H172" s="537" t="n"/>
      <c r="I172" s="537" t="n"/>
      <c r="J172" s="537" t="n"/>
      <c r="K172" s="537" t="n"/>
      <c r="L172" s="537" t="n"/>
      <c r="M172" s="537" t="n"/>
      <c r="N172" s="537" t="n"/>
      <c r="O172" s="537" t="n"/>
      <c r="P172" s="537" t="n"/>
      <c r="Q172" s="537" t="n"/>
      <c r="R172" s="500" t="n"/>
      <c r="S172" s="500" t="n"/>
      <c r="T172" s="500" t="n"/>
      <c r="U172" s="500" t="n"/>
      <c r="V172" s="500" t="n"/>
      <c r="W172" s="500" t="n"/>
      <c r="X172" s="500" t="n"/>
      <c r="Y172" s="500" t="n"/>
      <c r="Z172" s="500" t="n"/>
    </row>
    <row r="173" ht="30" customHeight="1" s="673">
      <c r="A173" s="500" t="n"/>
      <c r="B173" s="547" t="n"/>
      <c r="C173" s="537" t="n"/>
      <c r="D173" s="537" t="n"/>
      <c r="E173" s="537" t="n"/>
      <c r="F173" s="537" t="n"/>
      <c r="G173" s="537" t="n"/>
      <c r="H173" s="537" t="n"/>
      <c r="I173" s="537" t="n"/>
      <c r="J173" s="537" t="n"/>
      <c r="K173" s="537" t="n"/>
      <c r="L173" s="537" t="n"/>
      <c r="M173" s="537" t="n"/>
      <c r="N173" s="537" t="n"/>
      <c r="O173" s="537" t="n"/>
      <c r="P173" s="537" t="n"/>
      <c r="Q173" s="537" t="n"/>
      <c r="R173" s="500" t="n"/>
      <c r="S173" s="500" t="n"/>
      <c r="T173" s="500" t="n"/>
      <c r="U173" s="500" t="n"/>
      <c r="V173" s="500" t="n"/>
      <c r="W173" s="500" t="n"/>
      <c r="X173" s="500" t="n"/>
      <c r="Y173" s="500" t="n"/>
      <c r="Z173" s="500" t="n"/>
    </row>
    <row r="174" ht="30" customHeight="1" s="673">
      <c r="A174" s="500" t="n"/>
      <c r="B174" s="547" t="n"/>
      <c r="C174" s="537" t="n"/>
      <c r="D174" s="537" t="n"/>
      <c r="E174" s="537" t="n"/>
      <c r="F174" s="537" t="n"/>
      <c r="G174" s="537" t="n"/>
      <c r="H174" s="537" t="n"/>
      <c r="I174" s="537" t="n"/>
      <c r="J174" s="537" t="n"/>
      <c r="K174" s="537" t="n"/>
      <c r="L174" s="537" t="n"/>
      <c r="M174" s="537" t="n"/>
      <c r="N174" s="537" t="n"/>
      <c r="O174" s="537" t="n"/>
      <c r="P174" s="537" t="n"/>
      <c r="Q174" s="537" t="n"/>
      <c r="R174" s="500" t="n"/>
      <c r="S174" s="500" t="n"/>
      <c r="T174" s="500" t="n"/>
      <c r="U174" s="500" t="n"/>
      <c r="V174" s="500" t="n"/>
      <c r="W174" s="500" t="n"/>
      <c r="X174" s="500" t="n"/>
      <c r="Y174" s="500" t="n"/>
      <c r="Z174" s="500" t="n"/>
    </row>
    <row r="175" ht="30" customHeight="1" s="673">
      <c r="A175" s="500" t="n"/>
      <c r="B175" s="547" t="n"/>
      <c r="C175" s="537" t="n"/>
      <c r="D175" s="537" t="n"/>
      <c r="E175" s="537" t="n"/>
      <c r="F175" s="537" t="n"/>
      <c r="G175" s="537" t="n"/>
      <c r="H175" s="537" t="n"/>
      <c r="I175" s="537" t="n"/>
      <c r="J175" s="537" t="n"/>
      <c r="K175" s="537" t="n"/>
      <c r="L175" s="537" t="n"/>
      <c r="M175" s="537" t="n"/>
      <c r="N175" s="537" t="n"/>
      <c r="O175" s="537" t="n"/>
      <c r="P175" s="537" t="n"/>
      <c r="Q175" s="537" t="n"/>
      <c r="R175" s="500" t="n"/>
      <c r="S175" s="500" t="n"/>
      <c r="T175" s="500" t="n"/>
      <c r="U175" s="500" t="n"/>
      <c r="V175" s="500" t="n"/>
      <c r="W175" s="500" t="n"/>
      <c r="X175" s="500" t="n"/>
      <c r="Y175" s="500" t="n"/>
      <c r="Z175" s="500" t="n"/>
    </row>
    <row r="176" ht="30" customHeight="1" s="673">
      <c r="A176" s="500" t="n"/>
      <c r="B176" s="547" t="n"/>
      <c r="C176" s="537" t="n"/>
      <c r="D176" s="537" t="n"/>
      <c r="E176" s="537" t="n"/>
      <c r="F176" s="537" t="n"/>
      <c r="G176" s="537" t="n"/>
      <c r="H176" s="537" t="n"/>
      <c r="I176" s="537" t="n"/>
      <c r="J176" s="537" t="n"/>
      <c r="K176" s="537" t="n"/>
      <c r="L176" s="537" t="n"/>
      <c r="M176" s="537" t="n"/>
      <c r="N176" s="537" t="n"/>
      <c r="O176" s="537" t="n"/>
      <c r="P176" s="537" t="n"/>
      <c r="Q176" s="537" t="n"/>
      <c r="R176" s="500" t="n"/>
      <c r="S176" s="500" t="n"/>
      <c r="T176" s="500" t="n"/>
      <c r="U176" s="500" t="n"/>
      <c r="V176" s="500" t="n"/>
      <c r="W176" s="500" t="n"/>
      <c r="X176" s="500" t="n"/>
      <c r="Y176" s="500" t="n"/>
      <c r="Z176" s="500" t="n"/>
    </row>
    <row r="177" ht="30" customHeight="1" s="673">
      <c r="A177" s="500" t="n"/>
      <c r="B177" s="547" t="n"/>
      <c r="C177" s="537" t="n"/>
      <c r="D177" s="537" t="n"/>
      <c r="E177" s="537" t="n"/>
      <c r="F177" s="537" t="n"/>
      <c r="G177" s="537" t="n"/>
      <c r="H177" s="537" t="n"/>
      <c r="I177" s="537" t="n"/>
      <c r="J177" s="537" t="n"/>
      <c r="K177" s="537" t="n"/>
      <c r="L177" s="537" t="n"/>
      <c r="M177" s="537" t="n"/>
      <c r="N177" s="537" t="n"/>
      <c r="O177" s="537" t="n"/>
      <c r="P177" s="537" t="n"/>
      <c r="Q177" s="537" t="n"/>
      <c r="R177" s="500" t="n"/>
      <c r="S177" s="500" t="n"/>
      <c r="T177" s="500" t="n"/>
      <c r="U177" s="500" t="n"/>
      <c r="V177" s="500" t="n"/>
      <c r="W177" s="500" t="n"/>
      <c r="X177" s="500" t="n"/>
      <c r="Y177" s="500" t="n"/>
      <c r="Z177" s="500" t="n"/>
    </row>
    <row r="178" ht="30" customHeight="1" s="673">
      <c r="A178" s="500" t="n"/>
      <c r="B178" s="547" t="n"/>
      <c r="C178" s="537" t="n"/>
      <c r="D178" s="537" t="n"/>
      <c r="E178" s="537" t="n"/>
      <c r="F178" s="537" t="n"/>
      <c r="G178" s="537" t="n"/>
      <c r="H178" s="537" t="n"/>
      <c r="I178" s="537" t="n"/>
      <c r="J178" s="537" t="n"/>
      <c r="K178" s="537" t="n"/>
      <c r="L178" s="537" t="n"/>
      <c r="M178" s="537" t="n"/>
      <c r="N178" s="537" t="n"/>
      <c r="O178" s="537" t="n"/>
      <c r="P178" s="537" t="n"/>
      <c r="Q178" s="537" t="n"/>
      <c r="R178" s="500" t="n"/>
      <c r="S178" s="500" t="n"/>
      <c r="T178" s="500" t="n"/>
      <c r="U178" s="500" t="n"/>
      <c r="V178" s="500" t="n"/>
      <c r="W178" s="500" t="n"/>
      <c r="X178" s="500" t="n"/>
      <c r="Y178" s="500" t="n"/>
      <c r="Z178" s="500" t="n"/>
    </row>
    <row r="179" ht="30" customHeight="1" s="673">
      <c r="A179" s="500" t="n"/>
      <c r="B179" s="547" t="n"/>
      <c r="C179" s="537" t="n"/>
      <c r="D179" s="537" t="n"/>
      <c r="E179" s="537" t="n"/>
      <c r="F179" s="537" t="n"/>
      <c r="G179" s="537" t="n"/>
      <c r="H179" s="537" t="n"/>
      <c r="I179" s="537" t="n"/>
      <c r="J179" s="537" t="n"/>
      <c r="K179" s="537" t="n"/>
      <c r="L179" s="537" t="n"/>
      <c r="M179" s="537" t="n"/>
      <c r="N179" s="537" t="n"/>
      <c r="O179" s="537" t="n"/>
      <c r="P179" s="537" t="n"/>
      <c r="Q179" s="537" t="n"/>
      <c r="R179" s="500" t="n"/>
      <c r="S179" s="500" t="n"/>
      <c r="T179" s="500" t="n"/>
      <c r="U179" s="500" t="n"/>
      <c r="V179" s="500" t="n"/>
      <c r="W179" s="500" t="n"/>
      <c r="X179" s="500" t="n"/>
      <c r="Y179" s="500" t="n"/>
      <c r="Z179" s="500" t="n"/>
    </row>
    <row r="180" ht="30" customHeight="1" s="673">
      <c r="A180" s="500" t="n"/>
      <c r="B180" s="547" t="n"/>
      <c r="C180" s="537" t="n"/>
      <c r="D180" s="537" t="n"/>
      <c r="E180" s="537" t="n"/>
      <c r="F180" s="537" t="n"/>
      <c r="G180" s="537" t="n"/>
      <c r="H180" s="537" t="n"/>
      <c r="I180" s="537" t="n"/>
      <c r="J180" s="537" t="n"/>
      <c r="K180" s="537" t="n"/>
      <c r="L180" s="537" t="n"/>
      <c r="M180" s="537" t="n"/>
      <c r="N180" s="537" t="n"/>
      <c r="O180" s="537" t="n"/>
      <c r="P180" s="537" t="n"/>
      <c r="Q180" s="537" t="n"/>
      <c r="R180" s="500" t="n"/>
      <c r="S180" s="500" t="n"/>
      <c r="T180" s="500" t="n"/>
      <c r="U180" s="500" t="n"/>
      <c r="V180" s="500" t="n"/>
      <c r="W180" s="500" t="n"/>
      <c r="X180" s="500" t="n"/>
      <c r="Y180" s="500" t="n"/>
      <c r="Z180" s="500" t="n"/>
    </row>
    <row r="181" ht="30" customHeight="1" s="673">
      <c r="A181" s="500" t="n"/>
      <c r="B181" s="547" t="n"/>
      <c r="C181" s="537" t="n"/>
      <c r="D181" s="537" t="n"/>
      <c r="E181" s="537" t="n"/>
      <c r="F181" s="537" t="n"/>
      <c r="G181" s="537" t="n"/>
      <c r="H181" s="537" t="n"/>
      <c r="I181" s="537" t="n"/>
      <c r="J181" s="537" t="n"/>
      <c r="K181" s="537" t="n"/>
      <c r="L181" s="537" t="n"/>
      <c r="M181" s="537" t="n"/>
      <c r="N181" s="537" t="n"/>
      <c r="O181" s="537" t="n"/>
      <c r="P181" s="537" t="n"/>
      <c r="Q181" s="537" t="n"/>
      <c r="R181" s="500" t="n"/>
      <c r="S181" s="500" t="n"/>
      <c r="T181" s="500" t="n"/>
      <c r="U181" s="500" t="n"/>
      <c r="V181" s="500" t="n"/>
      <c r="W181" s="500" t="n"/>
      <c r="X181" s="500" t="n"/>
      <c r="Y181" s="500" t="n"/>
      <c r="Z181" s="500" t="n"/>
    </row>
    <row r="182" ht="30" customHeight="1" s="673">
      <c r="A182" s="500" t="n"/>
      <c r="B182" s="547" t="n"/>
      <c r="C182" s="537" t="n"/>
      <c r="D182" s="537" t="n"/>
      <c r="E182" s="537" t="n"/>
      <c r="F182" s="537" t="n"/>
      <c r="G182" s="537" t="n"/>
      <c r="H182" s="537" t="n"/>
      <c r="I182" s="537" t="n"/>
      <c r="J182" s="537" t="n"/>
      <c r="K182" s="537" t="n"/>
      <c r="L182" s="537" t="n"/>
      <c r="M182" s="537" t="n"/>
      <c r="N182" s="537" t="n"/>
      <c r="O182" s="537" t="n"/>
      <c r="P182" s="537" t="n"/>
      <c r="Q182" s="537" t="n"/>
      <c r="R182" s="500" t="n"/>
      <c r="S182" s="500" t="n"/>
      <c r="T182" s="500" t="n"/>
      <c r="U182" s="500" t="n"/>
      <c r="V182" s="500" t="n"/>
      <c r="W182" s="500" t="n"/>
      <c r="X182" s="500" t="n"/>
      <c r="Y182" s="500" t="n"/>
      <c r="Z182" s="500" t="n"/>
    </row>
    <row r="183" ht="30" customHeight="1" s="673">
      <c r="A183" s="500" t="n"/>
      <c r="B183" s="547" t="n"/>
      <c r="C183" s="537" t="n"/>
      <c r="D183" s="537" t="n"/>
      <c r="E183" s="537" t="n"/>
      <c r="F183" s="537" t="n"/>
      <c r="G183" s="537" t="n"/>
      <c r="H183" s="537" t="n"/>
      <c r="I183" s="537" t="n"/>
      <c r="J183" s="537" t="n"/>
      <c r="K183" s="537" t="n"/>
      <c r="L183" s="537" t="n"/>
      <c r="M183" s="537" t="n"/>
      <c r="N183" s="537" t="n"/>
      <c r="O183" s="537" t="n"/>
      <c r="P183" s="537" t="n"/>
      <c r="Q183" s="537" t="n"/>
      <c r="R183" s="500" t="n"/>
      <c r="S183" s="500" t="n"/>
      <c r="T183" s="500" t="n"/>
      <c r="U183" s="500" t="n"/>
      <c r="V183" s="500" t="n"/>
      <c r="W183" s="500" t="n"/>
      <c r="X183" s="500" t="n"/>
      <c r="Y183" s="500" t="n"/>
      <c r="Z183" s="500" t="n"/>
    </row>
    <row r="184" ht="30" customHeight="1" s="673">
      <c r="A184" s="500" t="n"/>
      <c r="B184" s="547" t="n"/>
      <c r="C184" s="537" t="n"/>
      <c r="D184" s="537" t="n"/>
      <c r="E184" s="537" t="n"/>
      <c r="F184" s="537" t="n"/>
      <c r="G184" s="537" t="n"/>
      <c r="H184" s="537" t="n"/>
      <c r="I184" s="537" t="n"/>
      <c r="J184" s="537" t="n"/>
      <c r="K184" s="537" t="n"/>
      <c r="L184" s="537" t="n"/>
      <c r="M184" s="537" t="n"/>
      <c r="N184" s="537" t="n"/>
      <c r="O184" s="537" t="n"/>
      <c r="P184" s="537" t="n"/>
      <c r="Q184" s="537" t="n"/>
      <c r="R184" s="500" t="n"/>
      <c r="S184" s="500" t="n"/>
      <c r="T184" s="500" t="n"/>
      <c r="U184" s="500" t="n"/>
      <c r="V184" s="500" t="n"/>
      <c r="W184" s="500" t="n"/>
      <c r="X184" s="500" t="n"/>
      <c r="Y184" s="500" t="n"/>
      <c r="Z184" s="500" t="n"/>
    </row>
    <row r="185" ht="30" customHeight="1" s="673">
      <c r="A185" s="500" t="n"/>
      <c r="B185" s="547" t="n"/>
      <c r="C185" s="537" t="n"/>
      <c r="D185" s="537" t="n"/>
      <c r="E185" s="537" t="n"/>
      <c r="F185" s="537" t="n"/>
      <c r="G185" s="537" t="n"/>
      <c r="H185" s="537" t="n"/>
      <c r="I185" s="537" t="n"/>
      <c r="J185" s="537" t="n"/>
      <c r="K185" s="537" t="n"/>
      <c r="L185" s="537" t="n"/>
      <c r="M185" s="537" t="n"/>
      <c r="N185" s="537" t="n"/>
      <c r="O185" s="537" t="n"/>
      <c r="P185" s="537" t="n"/>
      <c r="Q185" s="537" t="n"/>
      <c r="R185" s="500" t="n"/>
      <c r="S185" s="500" t="n"/>
      <c r="T185" s="500" t="n"/>
      <c r="U185" s="500" t="n"/>
      <c r="V185" s="500" t="n"/>
      <c r="W185" s="500" t="n"/>
      <c r="X185" s="500" t="n"/>
      <c r="Y185" s="500" t="n"/>
      <c r="Z185" s="500" t="n"/>
    </row>
    <row r="186" ht="30" customHeight="1" s="673">
      <c r="A186" s="500" t="n"/>
      <c r="B186" s="547" t="n"/>
      <c r="C186" s="537" t="n"/>
      <c r="D186" s="537" t="n"/>
      <c r="E186" s="537" t="n"/>
      <c r="F186" s="537" t="n"/>
      <c r="G186" s="537" t="n"/>
      <c r="H186" s="537" t="n"/>
      <c r="I186" s="537" t="n"/>
      <c r="J186" s="537" t="n"/>
      <c r="K186" s="537" t="n"/>
      <c r="L186" s="537" t="n"/>
      <c r="M186" s="537" t="n"/>
      <c r="N186" s="537" t="n"/>
      <c r="O186" s="537" t="n"/>
      <c r="P186" s="537" t="n"/>
      <c r="Q186" s="537" t="n"/>
      <c r="R186" s="500" t="n"/>
      <c r="S186" s="500" t="n"/>
      <c r="T186" s="500" t="n"/>
      <c r="U186" s="500" t="n"/>
      <c r="V186" s="500" t="n"/>
      <c r="W186" s="500" t="n"/>
      <c r="X186" s="500" t="n"/>
      <c r="Y186" s="500" t="n"/>
      <c r="Z186" s="500" t="n"/>
    </row>
    <row r="187" ht="30" customHeight="1" s="673">
      <c r="A187" s="500" t="n"/>
      <c r="B187" s="547" t="n"/>
      <c r="C187" s="537" t="n"/>
      <c r="D187" s="537" t="n"/>
      <c r="E187" s="537" t="n"/>
      <c r="F187" s="537" t="n"/>
      <c r="G187" s="537" t="n"/>
      <c r="H187" s="537" t="n"/>
      <c r="I187" s="537" t="n"/>
      <c r="J187" s="537" t="n"/>
      <c r="K187" s="537" t="n"/>
      <c r="L187" s="537" t="n"/>
      <c r="M187" s="537" t="n"/>
      <c r="N187" s="537" t="n"/>
      <c r="O187" s="537" t="n"/>
      <c r="P187" s="537" t="n"/>
      <c r="Q187" s="537" t="n"/>
      <c r="R187" s="500" t="n"/>
      <c r="S187" s="500" t="n"/>
      <c r="T187" s="500" t="n"/>
      <c r="U187" s="500" t="n"/>
      <c r="V187" s="500" t="n"/>
      <c r="W187" s="500" t="n"/>
      <c r="X187" s="500" t="n"/>
      <c r="Y187" s="500" t="n"/>
      <c r="Z187" s="500" t="n"/>
    </row>
    <row r="188" ht="30" customHeight="1" s="673">
      <c r="A188" s="500" t="n"/>
      <c r="B188" s="547" t="n"/>
      <c r="C188" s="537" t="n"/>
      <c r="D188" s="537" t="n"/>
      <c r="E188" s="537" t="n"/>
      <c r="F188" s="537" t="n"/>
      <c r="G188" s="537" t="n"/>
      <c r="H188" s="537" t="n"/>
      <c r="I188" s="537" t="n"/>
      <c r="J188" s="537" t="n"/>
      <c r="K188" s="537" t="n"/>
      <c r="L188" s="537" t="n"/>
      <c r="M188" s="537" t="n"/>
      <c r="N188" s="537" t="n"/>
      <c r="O188" s="537" t="n"/>
      <c r="P188" s="537" t="n"/>
      <c r="Q188" s="537" t="n"/>
      <c r="R188" s="500" t="n"/>
      <c r="S188" s="500" t="n"/>
      <c r="T188" s="500" t="n"/>
      <c r="U188" s="500" t="n"/>
      <c r="V188" s="500" t="n"/>
      <c r="W188" s="500" t="n"/>
      <c r="X188" s="500" t="n"/>
      <c r="Y188" s="500" t="n"/>
      <c r="Z188" s="500" t="n"/>
    </row>
    <row r="189" ht="30" customHeight="1" s="673">
      <c r="A189" s="500" t="n"/>
      <c r="B189" s="547" t="n"/>
      <c r="C189" s="537" t="n"/>
      <c r="D189" s="537" t="n"/>
      <c r="E189" s="537" t="n"/>
      <c r="F189" s="537" t="n"/>
      <c r="G189" s="537" t="n"/>
      <c r="H189" s="537" t="n"/>
      <c r="I189" s="537" t="n"/>
      <c r="J189" s="537" t="n"/>
      <c r="K189" s="537" t="n"/>
      <c r="L189" s="537" t="n"/>
      <c r="M189" s="537" t="n"/>
      <c r="N189" s="537" t="n"/>
      <c r="O189" s="537" t="n"/>
      <c r="P189" s="537" t="n"/>
      <c r="Q189" s="537" t="n"/>
      <c r="R189" s="500" t="n"/>
      <c r="S189" s="500" t="n"/>
      <c r="T189" s="500" t="n"/>
      <c r="U189" s="500" t="n"/>
      <c r="V189" s="500" t="n"/>
      <c r="W189" s="500" t="n"/>
      <c r="X189" s="500" t="n"/>
      <c r="Y189" s="500" t="n"/>
      <c r="Z189" s="500" t="n"/>
    </row>
    <row r="190" ht="30" customHeight="1" s="673">
      <c r="A190" s="500" t="n"/>
      <c r="B190" s="547" t="n"/>
      <c r="C190" s="537" t="n"/>
      <c r="D190" s="537" t="n"/>
      <c r="E190" s="537" t="n"/>
      <c r="F190" s="537" t="n"/>
      <c r="G190" s="537" t="n"/>
      <c r="H190" s="537" t="n"/>
      <c r="I190" s="537" t="n"/>
      <c r="J190" s="537" t="n"/>
      <c r="K190" s="537" t="n"/>
      <c r="L190" s="537" t="n"/>
      <c r="M190" s="537" t="n"/>
      <c r="N190" s="537" t="n"/>
      <c r="O190" s="537" t="n"/>
      <c r="P190" s="537" t="n"/>
      <c r="Q190" s="537" t="n"/>
      <c r="R190" s="500" t="n"/>
      <c r="S190" s="500" t="n"/>
      <c r="T190" s="500" t="n"/>
      <c r="U190" s="500" t="n"/>
      <c r="V190" s="500" t="n"/>
      <c r="W190" s="500" t="n"/>
      <c r="X190" s="500" t="n"/>
      <c r="Y190" s="500" t="n"/>
      <c r="Z190" s="500" t="n"/>
    </row>
    <row r="191" ht="30" customHeight="1" s="673">
      <c r="A191" s="500" t="n"/>
      <c r="B191" s="547" t="n"/>
      <c r="C191" s="537" t="n"/>
      <c r="D191" s="537" t="n"/>
      <c r="E191" s="537" t="n"/>
      <c r="F191" s="537" t="n"/>
      <c r="G191" s="537" t="n"/>
      <c r="H191" s="537" t="n"/>
      <c r="I191" s="537" t="n"/>
      <c r="J191" s="537" t="n"/>
      <c r="K191" s="537" t="n"/>
      <c r="L191" s="537" t="n"/>
      <c r="M191" s="537" t="n"/>
      <c r="N191" s="537" t="n"/>
      <c r="O191" s="537" t="n"/>
      <c r="P191" s="537" t="n"/>
      <c r="Q191" s="537" t="n"/>
      <c r="R191" s="500" t="n"/>
      <c r="S191" s="500" t="n"/>
      <c r="T191" s="500" t="n"/>
      <c r="U191" s="500" t="n"/>
      <c r="V191" s="500" t="n"/>
      <c r="W191" s="500" t="n"/>
      <c r="X191" s="500" t="n"/>
      <c r="Y191" s="500" t="n"/>
      <c r="Z191" s="500" t="n"/>
    </row>
    <row r="192" ht="30" customHeight="1" s="673">
      <c r="A192" s="500" t="n"/>
      <c r="B192" s="547" t="n"/>
      <c r="C192" s="537" t="n"/>
      <c r="D192" s="537" t="n"/>
      <c r="E192" s="537" t="n"/>
      <c r="F192" s="537" t="n"/>
      <c r="G192" s="537" t="n"/>
      <c r="H192" s="537" t="n"/>
      <c r="I192" s="537" t="n"/>
      <c r="J192" s="537" t="n"/>
      <c r="K192" s="537" t="n"/>
      <c r="L192" s="537" t="n"/>
      <c r="M192" s="537" t="n"/>
      <c r="N192" s="537" t="n"/>
      <c r="O192" s="537" t="n"/>
      <c r="P192" s="537" t="n"/>
      <c r="Q192" s="537" t="n"/>
      <c r="R192" s="500" t="n"/>
      <c r="S192" s="500" t="n"/>
      <c r="T192" s="500" t="n"/>
      <c r="U192" s="500" t="n"/>
      <c r="V192" s="500" t="n"/>
      <c r="W192" s="500" t="n"/>
      <c r="X192" s="500" t="n"/>
      <c r="Y192" s="500" t="n"/>
      <c r="Z192" s="500" t="n"/>
    </row>
    <row r="193" ht="30" customHeight="1" s="673">
      <c r="A193" s="500" t="n"/>
      <c r="B193" s="547" t="n"/>
      <c r="C193" s="537" t="n"/>
      <c r="D193" s="537" t="n"/>
      <c r="E193" s="537" t="n"/>
      <c r="F193" s="537" t="n"/>
      <c r="G193" s="537" t="n"/>
      <c r="H193" s="537" t="n"/>
      <c r="I193" s="537" t="n"/>
      <c r="J193" s="537" t="n"/>
      <c r="K193" s="537" t="n"/>
      <c r="L193" s="537" t="n"/>
      <c r="M193" s="537" t="n"/>
      <c r="N193" s="537" t="n"/>
      <c r="O193" s="537" t="n"/>
      <c r="P193" s="537" t="n"/>
      <c r="Q193" s="537" t="n"/>
      <c r="R193" s="500" t="n"/>
      <c r="S193" s="500" t="n"/>
      <c r="T193" s="500" t="n"/>
      <c r="U193" s="500" t="n"/>
      <c r="V193" s="500" t="n"/>
      <c r="W193" s="500" t="n"/>
      <c r="X193" s="500" t="n"/>
      <c r="Y193" s="500" t="n"/>
      <c r="Z193" s="500" t="n"/>
    </row>
    <row r="194" ht="30" customHeight="1" s="673">
      <c r="A194" s="500" t="n"/>
      <c r="B194" s="547" t="n"/>
      <c r="C194" s="537" t="n"/>
      <c r="D194" s="537" t="n"/>
      <c r="E194" s="537" t="n"/>
      <c r="F194" s="537" t="n"/>
      <c r="G194" s="537" t="n"/>
      <c r="H194" s="537" t="n"/>
      <c r="I194" s="537" t="n"/>
      <c r="J194" s="537" t="n"/>
      <c r="K194" s="537" t="n"/>
      <c r="L194" s="537" t="n"/>
      <c r="M194" s="537" t="n"/>
      <c r="N194" s="537" t="n"/>
      <c r="O194" s="537" t="n"/>
      <c r="P194" s="537" t="n"/>
      <c r="Q194" s="537" t="n"/>
      <c r="R194" s="500" t="n"/>
      <c r="S194" s="500" t="n"/>
      <c r="T194" s="500" t="n"/>
      <c r="U194" s="500" t="n"/>
      <c r="V194" s="500" t="n"/>
      <c r="W194" s="500" t="n"/>
      <c r="X194" s="500" t="n"/>
      <c r="Y194" s="500" t="n"/>
      <c r="Z194" s="500" t="n"/>
    </row>
    <row r="195" ht="30" customHeight="1" s="673">
      <c r="A195" s="500" t="n"/>
      <c r="B195" s="547" t="n"/>
      <c r="C195" s="537" t="n"/>
      <c r="D195" s="537" t="n"/>
      <c r="E195" s="537" t="n"/>
      <c r="F195" s="537" t="n"/>
      <c r="G195" s="537" t="n"/>
      <c r="H195" s="537" t="n"/>
      <c r="I195" s="537" t="n"/>
      <c r="J195" s="537" t="n"/>
      <c r="K195" s="537" t="n"/>
      <c r="L195" s="537" t="n"/>
      <c r="M195" s="537" t="n"/>
      <c r="N195" s="537" t="n"/>
      <c r="O195" s="537" t="n"/>
      <c r="P195" s="537" t="n"/>
      <c r="Q195" s="537" t="n"/>
      <c r="R195" s="500" t="n"/>
      <c r="S195" s="500" t="n"/>
      <c r="T195" s="500" t="n"/>
      <c r="U195" s="500" t="n"/>
      <c r="V195" s="500" t="n"/>
      <c r="W195" s="500" t="n"/>
      <c r="X195" s="500" t="n"/>
      <c r="Y195" s="500" t="n"/>
      <c r="Z195" s="500" t="n"/>
    </row>
    <row r="196" ht="30" customHeight="1" s="673">
      <c r="A196" s="500" t="n"/>
      <c r="B196" s="547" t="n"/>
      <c r="C196" s="537" t="n"/>
      <c r="D196" s="537" t="n"/>
      <c r="E196" s="537" t="n"/>
      <c r="F196" s="537" t="n"/>
      <c r="G196" s="537" t="n"/>
      <c r="H196" s="537" t="n"/>
      <c r="I196" s="537" t="n"/>
      <c r="J196" s="537" t="n"/>
      <c r="K196" s="537" t="n"/>
      <c r="L196" s="537" t="n"/>
      <c r="M196" s="537" t="n"/>
      <c r="N196" s="537" t="n"/>
      <c r="O196" s="537" t="n"/>
      <c r="P196" s="537" t="n"/>
      <c r="Q196" s="537" t="n"/>
      <c r="R196" s="500" t="n"/>
      <c r="S196" s="500" t="n"/>
      <c r="T196" s="500" t="n"/>
      <c r="U196" s="500" t="n"/>
      <c r="V196" s="500" t="n"/>
      <c r="W196" s="500" t="n"/>
      <c r="X196" s="500" t="n"/>
      <c r="Y196" s="500" t="n"/>
      <c r="Z196" s="500" t="n"/>
    </row>
    <row r="197" ht="30" customHeight="1" s="673">
      <c r="A197" s="500" t="n"/>
      <c r="B197" s="547" t="n"/>
      <c r="C197" s="537" t="n"/>
      <c r="D197" s="537" t="n"/>
      <c r="E197" s="537" t="n"/>
      <c r="F197" s="537" t="n"/>
      <c r="G197" s="537" t="n"/>
      <c r="H197" s="537" t="n"/>
      <c r="I197" s="537" t="n"/>
      <c r="J197" s="537" t="n"/>
      <c r="K197" s="537" t="n"/>
      <c r="L197" s="537" t="n"/>
      <c r="M197" s="537" t="n"/>
      <c r="N197" s="537" t="n"/>
      <c r="O197" s="537" t="n"/>
      <c r="P197" s="537" t="n"/>
      <c r="Q197" s="537" t="n"/>
      <c r="R197" s="500" t="n"/>
      <c r="S197" s="500" t="n"/>
      <c r="T197" s="500" t="n"/>
      <c r="U197" s="500" t="n"/>
      <c r="V197" s="500" t="n"/>
      <c r="W197" s="500" t="n"/>
      <c r="X197" s="500" t="n"/>
      <c r="Y197" s="500" t="n"/>
      <c r="Z197" s="500" t="n"/>
    </row>
    <row r="198" ht="30" customHeight="1" s="673">
      <c r="A198" s="500" t="n"/>
      <c r="B198" s="547" t="n"/>
      <c r="C198" s="537" t="n"/>
      <c r="D198" s="537" t="n"/>
      <c r="E198" s="537" t="n"/>
      <c r="F198" s="537" t="n"/>
      <c r="G198" s="537" t="n"/>
      <c r="H198" s="537" t="n"/>
      <c r="I198" s="537" t="n"/>
      <c r="J198" s="537" t="n"/>
      <c r="K198" s="537" t="n"/>
      <c r="L198" s="537" t="n"/>
      <c r="M198" s="537" t="n"/>
      <c r="N198" s="537" t="n"/>
      <c r="O198" s="537" t="n"/>
      <c r="P198" s="537" t="n"/>
      <c r="Q198" s="537" t="n"/>
      <c r="R198" s="500" t="n"/>
      <c r="S198" s="500" t="n"/>
      <c r="T198" s="500" t="n"/>
      <c r="U198" s="500" t="n"/>
      <c r="V198" s="500" t="n"/>
      <c r="W198" s="500" t="n"/>
      <c r="X198" s="500" t="n"/>
      <c r="Y198" s="500" t="n"/>
      <c r="Z198" s="500" t="n"/>
    </row>
    <row r="199" ht="30" customHeight="1" s="673">
      <c r="A199" s="500" t="n"/>
      <c r="B199" s="547" t="n"/>
      <c r="C199" s="537" t="n"/>
      <c r="D199" s="537" t="n"/>
      <c r="E199" s="537" t="n"/>
      <c r="F199" s="537" t="n"/>
      <c r="G199" s="537" t="n"/>
      <c r="H199" s="537" t="n"/>
      <c r="I199" s="537" t="n"/>
      <c r="J199" s="537" t="n"/>
      <c r="K199" s="537" t="n"/>
      <c r="L199" s="537" t="n"/>
      <c r="M199" s="537" t="n"/>
      <c r="N199" s="537" t="n"/>
      <c r="O199" s="537" t="n"/>
      <c r="P199" s="537" t="n"/>
      <c r="Q199" s="537" t="n"/>
      <c r="R199" s="500" t="n"/>
      <c r="S199" s="500" t="n"/>
      <c r="T199" s="500" t="n"/>
      <c r="U199" s="500" t="n"/>
      <c r="V199" s="500" t="n"/>
      <c r="W199" s="500" t="n"/>
      <c r="X199" s="500" t="n"/>
      <c r="Y199" s="500" t="n"/>
      <c r="Z199" s="500" t="n"/>
    </row>
    <row r="200" ht="30" customHeight="1" s="673">
      <c r="A200" s="500" t="n"/>
      <c r="B200" s="547" t="n"/>
      <c r="C200" s="537" t="n"/>
      <c r="D200" s="537" t="n"/>
      <c r="E200" s="537" t="n"/>
      <c r="F200" s="537" t="n"/>
      <c r="G200" s="537" t="n"/>
      <c r="H200" s="537" t="n"/>
      <c r="I200" s="537" t="n"/>
      <c r="J200" s="537" t="n"/>
      <c r="K200" s="537" t="n"/>
      <c r="L200" s="537" t="n"/>
      <c r="M200" s="537" t="n"/>
      <c r="N200" s="537" t="n"/>
      <c r="O200" s="537" t="n"/>
      <c r="P200" s="537" t="n"/>
      <c r="Q200" s="537" t="n"/>
      <c r="R200" s="500" t="n"/>
      <c r="S200" s="500" t="n"/>
      <c r="T200" s="500" t="n"/>
      <c r="U200" s="500" t="n"/>
      <c r="V200" s="500" t="n"/>
      <c r="W200" s="500" t="n"/>
      <c r="X200" s="500" t="n"/>
      <c r="Y200" s="500" t="n"/>
      <c r="Z200" s="500" t="n"/>
    </row>
    <row r="201" ht="30" customHeight="1" s="673">
      <c r="A201" s="500" t="n"/>
      <c r="B201" s="547" t="n"/>
      <c r="C201" s="537" t="n"/>
      <c r="D201" s="537" t="n"/>
      <c r="E201" s="537" t="n"/>
      <c r="F201" s="537" t="n"/>
      <c r="G201" s="537" t="n"/>
      <c r="H201" s="537" t="n"/>
      <c r="I201" s="537" t="n"/>
      <c r="J201" s="537" t="n"/>
      <c r="K201" s="537" t="n"/>
      <c r="L201" s="537" t="n"/>
      <c r="M201" s="537" t="n"/>
      <c r="N201" s="537" t="n"/>
      <c r="O201" s="537" t="n"/>
      <c r="P201" s="537" t="n"/>
      <c r="Q201" s="537" t="n"/>
      <c r="R201" s="500" t="n"/>
      <c r="S201" s="500" t="n"/>
      <c r="T201" s="500" t="n"/>
      <c r="U201" s="500" t="n"/>
      <c r="V201" s="500" t="n"/>
      <c r="W201" s="500" t="n"/>
      <c r="X201" s="500" t="n"/>
      <c r="Y201" s="500" t="n"/>
      <c r="Z201" s="500" t="n"/>
    </row>
    <row r="202" ht="30" customHeight="1" s="673">
      <c r="A202" s="500" t="n"/>
      <c r="B202" s="547" t="n"/>
      <c r="C202" s="537" t="n"/>
      <c r="D202" s="537" t="n"/>
      <c r="E202" s="537" t="n"/>
      <c r="F202" s="537" t="n"/>
      <c r="G202" s="537" t="n"/>
      <c r="H202" s="537" t="n"/>
      <c r="I202" s="537" t="n"/>
      <c r="J202" s="537" t="n"/>
      <c r="K202" s="537" t="n"/>
      <c r="L202" s="537" t="n"/>
      <c r="M202" s="537" t="n"/>
      <c r="N202" s="537" t="n"/>
      <c r="O202" s="537" t="n"/>
      <c r="P202" s="537" t="n"/>
      <c r="Q202" s="537" t="n"/>
      <c r="R202" s="500" t="n"/>
      <c r="S202" s="500" t="n"/>
      <c r="T202" s="500" t="n"/>
      <c r="U202" s="500" t="n"/>
      <c r="V202" s="500" t="n"/>
      <c r="W202" s="500" t="n"/>
      <c r="X202" s="500" t="n"/>
      <c r="Y202" s="500" t="n"/>
      <c r="Z202" s="500" t="n"/>
    </row>
    <row r="203" ht="30" customHeight="1" s="673">
      <c r="A203" s="500" t="n"/>
      <c r="B203" s="547" t="n"/>
      <c r="C203" s="537" t="n"/>
      <c r="D203" s="537" t="n"/>
      <c r="E203" s="537" t="n"/>
      <c r="F203" s="537" t="n"/>
      <c r="G203" s="537" t="n"/>
      <c r="H203" s="537" t="n"/>
      <c r="I203" s="537" t="n"/>
      <c r="J203" s="537" t="n"/>
      <c r="K203" s="537" t="n"/>
      <c r="L203" s="537" t="n"/>
      <c r="M203" s="537" t="n"/>
      <c r="N203" s="537" t="n"/>
      <c r="O203" s="537" t="n"/>
      <c r="P203" s="537" t="n"/>
      <c r="Q203" s="537" t="n"/>
      <c r="R203" s="500" t="n"/>
      <c r="S203" s="500" t="n"/>
      <c r="T203" s="500" t="n"/>
      <c r="U203" s="500" t="n"/>
      <c r="V203" s="500" t="n"/>
      <c r="W203" s="500" t="n"/>
      <c r="X203" s="500" t="n"/>
      <c r="Y203" s="500" t="n"/>
      <c r="Z203" s="500" t="n"/>
    </row>
    <row r="204" ht="30" customHeight="1" s="673">
      <c r="A204" s="500" t="n"/>
      <c r="B204" s="547" t="n"/>
      <c r="C204" s="537" t="n"/>
      <c r="D204" s="537" t="n"/>
      <c r="E204" s="537" t="n"/>
      <c r="F204" s="537" t="n"/>
      <c r="G204" s="537" t="n"/>
      <c r="H204" s="537" t="n"/>
      <c r="I204" s="537" t="n"/>
      <c r="J204" s="537" t="n"/>
      <c r="K204" s="537" t="n"/>
      <c r="L204" s="537" t="n"/>
      <c r="M204" s="537" t="n"/>
      <c r="N204" s="537" t="n"/>
      <c r="O204" s="537" t="n"/>
      <c r="P204" s="537" t="n"/>
      <c r="Q204" s="537" t="n"/>
      <c r="R204" s="500" t="n"/>
      <c r="S204" s="500" t="n"/>
      <c r="T204" s="500" t="n"/>
      <c r="U204" s="500" t="n"/>
      <c r="V204" s="500" t="n"/>
      <c r="W204" s="500" t="n"/>
      <c r="X204" s="500" t="n"/>
      <c r="Y204" s="500" t="n"/>
      <c r="Z204" s="500" t="n"/>
    </row>
    <row r="205" ht="30" customHeight="1" s="673">
      <c r="A205" s="500" t="n"/>
      <c r="B205" s="547" t="n"/>
      <c r="C205" s="537" t="n"/>
      <c r="D205" s="537" t="n"/>
      <c r="E205" s="537" t="n"/>
      <c r="F205" s="537" t="n"/>
      <c r="G205" s="537" t="n"/>
      <c r="H205" s="537" t="n"/>
      <c r="I205" s="537" t="n"/>
      <c r="J205" s="537" t="n"/>
      <c r="K205" s="537" t="n"/>
      <c r="L205" s="537" t="n"/>
      <c r="M205" s="537" t="n"/>
      <c r="N205" s="537" t="n"/>
      <c r="O205" s="537" t="n"/>
      <c r="P205" s="537" t="n"/>
      <c r="Q205" s="537" t="n"/>
      <c r="R205" s="500" t="n"/>
      <c r="S205" s="500" t="n"/>
      <c r="T205" s="500" t="n"/>
      <c r="U205" s="500" t="n"/>
      <c r="V205" s="500" t="n"/>
      <c r="W205" s="500" t="n"/>
      <c r="X205" s="500" t="n"/>
      <c r="Y205" s="500" t="n"/>
      <c r="Z205" s="500" t="n"/>
    </row>
    <row r="206" ht="30" customHeight="1" s="673">
      <c r="A206" s="500" t="n"/>
      <c r="B206" s="547" t="n"/>
      <c r="C206" s="537" t="n"/>
      <c r="D206" s="537" t="n"/>
      <c r="E206" s="537" t="n"/>
      <c r="F206" s="537" t="n"/>
      <c r="G206" s="537" t="n"/>
      <c r="H206" s="537" t="n"/>
      <c r="I206" s="537" t="n"/>
      <c r="J206" s="537" t="n"/>
      <c r="K206" s="537" t="n"/>
      <c r="L206" s="537" t="n"/>
      <c r="M206" s="537" t="n"/>
      <c r="N206" s="537" t="n"/>
      <c r="O206" s="537" t="n"/>
      <c r="P206" s="537" t="n"/>
      <c r="Q206" s="537" t="n"/>
      <c r="R206" s="500" t="n"/>
      <c r="S206" s="500" t="n"/>
      <c r="T206" s="500" t="n"/>
      <c r="U206" s="500" t="n"/>
      <c r="V206" s="500" t="n"/>
      <c r="W206" s="500" t="n"/>
      <c r="X206" s="500" t="n"/>
      <c r="Y206" s="500" t="n"/>
      <c r="Z206" s="500" t="n"/>
    </row>
    <row r="207" ht="30" customHeight="1" s="673">
      <c r="A207" s="500" t="n"/>
      <c r="B207" s="547" t="n"/>
      <c r="C207" s="537" t="n"/>
      <c r="D207" s="537" t="n"/>
      <c r="E207" s="537" t="n"/>
      <c r="F207" s="537" t="n"/>
      <c r="G207" s="537" t="n"/>
      <c r="H207" s="537" t="n"/>
      <c r="I207" s="537" t="n"/>
      <c r="J207" s="537" t="n"/>
      <c r="K207" s="537" t="n"/>
      <c r="L207" s="537" t="n"/>
      <c r="M207" s="537" t="n"/>
      <c r="N207" s="537" t="n"/>
      <c r="O207" s="537" t="n"/>
      <c r="P207" s="537" t="n"/>
      <c r="Q207" s="537" t="n"/>
      <c r="R207" s="500" t="n"/>
      <c r="S207" s="500" t="n"/>
      <c r="T207" s="500" t="n"/>
      <c r="U207" s="500" t="n"/>
      <c r="V207" s="500" t="n"/>
      <c r="W207" s="500" t="n"/>
      <c r="X207" s="500" t="n"/>
      <c r="Y207" s="500" t="n"/>
      <c r="Z207" s="500" t="n"/>
    </row>
    <row r="208" ht="30" customHeight="1" s="673">
      <c r="A208" s="500" t="n"/>
      <c r="B208" s="547" t="n"/>
      <c r="C208" s="537" t="n"/>
      <c r="D208" s="537" t="n"/>
      <c r="E208" s="537" t="n"/>
      <c r="F208" s="537" t="n"/>
      <c r="G208" s="537" t="n"/>
      <c r="H208" s="537" t="n"/>
      <c r="I208" s="537" t="n"/>
      <c r="J208" s="537" t="n"/>
      <c r="K208" s="537" t="n"/>
      <c r="L208" s="537" t="n"/>
      <c r="M208" s="537" t="n"/>
      <c r="N208" s="537" t="n"/>
      <c r="O208" s="537" t="n"/>
      <c r="P208" s="537" t="n"/>
      <c r="Q208" s="537" t="n"/>
      <c r="R208" s="500" t="n"/>
      <c r="S208" s="500" t="n"/>
      <c r="T208" s="500" t="n"/>
      <c r="U208" s="500" t="n"/>
      <c r="V208" s="500" t="n"/>
      <c r="W208" s="500" t="n"/>
      <c r="X208" s="500" t="n"/>
      <c r="Y208" s="500" t="n"/>
      <c r="Z208" s="500" t="n"/>
    </row>
    <row r="209" ht="30" customHeight="1" s="673">
      <c r="A209" s="500" t="n"/>
      <c r="B209" s="547" t="n"/>
      <c r="C209" s="537" t="n"/>
      <c r="D209" s="537" t="n"/>
      <c r="E209" s="537" t="n"/>
      <c r="F209" s="537" t="n"/>
      <c r="G209" s="537" t="n"/>
      <c r="H209" s="537" t="n"/>
      <c r="I209" s="537" t="n"/>
      <c r="J209" s="537" t="n"/>
      <c r="K209" s="537" t="n"/>
      <c r="L209" s="537" t="n"/>
      <c r="M209" s="537" t="n"/>
      <c r="N209" s="537" t="n"/>
      <c r="O209" s="537" t="n"/>
      <c r="P209" s="537" t="n"/>
      <c r="Q209" s="537" t="n"/>
      <c r="R209" s="500" t="n"/>
      <c r="S209" s="500" t="n"/>
      <c r="T209" s="500" t="n"/>
      <c r="U209" s="500" t="n"/>
      <c r="V209" s="500" t="n"/>
      <c r="W209" s="500" t="n"/>
      <c r="X209" s="500" t="n"/>
      <c r="Y209" s="500" t="n"/>
      <c r="Z209" s="500" t="n"/>
    </row>
    <row r="210" ht="30" customHeight="1" s="673">
      <c r="A210" s="500" t="n"/>
      <c r="B210" s="547" t="n"/>
      <c r="C210" s="537" t="n"/>
      <c r="D210" s="537" t="n"/>
      <c r="E210" s="537" t="n"/>
      <c r="F210" s="537" t="n"/>
      <c r="G210" s="537" t="n"/>
      <c r="H210" s="537" t="n"/>
      <c r="I210" s="537" t="n"/>
      <c r="J210" s="537" t="n"/>
      <c r="K210" s="537" t="n"/>
      <c r="L210" s="537" t="n"/>
      <c r="M210" s="537" t="n"/>
      <c r="N210" s="537" t="n"/>
      <c r="O210" s="537" t="n"/>
      <c r="P210" s="537" t="n"/>
      <c r="Q210" s="537" t="n"/>
      <c r="R210" s="500" t="n"/>
      <c r="S210" s="500" t="n"/>
      <c r="T210" s="500" t="n"/>
      <c r="U210" s="500" t="n"/>
      <c r="V210" s="500" t="n"/>
      <c r="W210" s="500" t="n"/>
      <c r="X210" s="500" t="n"/>
      <c r="Y210" s="500" t="n"/>
      <c r="Z210" s="500" t="n"/>
    </row>
    <row r="211" ht="30" customHeight="1" s="673">
      <c r="A211" s="500" t="n"/>
      <c r="B211" s="547" t="n"/>
      <c r="C211" s="537" t="n"/>
      <c r="D211" s="537" t="n"/>
      <c r="E211" s="537" t="n"/>
      <c r="F211" s="537" t="n"/>
      <c r="G211" s="537" t="n"/>
      <c r="H211" s="537" t="n"/>
      <c r="I211" s="537" t="n"/>
      <c r="J211" s="537" t="n"/>
      <c r="K211" s="537" t="n"/>
      <c r="L211" s="537" t="n"/>
      <c r="M211" s="537" t="n"/>
      <c r="N211" s="537" t="n"/>
      <c r="O211" s="537" t="n"/>
      <c r="P211" s="537" t="n"/>
      <c r="Q211" s="537" t="n"/>
      <c r="R211" s="500" t="n"/>
      <c r="S211" s="500" t="n"/>
      <c r="T211" s="500" t="n"/>
      <c r="U211" s="500" t="n"/>
      <c r="V211" s="500" t="n"/>
      <c r="W211" s="500" t="n"/>
      <c r="X211" s="500" t="n"/>
      <c r="Y211" s="500" t="n"/>
      <c r="Z211" s="500" t="n"/>
    </row>
    <row r="212" ht="30" customHeight="1" s="673">
      <c r="A212" s="500" t="n"/>
      <c r="B212" s="547" t="n"/>
      <c r="C212" s="537" t="n"/>
      <c r="D212" s="537" t="n"/>
      <c r="E212" s="537" t="n"/>
      <c r="F212" s="537" t="n"/>
      <c r="G212" s="537" t="n"/>
      <c r="H212" s="537" t="n"/>
      <c r="I212" s="537" t="n"/>
      <c r="J212" s="537" t="n"/>
      <c r="K212" s="537" t="n"/>
      <c r="L212" s="537" t="n"/>
      <c r="M212" s="537" t="n"/>
      <c r="N212" s="537" t="n"/>
      <c r="O212" s="537" t="n"/>
      <c r="P212" s="537" t="n"/>
      <c r="Q212" s="537" t="n"/>
      <c r="R212" s="500" t="n"/>
      <c r="S212" s="500" t="n"/>
      <c r="T212" s="500" t="n"/>
      <c r="U212" s="500" t="n"/>
      <c r="V212" s="500" t="n"/>
      <c r="W212" s="500" t="n"/>
      <c r="X212" s="500" t="n"/>
      <c r="Y212" s="500" t="n"/>
      <c r="Z212" s="500" t="n"/>
    </row>
    <row r="213" ht="30" customHeight="1" s="673">
      <c r="A213" s="500" t="n"/>
      <c r="B213" s="547" t="n"/>
      <c r="C213" s="537" t="n"/>
      <c r="D213" s="537" t="n"/>
      <c r="E213" s="537" t="n"/>
      <c r="F213" s="537" t="n"/>
      <c r="G213" s="537" t="n"/>
      <c r="H213" s="537" t="n"/>
      <c r="I213" s="537" t="n"/>
      <c r="J213" s="537" t="n"/>
      <c r="K213" s="537" t="n"/>
      <c r="L213" s="537" t="n"/>
      <c r="M213" s="537" t="n"/>
      <c r="N213" s="537" t="n"/>
      <c r="O213" s="537" t="n"/>
      <c r="P213" s="537" t="n"/>
      <c r="Q213" s="537" t="n"/>
      <c r="R213" s="500" t="n"/>
      <c r="S213" s="500" t="n"/>
      <c r="T213" s="500" t="n"/>
      <c r="U213" s="500" t="n"/>
      <c r="V213" s="500" t="n"/>
      <c r="W213" s="500" t="n"/>
      <c r="X213" s="500" t="n"/>
      <c r="Y213" s="500" t="n"/>
      <c r="Z213" s="500" t="n"/>
    </row>
    <row r="214" ht="30" customHeight="1" s="673">
      <c r="A214" s="500" t="n"/>
      <c r="B214" s="547" t="n"/>
      <c r="C214" s="537" t="n"/>
      <c r="D214" s="537" t="n"/>
      <c r="E214" s="537" t="n"/>
      <c r="F214" s="537" t="n"/>
      <c r="G214" s="537" t="n"/>
      <c r="H214" s="537" t="n"/>
      <c r="I214" s="537" t="n"/>
      <c r="J214" s="537" t="n"/>
      <c r="K214" s="537" t="n"/>
      <c r="L214" s="537" t="n"/>
      <c r="M214" s="537" t="n"/>
      <c r="N214" s="537" t="n"/>
      <c r="O214" s="537" t="n"/>
      <c r="P214" s="537" t="n"/>
      <c r="Q214" s="537" t="n"/>
      <c r="R214" s="500" t="n"/>
      <c r="S214" s="500" t="n"/>
      <c r="T214" s="500" t="n"/>
      <c r="U214" s="500" t="n"/>
      <c r="V214" s="500" t="n"/>
      <c r="W214" s="500" t="n"/>
      <c r="X214" s="500" t="n"/>
      <c r="Y214" s="500" t="n"/>
      <c r="Z214" s="500" t="n"/>
    </row>
    <row r="215" ht="30" customHeight="1" s="673">
      <c r="A215" s="500" t="n"/>
      <c r="B215" s="547" t="n"/>
      <c r="C215" s="537" t="n"/>
      <c r="D215" s="537" t="n"/>
      <c r="E215" s="537" t="n"/>
      <c r="F215" s="537" t="n"/>
      <c r="G215" s="537" t="n"/>
      <c r="H215" s="537" t="n"/>
      <c r="I215" s="537" t="n"/>
      <c r="J215" s="537" t="n"/>
      <c r="K215" s="537" t="n"/>
      <c r="L215" s="537" t="n"/>
      <c r="M215" s="537" t="n"/>
      <c r="N215" s="537" t="n"/>
      <c r="O215" s="537" t="n"/>
      <c r="P215" s="537" t="n"/>
      <c r="Q215" s="537" t="n"/>
      <c r="R215" s="500" t="n"/>
      <c r="S215" s="500" t="n"/>
      <c r="T215" s="500" t="n"/>
      <c r="U215" s="500" t="n"/>
      <c r="V215" s="500" t="n"/>
      <c r="W215" s="500" t="n"/>
      <c r="X215" s="500" t="n"/>
      <c r="Y215" s="500" t="n"/>
      <c r="Z215" s="500" t="n"/>
    </row>
    <row r="216" ht="30" customHeight="1" s="673">
      <c r="A216" s="500" t="n"/>
      <c r="B216" s="547" t="n"/>
      <c r="C216" s="537" t="n"/>
      <c r="D216" s="537" t="n"/>
      <c r="E216" s="537" t="n"/>
      <c r="F216" s="537" t="n"/>
      <c r="G216" s="537" t="n"/>
      <c r="H216" s="537" t="n"/>
      <c r="I216" s="537" t="n"/>
      <c r="J216" s="537" t="n"/>
      <c r="K216" s="537" t="n"/>
      <c r="L216" s="537" t="n"/>
      <c r="M216" s="537" t="n"/>
      <c r="N216" s="537" t="n"/>
      <c r="O216" s="537" t="n"/>
      <c r="P216" s="537" t="n"/>
      <c r="Q216" s="537" t="n"/>
      <c r="R216" s="500" t="n"/>
      <c r="S216" s="500" t="n"/>
      <c r="T216" s="500" t="n"/>
      <c r="U216" s="500" t="n"/>
      <c r="V216" s="500" t="n"/>
      <c r="W216" s="500" t="n"/>
      <c r="X216" s="500" t="n"/>
      <c r="Y216" s="500" t="n"/>
      <c r="Z216" s="500" t="n"/>
    </row>
    <row r="217" ht="30" customHeight="1" s="673">
      <c r="A217" s="500" t="n"/>
      <c r="B217" s="547" t="n"/>
      <c r="C217" s="537" t="n"/>
      <c r="D217" s="537" t="n"/>
      <c r="E217" s="537" t="n"/>
      <c r="F217" s="537" t="n"/>
      <c r="G217" s="537" t="n"/>
      <c r="H217" s="537" t="n"/>
      <c r="I217" s="537" t="n"/>
      <c r="J217" s="537" t="n"/>
      <c r="K217" s="537" t="n"/>
      <c r="L217" s="537" t="n"/>
      <c r="M217" s="537" t="n"/>
      <c r="N217" s="537" t="n"/>
      <c r="O217" s="537" t="n"/>
      <c r="P217" s="537" t="n"/>
      <c r="Q217" s="537" t="n"/>
      <c r="R217" s="500" t="n"/>
      <c r="S217" s="500" t="n"/>
      <c r="T217" s="500" t="n"/>
      <c r="U217" s="500" t="n"/>
      <c r="V217" s="500" t="n"/>
      <c r="W217" s="500" t="n"/>
      <c r="X217" s="500" t="n"/>
      <c r="Y217" s="500" t="n"/>
      <c r="Z217" s="500" t="n"/>
    </row>
    <row r="218" ht="30" customHeight="1" s="673">
      <c r="A218" s="500" t="n"/>
      <c r="B218" s="547" t="n"/>
      <c r="C218" s="537" t="n"/>
      <c r="D218" s="537" t="n"/>
      <c r="E218" s="537" t="n"/>
      <c r="F218" s="537" t="n"/>
      <c r="G218" s="537" t="n"/>
      <c r="H218" s="537" t="n"/>
      <c r="I218" s="537" t="n"/>
      <c r="J218" s="537" t="n"/>
      <c r="K218" s="537" t="n"/>
      <c r="L218" s="537" t="n"/>
      <c r="M218" s="537" t="n"/>
      <c r="N218" s="537" t="n"/>
      <c r="O218" s="537" t="n"/>
      <c r="P218" s="537" t="n"/>
      <c r="Q218" s="537" t="n"/>
      <c r="R218" s="500" t="n"/>
      <c r="S218" s="500" t="n"/>
      <c r="T218" s="500" t="n"/>
      <c r="U218" s="500" t="n"/>
      <c r="V218" s="500" t="n"/>
      <c r="W218" s="500" t="n"/>
      <c r="X218" s="500" t="n"/>
      <c r="Y218" s="500" t="n"/>
      <c r="Z218" s="500" t="n"/>
    </row>
    <row r="219" ht="30" customHeight="1" s="673">
      <c r="A219" s="500" t="n"/>
      <c r="B219" s="547" t="n"/>
      <c r="C219" s="537" t="n"/>
      <c r="D219" s="537" t="n"/>
      <c r="E219" s="537" t="n"/>
      <c r="F219" s="537" t="n"/>
      <c r="G219" s="537" t="n"/>
      <c r="H219" s="537" t="n"/>
      <c r="I219" s="537" t="n"/>
      <c r="J219" s="537" t="n"/>
      <c r="K219" s="537" t="n"/>
      <c r="L219" s="537" t="n"/>
      <c r="M219" s="537" t="n"/>
      <c r="N219" s="537" t="n"/>
      <c r="O219" s="537" t="n"/>
      <c r="P219" s="537" t="n"/>
      <c r="Q219" s="537" t="n"/>
      <c r="R219" s="500" t="n"/>
      <c r="S219" s="500" t="n"/>
      <c r="T219" s="500" t="n"/>
      <c r="U219" s="500" t="n"/>
      <c r="V219" s="500" t="n"/>
      <c r="W219" s="500" t="n"/>
      <c r="X219" s="500" t="n"/>
      <c r="Y219" s="500" t="n"/>
      <c r="Z219" s="500" t="n"/>
    </row>
    <row r="220" ht="30" customHeight="1" s="673">
      <c r="A220" s="500" t="n"/>
      <c r="B220" s="547" t="n"/>
      <c r="C220" s="537" t="n"/>
      <c r="D220" s="537" t="n"/>
      <c r="E220" s="537" t="n"/>
      <c r="F220" s="537" t="n"/>
      <c r="G220" s="537" t="n"/>
      <c r="H220" s="537" t="n"/>
      <c r="I220" s="537" t="n"/>
      <c r="J220" s="537" t="n"/>
      <c r="K220" s="537" t="n"/>
      <c r="L220" s="537" t="n"/>
      <c r="M220" s="537" t="n"/>
      <c r="N220" s="537" t="n"/>
      <c r="O220" s="537" t="n"/>
      <c r="P220" s="537" t="n"/>
      <c r="Q220" s="537" t="n"/>
      <c r="R220" s="500" t="n"/>
      <c r="S220" s="500" t="n"/>
      <c r="T220" s="500" t="n"/>
      <c r="U220" s="500" t="n"/>
      <c r="V220" s="500" t="n"/>
      <c r="W220" s="500" t="n"/>
      <c r="X220" s="500" t="n"/>
      <c r="Y220" s="500" t="n"/>
      <c r="Z220" s="500" t="n"/>
    </row>
    <row r="221" ht="30" customHeight="1" s="673">
      <c r="A221" s="500" t="n"/>
      <c r="B221" s="547" t="n"/>
      <c r="C221" s="537" t="n"/>
      <c r="D221" s="537" t="n"/>
      <c r="E221" s="537" t="n"/>
      <c r="F221" s="537" t="n"/>
      <c r="G221" s="537" t="n"/>
      <c r="H221" s="537" t="n"/>
      <c r="I221" s="537" t="n"/>
      <c r="J221" s="537" t="n"/>
      <c r="K221" s="537" t="n"/>
      <c r="L221" s="537" t="n"/>
      <c r="M221" s="537" t="n"/>
      <c r="N221" s="537" t="n"/>
      <c r="O221" s="537" t="n"/>
      <c r="P221" s="537" t="n"/>
      <c r="Q221" s="537" t="n"/>
      <c r="R221" s="500" t="n"/>
      <c r="S221" s="500" t="n"/>
      <c r="T221" s="500" t="n"/>
      <c r="U221" s="500" t="n"/>
      <c r="V221" s="500" t="n"/>
      <c r="W221" s="500" t="n"/>
      <c r="X221" s="500" t="n"/>
      <c r="Y221" s="500" t="n"/>
      <c r="Z221" s="500" t="n"/>
    </row>
    <row r="222" ht="30" customHeight="1" s="673">
      <c r="A222" s="500" t="n"/>
      <c r="B222" s="547" t="n"/>
      <c r="C222" s="537" t="n"/>
      <c r="D222" s="537" t="n"/>
      <c r="E222" s="537" t="n"/>
      <c r="F222" s="537" t="n"/>
      <c r="G222" s="537" t="n"/>
      <c r="H222" s="537" t="n"/>
      <c r="I222" s="537" t="n"/>
      <c r="J222" s="537" t="n"/>
      <c r="K222" s="537" t="n"/>
      <c r="L222" s="537" t="n"/>
      <c r="M222" s="537" t="n"/>
      <c r="N222" s="537" t="n"/>
      <c r="O222" s="537" t="n"/>
      <c r="P222" s="537" t="n"/>
      <c r="Q222" s="537" t="n"/>
      <c r="R222" s="500" t="n"/>
      <c r="S222" s="500" t="n"/>
      <c r="T222" s="500" t="n"/>
      <c r="U222" s="500" t="n"/>
      <c r="V222" s="500" t="n"/>
      <c r="W222" s="500" t="n"/>
      <c r="X222" s="500" t="n"/>
      <c r="Y222" s="500" t="n"/>
      <c r="Z222" s="500" t="n"/>
    </row>
    <row r="223" ht="30" customHeight="1" s="673">
      <c r="A223" s="500" t="n"/>
      <c r="B223" s="547" t="n"/>
      <c r="C223" s="537" t="n"/>
      <c r="D223" s="537" t="n"/>
      <c r="E223" s="537" t="n"/>
      <c r="F223" s="537" t="n"/>
      <c r="G223" s="537" t="n"/>
      <c r="H223" s="537" t="n"/>
      <c r="I223" s="537" t="n"/>
      <c r="J223" s="537" t="n"/>
      <c r="K223" s="537" t="n"/>
      <c r="L223" s="537" t="n"/>
      <c r="M223" s="537" t="n"/>
      <c r="N223" s="537" t="n"/>
      <c r="O223" s="537" t="n"/>
      <c r="P223" s="537" t="n"/>
      <c r="Q223" s="537" t="n"/>
      <c r="R223" s="500" t="n"/>
      <c r="S223" s="500" t="n"/>
      <c r="T223" s="500" t="n"/>
      <c r="U223" s="500" t="n"/>
      <c r="V223" s="500" t="n"/>
      <c r="W223" s="500" t="n"/>
      <c r="X223" s="500" t="n"/>
      <c r="Y223" s="500" t="n"/>
      <c r="Z223" s="500" t="n"/>
    </row>
    <row r="224" ht="30" customHeight="1" s="673">
      <c r="A224" s="500" t="n"/>
      <c r="B224" s="547" t="n"/>
      <c r="C224" s="537" t="n"/>
      <c r="D224" s="537" t="n"/>
      <c r="E224" s="537" t="n"/>
      <c r="F224" s="537" t="n"/>
      <c r="G224" s="537" t="n"/>
      <c r="H224" s="537" t="n"/>
      <c r="I224" s="537" t="n"/>
      <c r="J224" s="537" t="n"/>
      <c r="K224" s="537" t="n"/>
      <c r="L224" s="537" t="n"/>
      <c r="M224" s="537" t="n"/>
      <c r="N224" s="537" t="n"/>
      <c r="O224" s="537" t="n"/>
      <c r="P224" s="537" t="n"/>
      <c r="Q224" s="537" t="n"/>
      <c r="R224" s="500" t="n"/>
      <c r="S224" s="500" t="n"/>
      <c r="T224" s="500" t="n"/>
      <c r="U224" s="500" t="n"/>
      <c r="V224" s="500" t="n"/>
      <c r="W224" s="500" t="n"/>
      <c r="X224" s="500" t="n"/>
      <c r="Y224" s="500" t="n"/>
      <c r="Z224" s="500" t="n"/>
    </row>
    <row r="225" ht="15.75" customHeight="1" s="673">
      <c r="A225" s="52" t="n"/>
      <c r="B225" s="52" t="n"/>
      <c r="C225" s="52" t="n"/>
      <c r="D225" s="52" t="n"/>
      <c r="E225" s="52" t="n"/>
      <c r="F225" s="52" t="n"/>
      <c r="G225" s="52" t="n"/>
      <c r="H225" s="52" t="n"/>
      <c r="I225" s="52" t="n"/>
      <c r="J225" s="52" t="n"/>
      <c r="K225" s="52" t="n"/>
      <c r="L225" s="52" t="n"/>
      <c r="M225" s="52" t="n"/>
      <c r="N225" s="52" t="n"/>
      <c r="O225" s="52" t="n"/>
      <c r="P225" s="52" t="n"/>
      <c r="Q225" s="52" t="n"/>
      <c r="R225" s="52" t="n"/>
      <c r="S225" s="52" t="n"/>
      <c r="T225" s="52" t="n"/>
      <c r="U225" s="52" t="n"/>
      <c r="V225" s="52" t="n"/>
      <c r="W225" s="52" t="n"/>
      <c r="X225" s="52" t="n"/>
      <c r="Y225" s="52" t="n"/>
      <c r="Z225" s="52" t="n"/>
    </row>
    <row r="226" ht="15.75" customHeight="1" s="673">
      <c r="A226" s="52" t="n"/>
      <c r="B226" s="52" t="n"/>
      <c r="C226" s="52" t="n"/>
      <c r="D226" s="52" t="n"/>
      <c r="E226" s="52" t="n"/>
      <c r="F226" s="52" t="n"/>
      <c r="G226" s="52" t="n"/>
      <c r="H226" s="52" t="n"/>
      <c r="I226" s="52" t="n"/>
      <c r="J226" s="52" t="n"/>
      <c r="K226" s="52" t="n"/>
      <c r="L226" s="52" t="n"/>
      <c r="M226" s="52" t="n"/>
      <c r="N226" s="52" t="n"/>
      <c r="O226" s="52" t="n"/>
      <c r="P226" s="52" t="n"/>
      <c r="Q226" s="52" t="n"/>
      <c r="R226" s="52" t="n"/>
      <c r="S226" s="52" t="n"/>
      <c r="T226" s="52" t="n"/>
      <c r="U226" s="52" t="n"/>
      <c r="V226" s="52" t="n"/>
      <c r="W226" s="52" t="n"/>
      <c r="X226" s="52" t="n"/>
      <c r="Y226" s="52" t="n"/>
      <c r="Z226" s="52" t="n"/>
    </row>
    <row r="227" ht="15.75" customHeight="1" s="673">
      <c r="A227" s="52" t="n"/>
      <c r="B227" s="52" t="n"/>
      <c r="C227" s="52" t="n"/>
      <c r="D227" s="52" t="n"/>
      <c r="E227" s="52" t="n"/>
      <c r="F227" s="52" t="n"/>
      <c r="G227" s="52" t="n"/>
      <c r="H227" s="52" t="n"/>
      <c r="I227" s="52" t="n"/>
      <c r="J227" s="52" t="n"/>
      <c r="K227" s="52" t="n"/>
      <c r="L227" s="52" t="n"/>
      <c r="M227" s="52" t="n"/>
      <c r="N227" s="52" t="n"/>
      <c r="O227" s="52" t="n"/>
      <c r="P227" s="52" t="n"/>
      <c r="Q227" s="52" t="n"/>
      <c r="R227" s="52" t="n"/>
      <c r="S227" s="52" t="n"/>
      <c r="T227" s="52" t="n"/>
      <c r="U227" s="52" t="n"/>
      <c r="V227" s="52" t="n"/>
      <c r="W227" s="52" t="n"/>
      <c r="X227" s="52" t="n"/>
      <c r="Y227" s="52" t="n"/>
      <c r="Z227" s="52" t="n"/>
    </row>
    <row r="228" ht="15.75" customHeight="1" s="673">
      <c r="A228" s="52" t="n"/>
      <c r="B228" s="52" t="n"/>
      <c r="C228" s="52" t="n"/>
      <c r="D228" s="52" t="n"/>
      <c r="E228" s="52" t="n"/>
      <c r="F228" s="52" t="n"/>
      <c r="G228" s="52" t="n"/>
      <c r="H228" s="52" t="n"/>
      <c r="I228" s="52" t="n"/>
      <c r="J228" s="52" t="n"/>
      <c r="K228" s="52" t="n"/>
      <c r="L228" s="52" t="n"/>
      <c r="M228" s="52" t="n"/>
      <c r="N228" s="52" t="n"/>
      <c r="O228" s="52" t="n"/>
      <c r="P228" s="52" t="n"/>
      <c r="Q228" s="52" t="n"/>
      <c r="R228" s="52" t="n"/>
      <c r="S228" s="52" t="n"/>
      <c r="T228" s="52" t="n"/>
      <c r="U228" s="52" t="n"/>
      <c r="V228" s="52" t="n"/>
      <c r="W228" s="52" t="n"/>
      <c r="X228" s="52" t="n"/>
      <c r="Y228" s="52" t="n"/>
      <c r="Z228" s="52" t="n"/>
    </row>
    <row r="229" ht="15.75" customHeight="1" s="673">
      <c r="A229" s="52" t="n"/>
      <c r="B229" s="52" t="n"/>
      <c r="C229" s="52" t="n"/>
      <c r="D229" s="52" t="n"/>
      <c r="E229" s="52" t="n"/>
      <c r="F229" s="52" t="n"/>
      <c r="G229" s="52" t="n"/>
      <c r="H229" s="52" t="n"/>
      <c r="I229" s="52" t="n"/>
      <c r="J229" s="52" t="n"/>
      <c r="K229" s="52" t="n"/>
      <c r="L229" s="52" t="n"/>
      <c r="M229" s="52" t="n"/>
      <c r="N229" s="52" t="n"/>
      <c r="O229" s="52" t="n"/>
      <c r="P229" s="52" t="n"/>
      <c r="Q229" s="52" t="n"/>
      <c r="R229" s="52" t="n"/>
      <c r="S229" s="52" t="n"/>
      <c r="T229" s="52" t="n"/>
      <c r="U229" s="52" t="n"/>
      <c r="V229" s="52" t="n"/>
      <c r="W229" s="52" t="n"/>
      <c r="X229" s="52" t="n"/>
      <c r="Y229" s="52" t="n"/>
      <c r="Z229" s="52" t="n"/>
    </row>
    <row r="230" ht="15.75" customHeight="1" s="673">
      <c r="A230" s="52" t="n"/>
      <c r="B230" s="52" t="n"/>
      <c r="C230" s="52" t="n"/>
      <c r="D230" s="52" t="n"/>
      <c r="E230" s="52" t="n"/>
      <c r="F230" s="52" t="n"/>
      <c r="G230" s="52" t="n"/>
      <c r="H230" s="52" t="n"/>
      <c r="I230" s="52" t="n"/>
      <c r="J230" s="52" t="n"/>
      <c r="K230" s="52" t="n"/>
      <c r="L230" s="52" t="n"/>
      <c r="M230" s="52" t="n"/>
      <c r="N230" s="52" t="n"/>
      <c r="O230" s="52" t="n"/>
      <c r="P230" s="52" t="n"/>
      <c r="Q230" s="52" t="n"/>
      <c r="R230" s="52" t="n"/>
      <c r="S230" s="52" t="n"/>
      <c r="T230" s="52" t="n"/>
      <c r="U230" s="52" t="n"/>
      <c r="V230" s="52" t="n"/>
      <c r="W230" s="52" t="n"/>
      <c r="X230" s="52" t="n"/>
      <c r="Y230" s="52" t="n"/>
      <c r="Z230" s="52" t="n"/>
    </row>
    <row r="231" ht="15.75" customHeight="1" s="673">
      <c r="A231" s="52" t="n"/>
      <c r="B231" s="52" t="n"/>
      <c r="C231" s="52" t="n"/>
      <c r="D231" s="52" t="n"/>
      <c r="E231" s="52" t="n"/>
      <c r="F231" s="52" t="n"/>
      <c r="G231" s="52" t="n"/>
      <c r="H231" s="52" t="n"/>
      <c r="I231" s="52" t="n"/>
      <c r="J231" s="52" t="n"/>
      <c r="K231" s="52" t="n"/>
      <c r="L231" s="52" t="n"/>
      <c r="M231" s="52" t="n"/>
      <c r="N231" s="52" t="n"/>
      <c r="O231" s="52" t="n"/>
      <c r="P231" s="52" t="n"/>
      <c r="Q231" s="52" t="n"/>
      <c r="R231" s="52" t="n"/>
      <c r="S231" s="52" t="n"/>
      <c r="T231" s="52" t="n"/>
      <c r="U231" s="52" t="n"/>
      <c r="V231" s="52" t="n"/>
      <c r="W231" s="52" t="n"/>
      <c r="X231" s="52" t="n"/>
      <c r="Y231" s="52" t="n"/>
      <c r="Z231" s="52" t="n"/>
    </row>
    <row r="232" ht="15.75" customHeight="1" s="673">
      <c r="A232" s="52" t="n"/>
      <c r="B232" s="52" t="n"/>
      <c r="C232" s="52" t="n"/>
      <c r="D232" s="52" t="n"/>
      <c r="E232" s="52" t="n"/>
      <c r="F232" s="52" t="n"/>
      <c r="G232" s="52" t="n"/>
      <c r="H232" s="52" t="n"/>
      <c r="I232" s="52" t="n"/>
      <c r="J232" s="52" t="n"/>
      <c r="K232" s="52" t="n"/>
      <c r="L232" s="52" t="n"/>
      <c r="M232" s="52" t="n"/>
      <c r="N232" s="52" t="n"/>
      <c r="O232" s="52" t="n"/>
      <c r="P232" s="52" t="n"/>
      <c r="Q232" s="52" t="n"/>
      <c r="R232" s="52" t="n"/>
      <c r="S232" s="52" t="n"/>
      <c r="T232" s="52" t="n"/>
      <c r="U232" s="52" t="n"/>
      <c r="V232" s="52" t="n"/>
      <c r="W232" s="52" t="n"/>
      <c r="X232" s="52" t="n"/>
      <c r="Y232" s="52" t="n"/>
      <c r="Z232" s="52" t="n"/>
    </row>
    <row r="233" ht="15.75" customHeight="1" s="673">
      <c r="A233" s="52" t="n"/>
      <c r="B233" s="52" t="n"/>
      <c r="C233" s="52" t="n"/>
      <c r="D233" s="52" t="n"/>
      <c r="E233" s="52" t="n"/>
      <c r="F233" s="52" t="n"/>
      <c r="G233" s="52" t="n"/>
      <c r="H233" s="52" t="n"/>
      <c r="I233" s="52" t="n"/>
      <c r="J233" s="52" t="n"/>
      <c r="K233" s="52" t="n"/>
      <c r="L233" s="52" t="n"/>
      <c r="M233" s="52" t="n"/>
      <c r="N233" s="52" t="n"/>
      <c r="O233" s="52" t="n"/>
      <c r="P233" s="52" t="n"/>
      <c r="Q233" s="52" t="n"/>
      <c r="R233" s="52" t="n"/>
      <c r="S233" s="52" t="n"/>
      <c r="T233" s="52" t="n"/>
      <c r="U233" s="52" t="n"/>
      <c r="V233" s="52" t="n"/>
      <c r="W233" s="52" t="n"/>
      <c r="X233" s="52" t="n"/>
      <c r="Y233" s="52" t="n"/>
      <c r="Z233" s="52" t="n"/>
    </row>
    <row r="234" ht="15.75" customHeight="1" s="673">
      <c r="A234" s="52" t="n"/>
      <c r="B234" s="52" t="n"/>
      <c r="C234" s="52" t="n"/>
      <c r="D234" s="52" t="n"/>
      <c r="E234" s="52" t="n"/>
      <c r="F234" s="52" t="n"/>
      <c r="G234" s="52" t="n"/>
      <c r="H234" s="52" t="n"/>
      <c r="I234" s="52" t="n"/>
      <c r="J234" s="52" t="n"/>
      <c r="K234" s="52" t="n"/>
      <c r="L234" s="52" t="n"/>
      <c r="M234" s="52" t="n"/>
      <c r="N234" s="52" t="n"/>
      <c r="O234" s="52" t="n"/>
      <c r="P234" s="52" t="n"/>
      <c r="Q234" s="52" t="n"/>
      <c r="R234" s="52" t="n"/>
      <c r="S234" s="52" t="n"/>
      <c r="T234" s="52" t="n"/>
      <c r="U234" s="52" t="n"/>
      <c r="V234" s="52" t="n"/>
      <c r="W234" s="52" t="n"/>
      <c r="X234" s="52" t="n"/>
      <c r="Y234" s="52" t="n"/>
      <c r="Z234" s="52" t="n"/>
    </row>
    <row r="235" ht="15.75" customHeight="1" s="673">
      <c r="A235" s="52" t="n"/>
      <c r="B235" s="52" t="n"/>
      <c r="C235" s="52" t="n"/>
      <c r="D235" s="52" t="n"/>
      <c r="E235" s="52" t="n"/>
      <c r="F235" s="52" t="n"/>
      <c r="G235" s="52" t="n"/>
      <c r="H235" s="52" t="n"/>
      <c r="I235" s="52" t="n"/>
      <c r="J235" s="52" t="n"/>
      <c r="K235" s="52" t="n"/>
      <c r="L235" s="52" t="n"/>
      <c r="M235" s="52" t="n"/>
      <c r="N235" s="52" t="n"/>
      <c r="O235" s="52" t="n"/>
      <c r="P235" s="52" t="n"/>
      <c r="Q235" s="52" t="n"/>
      <c r="R235" s="52" t="n"/>
      <c r="S235" s="52" t="n"/>
      <c r="T235" s="52" t="n"/>
      <c r="U235" s="52" t="n"/>
      <c r="V235" s="52" t="n"/>
      <c r="W235" s="52" t="n"/>
      <c r="X235" s="52" t="n"/>
      <c r="Y235" s="52" t="n"/>
      <c r="Z235" s="52" t="n"/>
    </row>
    <row r="236" ht="15.75" customHeight="1" s="673">
      <c r="A236" s="52" t="n"/>
      <c r="B236" s="52" t="n"/>
      <c r="C236" s="52" t="n"/>
      <c r="D236" s="52" t="n"/>
      <c r="E236" s="52" t="n"/>
      <c r="F236" s="52" t="n"/>
      <c r="G236" s="52" t="n"/>
      <c r="H236" s="52" t="n"/>
      <c r="I236" s="52" t="n"/>
      <c r="J236" s="52" t="n"/>
      <c r="K236" s="52" t="n"/>
      <c r="L236" s="52" t="n"/>
      <c r="M236" s="52" t="n"/>
      <c r="N236" s="52" t="n"/>
      <c r="O236" s="52" t="n"/>
      <c r="P236" s="52" t="n"/>
      <c r="Q236" s="52" t="n"/>
      <c r="R236" s="52" t="n"/>
      <c r="S236" s="52" t="n"/>
      <c r="T236" s="52" t="n"/>
      <c r="U236" s="52" t="n"/>
      <c r="V236" s="52" t="n"/>
      <c r="W236" s="52" t="n"/>
      <c r="X236" s="52" t="n"/>
      <c r="Y236" s="52" t="n"/>
      <c r="Z236" s="52" t="n"/>
    </row>
    <row r="237" ht="15.75" customHeight="1" s="673">
      <c r="A237" s="52" t="n"/>
      <c r="B237" s="52" t="n"/>
      <c r="C237" s="52" t="n"/>
      <c r="D237" s="52" t="n"/>
      <c r="E237" s="52" t="n"/>
      <c r="F237" s="52" t="n"/>
      <c r="G237" s="52" t="n"/>
      <c r="H237" s="52" t="n"/>
      <c r="I237" s="52" t="n"/>
      <c r="J237" s="52" t="n"/>
      <c r="K237" s="52" t="n"/>
      <c r="L237" s="52" t="n"/>
      <c r="M237" s="52" t="n"/>
      <c r="N237" s="52" t="n"/>
      <c r="O237" s="52" t="n"/>
      <c r="P237" s="52" t="n"/>
      <c r="Q237" s="52" t="n"/>
      <c r="R237" s="52" t="n"/>
      <c r="S237" s="52" t="n"/>
      <c r="T237" s="52" t="n"/>
      <c r="U237" s="52" t="n"/>
      <c r="V237" s="52" t="n"/>
      <c r="W237" s="52" t="n"/>
      <c r="X237" s="52" t="n"/>
      <c r="Y237" s="52" t="n"/>
      <c r="Z237" s="52" t="n"/>
    </row>
    <row r="238" ht="15.75" customHeight="1" s="673">
      <c r="A238" s="52" t="n"/>
      <c r="B238" s="52" t="n"/>
      <c r="C238" s="52" t="n"/>
      <c r="D238" s="52" t="n"/>
      <c r="E238" s="52" t="n"/>
      <c r="F238" s="52" t="n"/>
      <c r="G238" s="52" t="n"/>
      <c r="H238" s="52" t="n"/>
      <c r="I238" s="52" t="n"/>
      <c r="J238" s="52" t="n"/>
      <c r="K238" s="52" t="n"/>
      <c r="L238" s="52" t="n"/>
      <c r="M238" s="52" t="n"/>
      <c r="N238" s="52" t="n"/>
      <c r="O238" s="52" t="n"/>
      <c r="P238" s="52" t="n"/>
      <c r="Q238" s="52" t="n"/>
      <c r="R238" s="52" t="n"/>
      <c r="S238" s="52" t="n"/>
      <c r="T238" s="52" t="n"/>
      <c r="U238" s="52" t="n"/>
      <c r="V238" s="52" t="n"/>
      <c r="W238" s="52" t="n"/>
      <c r="X238" s="52" t="n"/>
      <c r="Y238" s="52" t="n"/>
      <c r="Z238" s="52" t="n"/>
    </row>
    <row r="239" ht="15.75" customHeight="1" s="673">
      <c r="A239" s="52" t="n"/>
      <c r="B239" s="52" t="n"/>
      <c r="C239" s="52" t="n"/>
      <c r="D239" s="52" t="n"/>
      <c r="E239" s="52" t="n"/>
      <c r="F239" s="52" t="n"/>
      <c r="G239" s="52" t="n"/>
      <c r="H239" s="52" t="n"/>
      <c r="I239" s="52" t="n"/>
      <c r="J239" s="52" t="n"/>
      <c r="K239" s="52" t="n"/>
      <c r="L239" s="52" t="n"/>
      <c r="M239" s="52" t="n"/>
      <c r="N239" s="52" t="n"/>
      <c r="O239" s="52" t="n"/>
      <c r="P239" s="52" t="n"/>
      <c r="Q239" s="52" t="n"/>
      <c r="R239" s="52" t="n"/>
      <c r="S239" s="52" t="n"/>
      <c r="T239" s="52" t="n"/>
      <c r="U239" s="52" t="n"/>
      <c r="V239" s="52" t="n"/>
      <c r="W239" s="52" t="n"/>
      <c r="X239" s="52" t="n"/>
      <c r="Y239" s="52" t="n"/>
      <c r="Z239" s="52" t="n"/>
    </row>
    <row r="240" ht="15.75" customHeight="1" s="673">
      <c r="A240" s="52" t="n"/>
      <c r="B240" s="52" t="n"/>
      <c r="C240" s="52" t="n"/>
      <c r="D240" s="52" t="n"/>
      <c r="E240" s="52" t="n"/>
      <c r="F240" s="52" t="n"/>
      <c r="G240" s="52" t="n"/>
      <c r="H240" s="52" t="n"/>
      <c r="I240" s="52" t="n"/>
      <c r="J240" s="52" t="n"/>
      <c r="K240" s="52" t="n"/>
      <c r="L240" s="52" t="n"/>
      <c r="M240" s="52" t="n"/>
      <c r="N240" s="52" t="n"/>
      <c r="O240" s="52" t="n"/>
      <c r="P240" s="52" t="n"/>
      <c r="Q240" s="52" t="n"/>
      <c r="R240" s="52" t="n"/>
      <c r="S240" s="52" t="n"/>
      <c r="T240" s="52" t="n"/>
      <c r="U240" s="52" t="n"/>
      <c r="V240" s="52" t="n"/>
      <c r="W240" s="52" t="n"/>
      <c r="X240" s="52" t="n"/>
      <c r="Y240" s="52" t="n"/>
      <c r="Z240" s="52" t="n"/>
    </row>
    <row r="241" ht="15.75" customHeight="1" s="673">
      <c r="A241" s="52" t="n"/>
      <c r="B241" s="52" t="n"/>
      <c r="C241" s="52" t="n"/>
      <c r="D241" s="52" t="n"/>
      <c r="E241" s="52" t="n"/>
      <c r="F241" s="52" t="n"/>
      <c r="G241" s="52" t="n"/>
      <c r="H241" s="52" t="n"/>
      <c r="I241" s="52" t="n"/>
      <c r="J241" s="52" t="n"/>
      <c r="K241" s="52" t="n"/>
      <c r="L241" s="52" t="n"/>
      <c r="M241" s="52" t="n"/>
      <c r="N241" s="52" t="n"/>
      <c r="O241" s="52" t="n"/>
      <c r="P241" s="52" t="n"/>
      <c r="Q241" s="52" t="n"/>
      <c r="R241" s="52" t="n"/>
      <c r="S241" s="52" t="n"/>
      <c r="T241" s="52" t="n"/>
      <c r="U241" s="52" t="n"/>
      <c r="V241" s="52" t="n"/>
      <c r="W241" s="52" t="n"/>
      <c r="X241" s="52" t="n"/>
      <c r="Y241" s="52" t="n"/>
      <c r="Z241" s="52" t="n"/>
    </row>
    <row r="242" ht="15.75" customHeight="1" s="673">
      <c r="A242" s="52" t="n"/>
      <c r="B242" s="52" t="n"/>
      <c r="C242" s="52" t="n"/>
      <c r="D242" s="52" t="n"/>
      <c r="E242" s="52" t="n"/>
      <c r="F242" s="52" t="n"/>
      <c r="G242" s="52" t="n"/>
      <c r="H242" s="52" t="n"/>
      <c r="I242" s="52" t="n"/>
      <c r="J242" s="52" t="n"/>
      <c r="K242" s="52" t="n"/>
      <c r="L242" s="52" t="n"/>
      <c r="M242" s="52" t="n"/>
      <c r="N242" s="52" t="n"/>
      <c r="O242" s="52" t="n"/>
      <c r="P242" s="52" t="n"/>
      <c r="Q242" s="52" t="n"/>
      <c r="R242" s="52" t="n"/>
      <c r="S242" s="52" t="n"/>
      <c r="T242" s="52" t="n"/>
      <c r="U242" s="52" t="n"/>
      <c r="V242" s="52" t="n"/>
      <c r="W242" s="52" t="n"/>
      <c r="X242" s="52" t="n"/>
      <c r="Y242" s="52" t="n"/>
      <c r="Z242" s="52" t="n"/>
    </row>
    <row r="243" ht="15.75" customHeight="1" s="673">
      <c r="A243" s="52" t="n"/>
      <c r="B243" s="52" t="n"/>
      <c r="C243" s="52" t="n"/>
      <c r="D243" s="52" t="n"/>
      <c r="E243" s="52" t="n"/>
      <c r="F243" s="52" t="n"/>
      <c r="G243" s="52" t="n"/>
      <c r="H243" s="52" t="n"/>
      <c r="I243" s="52" t="n"/>
      <c r="J243" s="52" t="n"/>
      <c r="K243" s="52" t="n"/>
      <c r="L243" s="52" t="n"/>
      <c r="M243" s="52" t="n"/>
      <c r="N243" s="52" t="n"/>
      <c r="O243" s="52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2" t="n"/>
    </row>
    <row r="244" ht="15.75" customHeight="1" s="673">
      <c r="A244" s="52" t="n"/>
      <c r="B244" s="52" t="n"/>
      <c r="C244" s="52" t="n"/>
      <c r="D244" s="52" t="n"/>
      <c r="E244" s="52" t="n"/>
      <c r="F244" s="52" t="n"/>
      <c r="G244" s="52" t="n"/>
      <c r="H244" s="52" t="n"/>
      <c r="I244" s="52" t="n"/>
      <c r="J244" s="52" t="n"/>
      <c r="K244" s="52" t="n"/>
      <c r="L244" s="52" t="n"/>
      <c r="M244" s="52" t="n"/>
      <c r="N244" s="52" t="n"/>
      <c r="O244" s="52" t="n"/>
      <c r="P244" s="52" t="n"/>
      <c r="Q244" s="52" t="n"/>
      <c r="R244" s="52" t="n"/>
      <c r="S244" s="52" t="n"/>
      <c r="T244" s="52" t="n"/>
      <c r="U244" s="52" t="n"/>
      <c r="V244" s="52" t="n"/>
      <c r="W244" s="52" t="n"/>
      <c r="X244" s="52" t="n"/>
      <c r="Y244" s="52" t="n"/>
      <c r="Z244" s="52" t="n"/>
    </row>
    <row r="245" ht="15.75" customHeight="1" s="673">
      <c r="A245" s="52" t="n"/>
      <c r="B245" s="52" t="n"/>
      <c r="C245" s="52" t="n"/>
      <c r="D245" s="52" t="n"/>
      <c r="E245" s="52" t="n"/>
      <c r="F245" s="52" t="n"/>
      <c r="G245" s="52" t="n"/>
      <c r="H245" s="52" t="n"/>
      <c r="I245" s="52" t="n"/>
      <c r="J245" s="52" t="n"/>
      <c r="K245" s="52" t="n"/>
      <c r="L245" s="52" t="n"/>
      <c r="M245" s="52" t="n"/>
      <c r="N245" s="52" t="n"/>
      <c r="O245" s="52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2" t="n"/>
    </row>
    <row r="246" ht="15.75" customHeight="1" s="673">
      <c r="A246" s="52" t="n"/>
      <c r="B246" s="52" t="n"/>
      <c r="C246" s="52" t="n"/>
      <c r="D246" s="52" t="n"/>
      <c r="E246" s="52" t="n"/>
      <c r="F246" s="52" t="n"/>
      <c r="G246" s="52" t="n"/>
      <c r="H246" s="52" t="n"/>
      <c r="I246" s="52" t="n"/>
      <c r="J246" s="52" t="n"/>
      <c r="K246" s="52" t="n"/>
      <c r="L246" s="52" t="n"/>
      <c r="M246" s="52" t="n"/>
      <c r="N246" s="52" t="n"/>
      <c r="O246" s="52" t="n"/>
      <c r="P246" s="52" t="n"/>
      <c r="Q246" s="52" t="n"/>
      <c r="R246" s="52" t="n"/>
      <c r="S246" s="52" t="n"/>
      <c r="T246" s="52" t="n"/>
      <c r="U246" s="52" t="n"/>
      <c r="V246" s="52" t="n"/>
      <c r="W246" s="52" t="n"/>
      <c r="X246" s="52" t="n"/>
      <c r="Y246" s="52" t="n"/>
      <c r="Z246" s="52" t="n"/>
    </row>
    <row r="247" ht="15.75" customHeight="1" s="673">
      <c r="A247" s="52" t="n"/>
      <c r="B247" s="52" t="n"/>
      <c r="C247" s="52" t="n"/>
      <c r="D247" s="52" t="n"/>
      <c r="E247" s="52" t="n"/>
      <c r="F247" s="52" t="n"/>
      <c r="G247" s="52" t="n"/>
      <c r="H247" s="52" t="n"/>
      <c r="I247" s="52" t="n"/>
      <c r="J247" s="52" t="n"/>
      <c r="K247" s="52" t="n"/>
      <c r="L247" s="52" t="n"/>
      <c r="M247" s="52" t="n"/>
      <c r="N247" s="52" t="n"/>
      <c r="O247" s="52" t="n"/>
      <c r="P247" s="52" t="n"/>
      <c r="Q247" s="52" t="n"/>
      <c r="R247" s="52" t="n"/>
      <c r="S247" s="52" t="n"/>
      <c r="T247" s="52" t="n"/>
      <c r="U247" s="52" t="n"/>
      <c r="V247" s="52" t="n"/>
      <c r="W247" s="52" t="n"/>
      <c r="X247" s="52" t="n"/>
      <c r="Y247" s="52" t="n"/>
      <c r="Z247" s="52" t="n"/>
    </row>
    <row r="248" ht="15.75" customHeight="1" s="673">
      <c r="A248" s="52" t="n"/>
      <c r="B248" s="52" t="n"/>
      <c r="C248" s="52" t="n"/>
      <c r="D248" s="52" t="n"/>
      <c r="E248" s="52" t="n"/>
      <c r="F248" s="52" t="n"/>
      <c r="G248" s="52" t="n"/>
      <c r="H248" s="52" t="n"/>
      <c r="I248" s="52" t="n"/>
      <c r="J248" s="52" t="n"/>
      <c r="K248" s="52" t="n"/>
      <c r="L248" s="52" t="n"/>
      <c r="M248" s="52" t="n"/>
      <c r="N248" s="52" t="n"/>
      <c r="O248" s="52" t="n"/>
      <c r="P248" s="52" t="n"/>
      <c r="Q248" s="52" t="n"/>
      <c r="R248" s="52" t="n"/>
      <c r="S248" s="52" t="n"/>
      <c r="T248" s="52" t="n"/>
      <c r="U248" s="52" t="n"/>
      <c r="V248" s="52" t="n"/>
      <c r="W248" s="52" t="n"/>
      <c r="X248" s="52" t="n"/>
      <c r="Y248" s="52" t="n"/>
      <c r="Z248" s="52" t="n"/>
    </row>
    <row r="249" ht="15.75" customHeight="1" s="673">
      <c r="A249" s="52" t="n"/>
      <c r="B249" s="52" t="n"/>
      <c r="C249" s="52" t="n"/>
      <c r="D249" s="52" t="n"/>
      <c r="E249" s="52" t="n"/>
      <c r="F249" s="52" t="n"/>
      <c r="G249" s="52" t="n"/>
      <c r="H249" s="52" t="n"/>
      <c r="I249" s="52" t="n"/>
      <c r="J249" s="52" t="n"/>
      <c r="K249" s="52" t="n"/>
      <c r="L249" s="52" t="n"/>
      <c r="M249" s="52" t="n"/>
      <c r="N249" s="52" t="n"/>
      <c r="O249" s="52" t="n"/>
      <c r="P249" s="52" t="n"/>
      <c r="Q249" s="52" t="n"/>
      <c r="R249" s="52" t="n"/>
      <c r="S249" s="52" t="n"/>
      <c r="T249" s="52" t="n"/>
      <c r="U249" s="52" t="n"/>
      <c r="V249" s="52" t="n"/>
      <c r="W249" s="52" t="n"/>
      <c r="X249" s="52" t="n"/>
      <c r="Y249" s="52" t="n"/>
      <c r="Z249" s="52" t="n"/>
    </row>
    <row r="250" ht="15.75" customHeight="1" s="673">
      <c r="A250" s="52" t="n"/>
      <c r="B250" s="52" t="n"/>
      <c r="C250" s="52" t="n"/>
      <c r="D250" s="52" t="n"/>
      <c r="E250" s="52" t="n"/>
      <c r="F250" s="52" t="n"/>
      <c r="G250" s="52" t="n"/>
      <c r="H250" s="52" t="n"/>
      <c r="I250" s="52" t="n"/>
      <c r="J250" s="52" t="n"/>
      <c r="K250" s="52" t="n"/>
      <c r="L250" s="52" t="n"/>
      <c r="M250" s="52" t="n"/>
      <c r="N250" s="52" t="n"/>
      <c r="O250" s="52" t="n"/>
      <c r="P250" s="52" t="n"/>
      <c r="Q250" s="52" t="n"/>
      <c r="R250" s="52" t="n"/>
      <c r="S250" s="52" t="n"/>
      <c r="T250" s="52" t="n"/>
      <c r="U250" s="52" t="n"/>
      <c r="V250" s="52" t="n"/>
      <c r="W250" s="52" t="n"/>
      <c r="X250" s="52" t="n"/>
      <c r="Y250" s="52" t="n"/>
      <c r="Z250" s="52" t="n"/>
    </row>
    <row r="251" ht="15.75" customHeight="1" s="673">
      <c r="A251" s="52" t="n"/>
      <c r="B251" s="52" t="n"/>
      <c r="C251" s="52" t="n"/>
      <c r="D251" s="52" t="n"/>
      <c r="E251" s="52" t="n"/>
      <c r="F251" s="52" t="n"/>
      <c r="G251" s="52" t="n"/>
      <c r="H251" s="52" t="n"/>
      <c r="I251" s="52" t="n"/>
      <c r="J251" s="52" t="n"/>
      <c r="K251" s="52" t="n"/>
      <c r="L251" s="52" t="n"/>
      <c r="M251" s="52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  <c r="X251" s="52" t="n"/>
      <c r="Y251" s="52" t="n"/>
      <c r="Z251" s="52" t="n"/>
    </row>
    <row r="252" ht="15.75" customHeight="1" s="673">
      <c r="A252" s="52" t="n"/>
      <c r="B252" s="52" t="n"/>
      <c r="C252" s="52" t="n"/>
      <c r="D252" s="52" t="n"/>
      <c r="E252" s="52" t="n"/>
      <c r="F252" s="52" t="n"/>
      <c r="G252" s="52" t="n"/>
      <c r="H252" s="52" t="n"/>
      <c r="I252" s="52" t="n"/>
      <c r="J252" s="52" t="n"/>
      <c r="K252" s="52" t="n"/>
      <c r="L252" s="52" t="n"/>
      <c r="M252" s="52" t="n"/>
      <c r="N252" s="52" t="n"/>
      <c r="O252" s="52" t="n"/>
      <c r="P252" s="52" t="n"/>
      <c r="Q252" s="52" t="n"/>
      <c r="R252" s="52" t="n"/>
      <c r="S252" s="52" t="n"/>
      <c r="T252" s="52" t="n"/>
      <c r="U252" s="52" t="n"/>
      <c r="V252" s="52" t="n"/>
      <c r="W252" s="52" t="n"/>
      <c r="X252" s="52" t="n"/>
      <c r="Y252" s="52" t="n"/>
      <c r="Z252" s="52" t="n"/>
    </row>
    <row r="253" ht="15.75" customHeight="1" s="673">
      <c r="A253" s="52" t="n"/>
      <c r="B253" s="52" t="n"/>
      <c r="C253" s="52" t="n"/>
      <c r="D253" s="52" t="n"/>
      <c r="E253" s="52" t="n"/>
      <c r="F253" s="52" t="n"/>
      <c r="G253" s="52" t="n"/>
      <c r="H253" s="52" t="n"/>
      <c r="I253" s="52" t="n"/>
      <c r="J253" s="52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  <c r="X253" s="52" t="n"/>
      <c r="Y253" s="52" t="n"/>
      <c r="Z253" s="52" t="n"/>
    </row>
    <row r="254" ht="15.75" customHeight="1" s="673">
      <c r="A254" s="52" t="n"/>
      <c r="B254" s="52" t="n"/>
      <c r="C254" s="52" t="n"/>
      <c r="D254" s="52" t="n"/>
      <c r="E254" s="52" t="n"/>
      <c r="F254" s="52" t="n"/>
      <c r="G254" s="52" t="n"/>
      <c r="H254" s="52" t="n"/>
      <c r="I254" s="52" t="n"/>
      <c r="J254" s="52" t="n"/>
      <c r="K254" s="52" t="n"/>
      <c r="L254" s="52" t="n"/>
      <c r="M254" s="52" t="n"/>
      <c r="N254" s="52" t="n"/>
      <c r="O254" s="52" t="n"/>
      <c r="P254" s="52" t="n"/>
      <c r="Q254" s="52" t="n"/>
      <c r="R254" s="52" t="n"/>
      <c r="S254" s="52" t="n"/>
      <c r="T254" s="52" t="n"/>
      <c r="U254" s="52" t="n"/>
      <c r="V254" s="52" t="n"/>
      <c r="W254" s="52" t="n"/>
      <c r="X254" s="52" t="n"/>
      <c r="Y254" s="52" t="n"/>
      <c r="Z254" s="52" t="n"/>
    </row>
    <row r="255" ht="15.75" customHeight="1" s="673">
      <c r="A255" s="52" t="n"/>
      <c r="B255" s="52" t="n"/>
      <c r="C255" s="52" t="n"/>
      <c r="D255" s="52" t="n"/>
      <c r="E255" s="52" t="n"/>
      <c r="F255" s="52" t="n"/>
      <c r="G255" s="52" t="n"/>
      <c r="H255" s="52" t="n"/>
      <c r="I255" s="52" t="n"/>
      <c r="J255" s="52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52" t="n"/>
      <c r="T255" s="52" t="n"/>
      <c r="U255" s="52" t="n"/>
      <c r="V255" s="52" t="n"/>
      <c r="W255" s="52" t="n"/>
      <c r="X255" s="52" t="n"/>
      <c r="Y255" s="52" t="n"/>
      <c r="Z255" s="52" t="n"/>
    </row>
    <row r="256" ht="15.75" customHeight="1" s="673">
      <c r="A256" s="52" t="n"/>
      <c r="B256" s="52" t="n"/>
      <c r="C256" s="52" t="n"/>
      <c r="D256" s="52" t="n"/>
      <c r="E256" s="52" t="n"/>
      <c r="F256" s="52" t="n"/>
      <c r="G256" s="52" t="n"/>
      <c r="H256" s="52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  <c r="X256" s="52" t="n"/>
      <c r="Y256" s="52" t="n"/>
      <c r="Z256" s="52" t="n"/>
    </row>
    <row r="257" ht="15.75" customHeight="1" s="673">
      <c r="A257" s="52" t="n"/>
      <c r="B257" s="52" t="n"/>
      <c r="C257" s="52" t="n"/>
      <c r="D257" s="52" t="n"/>
      <c r="E257" s="52" t="n"/>
      <c r="F257" s="52" t="n"/>
      <c r="G257" s="52" t="n"/>
      <c r="H257" s="52" t="n"/>
      <c r="I257" s="52" t="n"/>
      <c r="J257" s="52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  <c r="X257" s="52" t="n"/>
      <c r="Y257" s="52" t="n"/>
      <c r="Z257" s="52" t="n"/>
    </row>
    <row r="258" ht="15.75" customHeight="1" s="673">
      <c r="A258" s="52" t="n"/>
      <c r="B258" s="52" t="n"/>
      <c r="C258" s="52" t="n"/>
      <c r="D258" s="52" t="n"/>
      <c r="E258" s="52" t="n"/>
      <c r="F258" s="52" t="n"/>
      <c r="G258" s="52" t="n"/>
      <c r="H258" s="52" t="n"/>
      <c r="I258" s="52" t="n"/>
      <c r="J258" s="52" t="n"/>
      <c r="K258" s="52" t="n"/>
      <c r="L258" s="52" t="n"/>
      <c r="M258" s="52" t="n"/>
      <c r="N258" s="52" t="n"/>
      <c r="O258" s="52" t="n"/>
      <c r="P258" s="52" t="n"/>
      <c r="Q258" s="52" t="n"/>
      <c r="R258" s="52" t="n"/>
      <c r="S258" s="52" t="n"/>
      <c r="T258" s="52" t="n"/>
      <c r="U258" s="52" t="n"/>
      <c r="V258" s="52" t="n"/>
      <c r="W258" s="52" t="n"/>
      <c r="X258" s="52" t="n"/>
      <c r="Y258" s="52" t="n"/>
      <c r="Z258" s="52" t="n"/>
    </row>
    <row r="259" ht="15.75" customHeight="1" s="673">
      <c r="A259" s="52" t="n"/>
      <c r="B259" s="52" t="n"/>
      <c r="C259" s="52" t="n"/>
      <c r="D259" s="52" t="n"/>
      <c r="E259" s="52" t="n"/>
      <c r="F259" s="52" t="n"/>
      <c r="G259" s="52" t="n"/>
      <c r="H259" s="52" t="n"/>
      <c r="I259" s="52" t="n"/>
      <c r="J259" s="52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  <c r="X259" s="52" t="n"/>
      <c r="Y259" s="52" t="n"/>
      <c r="Z259" s="52" t="n"/>
    </row>
    <row r="260" ht="15.75" customHeight="1" s="673">
      <c r="A260" s="52" t="n"/>
      <c r="B260" s="52" t="n"/>
      <c r="C260" s="52" t="n"/>
      <c r="D260" s="52" t="n"/>
      <c r="E260" s="52" t="n"/>
      <c r="F260" s="52" t="n"/>
      <c r="G260" s="52" t="n"/>
      <c r="H260" s="52" t="n"/>
      <c r="I260" s="52" t="n"/>
      <c r="J260" s="52" t="n"/>
      <c r="K260" s="52" t="n"/>
      <c r="L260" s="52" t="n"/>
      <c r="M260" s="52" t="n"/>
      <c r="N260" s="52" t="n"/>
      <c r="O260" s="52" t="n"/>
      <c r="P260" s="52" t="n"/>
      <c r="Q260" s="52" t="n"/>
      <c r="R260" s="52" t="n"/>
      <c r="S260" s="52" t="n"/>
      <c r="T260" s="52" t="n"/>
      <c r="U260" s="52" t="n"/>
      <c r="V260" s="52" t="n"/>
      <c r="W260" s="52" t="n"/>
      <c r="X260" s="52" t="n"/>
      <c r="Y260" s="52" t="n"/>
      <c r="Z260" s="52" t="n"/>
    </row>
    <row r="261" ht="15.75" customHeight="1" s="673">
      <c r="A261" s="52" t="n"/>
      <c r="B261" s="52" t="n"/>
      <c r="C261" s="52" t="n"/>
      <c r="D261" s="52" t="n"/>
      <c r="E261" s="52" t="n"/>
      <c r="F261" s="52" t="n"/>
      <c r="G261" s="52" t="n"/>
      <c r="H261" s="52" t="n"/>
      <c r="I261" s="52" t="n"/>
      <c r="J261" s="52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  <c r="X261" s="52" t="n"/>
      <c r="Y261" s="52" t="n"/>
      <c r="Z261" s="52" t="n"/>
    </row>
    <row r="262" ht="15.75" customHeight="1" s="673">
      <c r="A262" s="52" t="n"/>
      <c r="B262" s="52" t="n"/>
      <c r="C262" s="52" t="n"/>
      <c r="D262" s="52" t="n"/>
      <c r="E262" s="52" t="n"/>
      <c r="F262" s="52" t="n"/>
      <c r="G262" s="52" t="n"/>
      <c r="H262" s="52" t="n"/>
      <c r="I262" s="52" t="n"/>
      <c r="J262" s="52" t="n"/>
      <c r="K262" s="52" t="n"/>
      <c r="L262" s="52" t="n"/>
      <c r="M262" s="52" t="n"/>
      <c r="N262" s="52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  <c r="X262" s="52" t="n"/>
      <c r="Y262" s="52" t="n"/>
      <c r="Z262" s="52" t="n"/>
    </row>
    <row r="263" ht="15.75" customHeight="1" s="673">
      <c r="A263" s="52" t="n"/>
      <c r="B263" s="52" t="n"/>
      <c r="C263" s="52" t="n"/>
      <c r="D263" s="52" t="n"/>
      <c r="E263" s="52" t="n"/>
      <c r="F263" s="52" t="n"/>
      <c r="G263" s="52" t="n"/>
      <c r="H263" s="52" t="n"/>
      <c r="I263" s="52" t="n"/>
      <c r="J263" s="52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  <c r="X263" s="52" t="n"/>
      <c r="Y263" s="52" t="n"/>
      <c r="Z263" s="52" t="n"/>
    </row>
    <row r="264" ht="15.75" customHeight="1" s="673">
      <c r="A264" s="52" t="n"/>
      <c r="B264" s="52" t="n"/>
      <c r="C264" s="52" t="n"/>
      <c r="D264" s="52" t="n"/>
      <c r="E264" s="52" t="n"/>
      <c r="F264" s="52" t="n"/>
      <c r="G264" s="52" t="n"/>
      <c r="H264" s="52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  <c r="X264" s="52" t="n"/>
      <c r="Y264" s="52" t="n"/>
      <c r="Z264" s="52" t="n"/>
    </row>
    <row r="265" ht="15.75" customHeight="1" s="673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  <c r="Z265" s="52" t="n"/>
    </row>
    <row r="266" ht="15.75" customHeight="1" s="673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</row>
    <row r="267" ht="15.75" customHeight="1" s="673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</row>
    <row r="268" ht="15.75" customHeight="1" s="673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</row>
    <row r="269" ht="15.75" customHeight="1" s="673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mergeCells count="57">
    <mergeCell ref="Q9:Q11"/>
    <mergeCell ref="M12:M14"/>
    <mergeCell ref="H20:I20"/>
    <mergeCell ref="N20:O20"/>
    <mergeCell ref="O12:O14"/>
    <mergeCell ref="C4:C5"/>
    <mergeCell ref="Q6:Q8"/>
    <mergeCell ref="E4:E5"/>
    <mergeCell ref="Q15:Q17"/>
    <mergeCell ref="O24:P24"/>
    <mergeCell ref="N6:N8"/>
    <mergeCell ref="L9:L11"/>
    <mergeCell ref="K21:L21"/>
    <mergeCell ref="N9:N11"/>
    <mergeCell ref="H12:H14"/>
    <mergeCell ref="I6:I8"/>
    <mergeCell ref="C20:D20"/>
    <mergeCell ref="J12:J14"/>
    <mergeCell ref="P12:P14"/>
    <mergeCell ref="K6:K8"/>
    <mergeCell ref="L6:L8"/>
    <mergeCell ref="K20:L20"/>
    <mergeCell ref="N21:O21"/>
    <mergeCell ref="H15:H17"/>
    <mergeCell ref="N15:N17"/>
    <mergeCell ref="D4:D5"/>
    <mergeCell ref="P15:P17"/>
    <mergeCell ref="I15:I17"/>
    <mergeCell ref="K15:K17"/>
    <mergeCell ref="I9:I11"/>
    <mergeCell ref="O6:O8"/>
    <mergeCell ref="K9:K11"/>
    <mergeCell ref="M9:M11"/>
    <mergeCell ref="O9:O11"/>
    <mergeCell ref="C21:D21"/>
    <mergeCell ref="Q12:Q14"/>
    <mergeCell ref="G4:G5"/>
    <mergeCell ref="I4:I5"/>
    <mergeCell ref="O15:O17"/>
    <mergeCell ref="F21:I21"/>
    <mergeCell ref="P6:P8"/>
    <mergeCell ref="J6:J8"/>
    <mergeCell ref="P9:P11"/>
    <mergeCell ref="H9:H11"/>
    <mergeCell ref="L12:L14"/>
    <mergeCell ref="J9:J11"/>
    <mergeCell ref="N12:N14"/>
    <mergeCell ref="B4:B5"/>
    <mergeCell ref="J15:J17"/>
    <mergeCell ref="F4:F5"/>
    <mergeCell ref="H6:H8"/>
    <mergeCell ref="L15:L17"/>
    <mergeCell ref="I12:I14"/>
    <mergeCell ref="H4:H5"/>
    <mergeCell ref="J4:P4"/>
    <mergeCell ref="K12:K14"/>
    <mergeCell ref="M15:M17"/>
  </mergeCells>
  <pageMargins left="0.1181102362204725" right="0.1181102362204725" top="0.3937007874015748" bottom="0.3937007874015748" header="0" footer="0"/>
  <pageSetup orientation="landscape" paperSize="9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3.75" customWidth="1" style="673" min="1" max="1"/>
    <col width="30.75" customWidth="1" style="673" min="2" max="2"/>
    <col width="28.75" customWidth="1" style="673" min="3" max="6"/>
    <col width="3.75" customWidth="1" style="673" min="7" max="7"/>
    <col width="35" customWidth="1" style="673" min="8" max="8"/>
    <col width="12" customWidth="1" style="673" min="9" max="13"/>
    <col width="13.25" customWidth="1" style="673" min="14" max="14"/>
    <col width="22.38" customWidth="1" style="673" min="15" max="15"/>
    <col width="9.130000000000001" customWidth="1" style="673" min="16" max="26"/>
  </cols>
  <sheetData>
    <row r="1" ht="34.5" customHeight="1" s="673">
      <c r="A1" s="552" t="n"/>
      <c r="B1" s="553" t="inlineStr">
        <is>
          <t>Controle de Estoque de Grãos</t>
        </is>
      </c>
      <c r="C1" s="554" t="n"/>
      <c r="D1" s="554" t="n"/>
      <c r="E1" s="554" t="n"/>
      <c r="F1" s="555" t="n"/>
      <c r="G1" s="556" t="n"/>
      <c r="H1" s="557" t="n"/>
      <c r="I1" s="557" t="n"/>
      <c r="J1" s="557" t="n"/>
      <c r="K1" s="556" t="n"/>
      <c r="L1" s="556" t="n"/>
      <c r="M1" s="557" t="n"/>
      <c r="N1" s="556" t="n"/>
      <c r="O1" s="556" t="n"/>
      <c r="P1" s="556" t="n"/>
      <c r="Q1" s="556" t="n"/>
      <c r="R1" s="556" t="n"/>
      <c r="S1" s="556" t="n"/>
      <c r="T1" s="556" t="n"/>
      <c r="U1" s="556" t="n"/>
      <c r="V1" s="556" t="n"/>
      <c r="W1" s="556" t="n"/>
      <c r="X1" s="556" t="n"/>
      <c r="Y1" s="556" t="n"/>
      <c r="Z1" s="556" t="n"/>
    </row>
    <row r="2" ht="34.5" customHeight="1" s="673">
      <c r="A2" s="552" t="n"/>
      <c r="B2" s="558" t="n"/>
      <c r="C2" s="559" t="n"/>
      <c r="D2" s="559" t="n"/>
      <c r="E2" s="559" t="n"/>
      <c r="F2" s="560" t="n"/>
      <c r="G2" s="67" t="n"/>
      <c r="H2" s="333" t="n"/>
      <c r="I2" s="333" t="n"/>
      <c r="J2" s="333" t="n"/>
      <c r="K2" s="67" t="n"/>
      <c r="L2" s="67" t="n"/>
      <c r="M2" s="333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  <c r="Z2" s="67" t="n"/>
    </row>
    <row r="3" ht="21" customHeight="1" s="673">
      <c r="A3" s="552" t="n"/>
      <c r="B3" s="67" t="n"/>
      <c r="C3" s="561" t="n"/>
      <c r="D3" s="562" t="n"/>
      <c r="E3" s="563" t="inlineStr">
        <is>
          <t>Período Inicial</t>
        </is>
      </c>
      <c r="F3" s="563" t="inlineStr">
        <is>
          <t>Período Final</t>
        </is>
      </c>
      <c r="G3" s="67" t="n"/>
      <c r="H3" s="333" t="n"/>
      <c r="I3" s="333" t="n"/>
      <c r="J3" s="333" t="n"/>
      <c r="K3" s="67" t="n"/>
      <c r="L3" s="67" t="n"/>
      <c r="M3" s="333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21" customHeight="1" s="673">
      <c r="A4" s="552" t="n"/>
      <c r="B4" s="67" t="n"/>
      <c r="C4" s="67" t="n"/>
      <c r="D4" s="564" t="n"/>
      <c r="E4" s="565" t="n"/>
      <c r="F4" s="566" t="n"/>
      <c r="G4" s="333" t="n"/>
      <c r="H4" s="333" t="n"/>
      <c r="I4" s="333" t="n"/>
      <c r="J4" s="333" t="n"/>
      <c r="K4" s="333" t="n"/>
      <c r="L4" s="333" t="n"/>
      <c r="M4" s="333" t="n"/>
      <c r="N4" s="333" t="n"/>
      <c r="O4" s="333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21" customHeight="1" s="673">
      <c r="A5" s="552" t="n"/>
      <c r="B5" s="567" t="inlineStr">
        <is>
          <t>ARROZ</t>
        </is>
      </c>
      <c r="C5" s="568" t="inlineStr">
        <is>
          <t>Até</t>
        </is>
      </c>
      <c r="D5" s="569" t="n"/>
      <c r="E5" s="67" t="n"/>
      <c r="F5" s="67" t="n"/>
      <c r="G5" s="333" t="n"/>
      <c r="H5" s="333" t="n"/>
      <c r="I5" s="333" t="n"/>
      <c r="J5" s="333" t="n"/>
      <c r="K5" s="333" t="n"/>
      <c r="L5" s="333" t="n"/>
      <c r="M5" s="333" t="n"/>
      <c r="N5" s="333" t="n"/>
      <c r="O5" s="333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</row>
    <row r="6" ht="21" customHeight="1" s="673">
      <c r="A6" s="552" t="n"/>
      <c r="B6" s="570" t="inlineStr">
        <is>
          <t>ESTOQUE INICIAL</t>
        </is>
      </c>
      <c r="C6" s="571" t="n">
        <v>0</v>
      </c>
      <c r="D6" s="572" t="inlineStr">
        <is>
          <t>COLHEITA 2020/21</t>
        </is>
      </c>
      <c r="E6" s="573" t="inlineStr">
        <is>
          <t>VENDA</t>
        </is>
      </c>
      <c r="F6" s="574" t="inlineStr">
        <is>
          <t>ESTOQUE FINAL</t>
        </is>
      </c>
      <c r="G6" s="575" t="n"/>
      <c r="H6" s="575" t="n"/>
      <c r="I6" s="575" t="n"/>
      <c r="J6" s="575" t="n"/>
      <c r="K6" s="575" t="n"/>
      <c r="L6" s="575" t="n"/>
      <c r="M6" s="575" t="n"/>
      <c r="N6" s="575" t="n"/>
      <c r="O6" s="575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</row>
    <row r="7" ht="21" customHeight="1" s="673">
      <c r="A7" s="552" t="n"/>
      <c r="B7" s="576" t="n"/>
      <c r="C7" s="577" t="n"/>
      <c r="D7" s="578" t="n">
        <v>0</v>
      </c>
      <c r="E7" s="578" t="n">
        <v>0</v>
      </c>
      <c r="F7" s="579">
        <f>C6+D7-E7</f>
        <v/>
      </c>
      <c r="G7" s="575" t="n"/>
      <c r="H7" s="575" t="n"/>
      <c r="I7" s="575" t="n"/>
      <c r="J7" s="575" t="n"/>
      <c r="K7" s="575" t="n"/>
      <c r="L7" s="575" t="n"/>
      <c r="M7" s="575" t="n"/>
      <c r="N7" s="575" t="n"/>
      <c r="O7" s="575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</row>
    <row r="8" ht="21" customHeight="1" s="673">
      <c r="A8" s="552" t="n"/>
      <c r="B8" s="576" t="n"/>
      <c r="C8" s="580" t="n"/>
      <c r="D8" s="578" t="n"/>
      <c r="E8" s="578" t="n"/>
      <c r="F8" s="579">
        <f>F7+D8-E8</f>
        <v/>
      </c>
      <c r="G8" s="575" t="n"/>
      <c r="H8" s="575" t="n"/>
      <c r="I8" s="575" t="n"/>
      <c r="J8" s="575" t="n"/>
      <c r="K8" s="575" t="n"/>
      <c r="L8" s="575" t="n"/>
      <c r="M8" s="575" t="n"/>
      <c r="N8" s="575" t="n"/>
      <c r="O8" s="575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 ht="21" customHeight="1" s="673">
      <c r="A9" s="552" t="n"/>
      <c r="B9" s="576" t="n"/>
      <c r="C9" s="580" t="n"/>
      <c r="D9" s="578" t="n"/>
      <c r="E9" s="578" t="n"/>
      <c r="F9" s="579">
        <f>F8+D9-E9</f>
        <v/>
      </c>
      <c r="G9" s="575" t="n"/>
      <c r="H9" s="575" t="n"/>
      <c r="I9" s="575" t="n"/>
      <c r="J9" s="575" t="n"/>
      <c r="K9" s="575" t="n"/>
      <c r="L9" s="575" t="n"/>
      <c r="M9" s="575" t="n"/>
      <c r="N9" s="575" t="n"/>
      <c r="O9" s="575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 ht="21" customHeight="1" s="673">
      <c r="A10" s="552" t="n"/>
      <c r="B10" s="576" t="n"/>
      <c r="C10" s="580" t="n"/>
      <c r="D10" s="578" t="n"/>
      <c r="E10" s="578" t="n"/>
      <c r="F10" s="579">
        <f>F9+D10-E10</f>
        <v/>
      </c>
      <c r="G10" s="575" t="n"/>
      <c r="H10" s="575" t="n"/>
      <c r="I10" s="575" t="n"/>
      <c r="J10" s="575" t="n"/>
      <c r="K10" s="575" t="n"/>
      <c r="L10" s="575" t="n"/>
      <c r="M10" s="575" t="n"/>
      <c r="N10" s="575" t="n"/>
      <c r="O10" s="575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67" t="n"/>
    </row>
    <row r="11" ht="21" customHeight="1" s="673">
      <c r="A11" s="552" t="n"/>
      <c r="B11" s="576" t="n"/>
      <c r="C11" s="580" t="n"/>
      <c r="D11" s="578" t="n"/>
      <c r="E11" s="578" t="n"/>
      <c r="F11" s="579">
        <f>F10+D11-E11</f>
        <v/>
      </c>
      <c r="G11" s="575" t="n"/>
      <c r="H11" s="575" t="n"/>
      <c r="I11" s="575" t="n"/>
      <c r="J11" s="575" t="n"/>
      <c r="K11" s="575" t="n"/>
      <c r="L11" s="575" t="n"/>
      <c r="M11" s="575" t="n"/>
      <c r="N11" s="575" t="n"/>
      <c r="O11" s="575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 ht="21" customHeight="1" s="673">
      <c r="A12" s="552" t="n"/>
      <c r="B12" s="576" t="n"/>
      <c r="C12" s="580" t="n"/>
      <c r="D12" s="578" t="n"/>
      <c r="E12" s="578" t="n"/>
      <c r="F12" s="579">
        <f>F11+D12-E12</f>
        <v/>
      </c>
      <c r="G12" s="575" t="n"/>
      <c r="H12" s="575" t="n"/>
      <c r="I12" s="575" t="n"/>
      <c r="J12" s="575" t="n"/>
      <c r="K12" s="575" t="n"/>
      <c r="L12" s="575" t="n"/>
      <c r="M12" s="575" t="n"/>
      <c r="N12" s="575" t="n"/>
      <c r="O12" s="575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</row>
    <row r="13" ht="21" customHeight="1" s="673">
      <c r="A13" s="552" t="n"/>
      <c r="B13" s="576" t="n"/>
      <c r="C13" s="580" t="n"/>
      <c r="D13" s="578" t="n"/>
      <c r="E13" s="578" t="n"/>
      <c r="F13" s="579">
        <f>F12+D13-E13</f>
        <v/>
      </c>
      <c r="G13" s="575" t="n"/>
      <c r="H13" s="575" t="n"/>
      <c r="I13" s="575" t="n"/>
      <c r="J13" s="575" t="n"/>
      <c r="K13" s="575" t="n"/>
      <c r="L13" s="575" t="n"/>
      <c r="M13" s="575" t="n"/>
      <c r="N13" s="575" t="n"/>
      <c r="O13" s="575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</row>
    <row r="14" ht="21" customHeight="1" s="673">
      <c r="A14" s="552" t="n"/>
      <c r="B14" s="576" t="n"/>
      <c r="C14" s="580" t="n"/>
      <c r="D14" s="578" t="n"/>
      <c r="E14" s="578" t="n"/>
      <c r="F14" s="579">
        <f>F13+D14-E14</f>
        <v/>
      </c>
      <c r="G14" s="575" t="n"/>
      <c r="H14" s="575" t="n"/>
      <c r="I14" s="575" t="n"/>
      <c r="J14" s="575" t="n"/>
      <c r="K14" s="575" t="n"/>
      <c r="L14" s="575" t="n"/>
      <c r="M14" s="575" t="n"/>
      <c r="N14" s="575" t="n"/>
      <c r="O14" s="575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67" t="n"/>
    </row>
    <row r="15" ht="21" customHeight="1" s="673">
      <c r="A15" s="552" t="n"/>
      <c r="B15" s="576" t="n"/>
      <c r="C15" s="580" t="n"/>
      <c r="D15" s="578" t="n"/>
      <c r="E15" s="578" t="n"/>
      <c r="F15" s="579">
        <f>F14+D15-E15</f>
        <v/>
      </c>
      <c r="G15" s="575" t="n"/>
      <c r="H15" s="575" t="n"/>
      <c r="I15" s="575" t="n"/>
      <c r="J15" s="575" t="n"/>
      <c r="K15" s="575" t="n"/>
      <c r="L15" s="575" t="n"/>
      <c r="M15" s="575" t="n"/>
      <c r="N15" s="575" t="n"/>
      <c r="O15" s="575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</row>
    <row r="16" ht="21" customHeight="1" s="673">
      <c r="A16" s="552" t="n"/>
      <c r="B16" s="576" t="n"/>
      <c r="C16" s="580" t="n"/>
      <c r="D16" s="578" t="n"/>
      <c r="E16" s="578" t="n"/>
      <c r="F16" s="579">
        <f>F15+D16-E16</f>
        <v/>
      </c>
      <c r="G16" s="575" t="n"/>
      <c r="H16" s="575" t="n"/>
      <c r="I16" s="575" t="n"/>
      <c r="J16" s="575" t="n"/>
      <c r="K16" s="575" t="n"/>
      <c r="L16" s="575" t="n"/>
      <c r="M16" s="575" t="n"/>
      <c r="N16" s="575" t="n"/>
      <c r="O16" s="575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67" t="n"/>
    </row>
    <row r="17" ht="21" customHeight="1" s="673">
      <c r="A17" s="552" t="n"/>
      <c r="B17" s="576" t="n"/>
      <c r="C17" s="580" t="n"/>
      <c r="D17" s="578" t="n"/>
      <c r="E17" s="578" t="n"/>
      <c r="F17" s="579">
        <f>F16+D17-E17</f>
        <v/>
      </c>
      <c r="G17" s="575" t="n"/>
      <c r="H17" s="575" t="n"/>
      <c r="I17" s="575" t="n"/>
      <c r="J17" s="575" t="n"/>
      <c r="K17" s="575" t="n"/>
      <c r="L17" s="575" t="n"/>
      <c r="M17" s="575" t="n"/>
      <c r="N17" s="575" t="n"/>
      <c r="O17" s="575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</row>
    <row r="18" ht="21" customHeight="1" s="673">
      <c r="A18" s="552" t="n"/>
      <c r="B18" s="576" t="n"/>
      <c r="C18" s="580" t="n"/>
      <c r="D18" s="578" t="n"/>
      <c r="E18" s="578" t="n"/>
      <c r="F18" s="579">
        <f>F17+D18-E18</f>
        <v/>
      </c>
      <c r="G18" s="575" t="n"/>
      <c r="H18" s="575" t="n"/>
      <c r="I18" s="575" t="n"/>
      <c r="J18" s="575" t="n"/>
      <c r="K18" s="575" t="n"/>
      <c r="L18" s="575" t="n"/>
      <c r="M18" s="575" t="n"/>
      <c r="N18" s="575" t="n"/>
      <c r="O18" s="575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/>
    </row>
    <row r="19" ht="21" customHeight="1" s="673">
      <c r="A19" s="581" t="n"/>
      <c r="B19" s="582">
        <f>B5</f>
        <v/>
      </c>
      <c r="C19" s="583" t="n"/>
      <c r="D19" s="584">
        <f>SUM(D7:D18)</f>
        <v/>
      </c>
      <c r="E19" s="584">
        <f>SUM(E7:E18)</f>
        <v/>
      </c>
      <c r="F19" s="585">
        <f>F18</f>
        <v/>
      </c>
      <c r="G19" s="586" t="n"/>
      <c r="H19" s="586" t="n"/>
      <c r="I19" s="586" t="n"/>
      <c r="J19" s="586" t="n"/>
      <c r="K19" s="586" t="n"/>
      <c r="L19" s="586" t="n"/>
      <c r="M19" s="586" t="n"/>
      <c r="N19" s="586" t="n"/>
      <c r="O19" s="586" t="n"/>
      <c r="P19" s="587" t="n"/>
      <c r="Q19" s="587" t="n"/>
      <c r="R19" s="587" t="n"/>
      <c r="S19" s="587" t="n"/>
      <c r="T19" s="587" t="n"/>
      <c r="U19" s="587" t="n"/>
      <c r="V19" s="587" t="n"/>
      <c r="W19" s="587" t="n"/>
      <c r="X19" s="587" t="n"/>
      <c r="Y19" s="587" t="n"/>
      <c r="Z19" s="587" t="n"/>
    </row>
    <row r="20" ht="6.75" customHeight="1" s="673">
      <c r="A20" s="552" t="n"/>
      <c r="B20" s="588" t="n"/>
      <c r="C20" s="588" t="n"/>
      <c r="D20" s="575" t="n"/>
      <c r="E20" s="575" t="n"/>
      <c r="F20" s="575" t="n"/>
      <c r="G20" s="575" t="n"/>
      <c r="H20" s="575" t="n"/>
      <c r="I20" s="575" t="n"/>
      <c r="J20" s="575" t="n"/>
      <c r="K20" s="575" t="n"/>
      <c r="L20" s="575" t="n"/>
      <c r="M20" s="575" t="n"/>
      <c r="N20" s="575" t="n"/>
      <c r="O20" s="575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67" t="n"/>
    </row>
    <row r="21" ht="21" customHeight="1" s="673">
      <c r="A21" s="552" t="n"/>
      <c r="B21" s="588" t="n"/>
      <c r="C21" s="588" t="n"/>
      <c r="D21" s="575" t="n"/>
      <c r="E21" s="575" t="n"/>
      <c r="F21" s="575" t="n"/>
      <c r="G21" s="575" t="n"/>
      <c r="H21" s="575" t="n"/>
      <c r="I21" s="575" t="n"/>
      <c r="J21" s="575" t="n"/>
      <c r="K21" s="575" t="n"/>
      <c r="L21" s="575" t="n"/>
      <c r="M21" s="575" t="n"/>
      <c r="N21" s="575" t="n"/>
      <c r="O21" s="575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</row>
    <row r="22" ht="21" customHeight="1" s="673">
      <c r="A22" s="552" t="n"/>
      <c r="B22" s="588" t="n"/>
      <c r="C22" s="588" t="n"/>
      <c r="D22" s="575" t="n"/>
      <c r="E22" s="575" t="n"/>
      <c r="F22" s="575" t="n"/>
      <c r="G22" s="575" t="n"/>
      <c r="H22" s="575" t="n"/>
      <c r="I22" s="575" t="n"/>
      <c r="J22" s="575" t="n"/>
      <c r="K22" s="575" t="n"/>
      <c r="L22" s="575" t="n"/>
      <c r="M22" s="575" t="n"/>
      <c r="N22" s="575" t="n"/>
      <c r="O22" s="575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67" t="n"/>
    </row>
    <row r="23" ht="21" customHeight="1" s="673">
      <c r="A23" s="552" t="n"/>
      <c r="B23" s="589" t="inlineStr">
        <is>
          <t>SOJA</t>
        </is>
      </c>
      <c r="C23" s="588" t="n"/>
      <c r="D23" s="575" t="n"/>
      <c r="E23" s="575" t="n"/>
      <c r="F23" s="575" t="n"/>
      <c r="G23" s="575" t="n"/>
      <c r="H23" s="575" t="n"/>
      <c r="I23" s="575" t="n"/>
      <c r="J23" s="575" t="n"/>
      <c r="K23" s="575" t="n"/>
      <c r="L23" s="575" t="n"/>
      <c r="M23" s="575" t="n"/>
      <c r="N23" s="575" t="n"/>
      <c r="O23" s="575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67" t="n"/>
    </row>
    <row r="24" ht="21" customHeight="1" s="673">
      <c r="A24" s="552" t="n"/>
      <c r="B24" s="570" t="inlineStr">
        <is>
          <t>ESTOQUE INICIAL</t>
        </is>
      </c>
      <c r="C24" s="571" t="n">
        <v>0</v>
      </c>
      <c r="D24" s="590">
        <f>D6</f>
        <v/>
      </c>
      <c r="E24" s="573">
        <f>E6</f>
        <v/>
      </c>
      <c r="F24" s="574">
        <f>F6</f>
        <v/>
      </c>
      <c r="G24" s="575" t="n"/>
      <c r="H24" s="575" t="n"/>
      <c r="I24" s="575" t="n"/>
      <c r="J24" s="575" t="n"/>
      <c r="K24" s="575" t="n"/>
      <c r="L24" s="575" t="n"/>
      <c r="M24" s="575" t="n"/>
      <c r="N24" s="575" t="n"/>
      <c r="O24" s="575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67" t="n"/>
    </row>
    <row r="25" ht="21" customHeight="1" s="673">
      <c r="A25" s="552" t="n"/>
      <c r="B25" s="591" t="n"/>
      <c r="C25" s="592" t="n"/>
      <c r="D25" s="578" t="n">
        <v>0</v>
      </c>
      <c r="E25" s="578" t="n">
        <v>0</v>
      </c>
      <c r="F25" s="579">
        <f>C24+D25-E25</f>
        <v/>
      </c>
      <c r="G25" s="575" t="n"/>
      <c r="H25" s="575" t="n"/>
      <c r="I25" s="575" t="n"/>
      <c r="J25" s="575" t="n"/>
      <c r="K25" s="575" t="n"/>
      <c r="L25" s="575" t="n"/>
      <c r="M25" s="575" t="n"/>
      <c r="N25" s="575" t="n"/>
      <c r="O25" s="575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67" t="n"/>
    </row>
    <row r="26" ht="21" customHeight="1" s="673">
      <c r="A26" s="552" t="n"/>
      <c r="B26" s="591" t="n"/>
      <c r="C26" s="592" t="n"/>
      <c r="D26" s="578" t="n"/>
      <c r="E26" s="578" t="n"/>
      <c r="F26" s="579">
        <f>F25+D26-E26</f>
        <v/>
      </c>
      <c r="G26" s="575" t="n"/>
      <c r="H26" s="575" t="n"/>
      <c r="I26" s="575" t="n"/>
      <c r="J26" s="575" t="n"/>
      <c r="K26" s="575" t="n"/>
      <c r="L26" s="575" t="n"/>
      <c r="M26" s="575" t="n"/>
      <c r="N26" s="575" t="n"/>
      <c r="O26" s="575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67" t="n"/>
    </row>
    <row r="27" ht="21" customHeight="1" s="673">
      <c r="A27" s="552" t="n"/>
      <c r="B27" s="591" t="n"/>
      <c r="C27" s="592" t="n"/>
      <c r="D27" s="578" t="n"/>
      <c r="E27" s="578" t="n"/>
      <c r="F27" s="579">
        <f>F26+D27-E27</f>
        <v/>
      </c>
      <c r="G27" s="575" t="n"/>
      <c r="H27" s="575" t="n"/>
      <c r="I27" s="575" t="n"/>
      <c r="J27" s="575" t="n"/>
      <c r="K27" s="575" t="n"/>
      <c r="L27" s="575" t="n"/>
      <c r="M27" s="575" t="n"/>
      <c r="N27" s="575" t="n"/>
      <c r="O27" s="575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67" t="n"/>
    </row>
    <row r="28" ht="21" customHeight="1" s="673">
      <c r="A28" s="552" t="n"/>
      <c r="B28" s="591" t="n"/>
      <c r="C28" s="592" t="n"/>
      <c r="D28" s="578" t="n"/>
      <c r="E28" s="578" t="n"/>
      <c r="F28" s="579">
        <f>F27+D28-E28</f>
        <v/>
      </c>
      <c r="G28" s="575" t="n"/>
      <c r="H28" s="575" t="n"/>
      <c r="I28" s="575" t="n"/>
      <c r="J28" s="575" t="n"/>
      <c r="K28" s="575" t="n"/>
      <c r="L28" s="575" t="n"/>
      <c r="M28" s="575" t="n"/>
      <c r="N28" s="575" t="n"/>
      <c r="O28" s="575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</row>
    <row r="29" ht="21" customHeight="1" s="673">
      <c r="A29" s="552" t="n"/>
      <c r="B29" s="591" t="n"/>
      <c r="C29" s="592" t="n"/>
      <c r="D29" s="578" t="n"/>
      <c r="E29" s="578" t="n"/>
      <c r="F29" s="579">
        <f>F28+D29-E29</f>
        <v/>
      </c>
      <c r="G29" s="575" t="n"/>
      <c r="H29" s="575" t="n"/>
      <c r="I29" s="575" t="n"/>
      <c r="J29" s="575" t="n"/>
      <c r="K29" s="575" t="n"/>
      <c r="L29" s="575" t="n"/>
      <c r="M29" s="575" t="n"/>
      <c r="N29" s="575" t="n"/>
      <c r="O29" s="575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 ht="21" customHeight="1" s="673">
      <c r="A30" s="552" t="n"/>
      <c r="B30" s="591" t="n"/>
      <c r="C30" s="592" t="n"/>
      <c r="D30" s="578" t="n"/>
      <c r="E30" s="578" t="n"/>
      <c r="F30" s="579">
        <f>F29+D30-E30</f>
        <v/>
      </c>
      <c r="G30" s="575" t="n"/>
      <c r="H30" s="575" t="n"/>
      <c r="I30" s="575" t="n"/>
      <c r="J30" s="575" t="n"/>
      <c r="K30" s="575" t="n"/>
      <c r="L30" s="575" t="n"/>
      <c r="M30" s="575" t="n"/>
      <c r="N30" s="575" t="n"/>
      <c r="O30" s="575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 ht="21" customHeight="1" s="673">
      <c r="A31" s="552" t="n"/>
      <c r="B31" s="591" t="n"/>
      <c r="C31" s="592" t="n"/>
      <c r="D31" s="578" t="n"/>
      <c r="E31" s="578" t="n"/>
      <c r="F31" s="579">
        <f>F30+D31-E31</f>
        <v/>
      </c>
      <c r="G31" s="575" t="n"/>
      <c r="H31" s="575" t="n"/>
      <c r="I31" s="575" t="n"/>
      <c r="J31" s="575" t="n"/>
      <c r="K31" s="575" t="n"/>
      <c r="L31" s="575" t="n"/>
      <c r="M31" s="575" t="n"/>
      <c r="N31" s="575" t="n"/>
      <c r="O31" s="575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 ht="21" customHeight="1" s="673">
      <c r="A32" s="552" t="n"/>
      <c r="B32" s="591" t="n"/>
      <c r="C32" s="592" t="n"/>
      <c r="D32" s="578" t="n"/>
      <c r="E32" s="578" t="n"/>
      <c r="F32" s="579">
        <f>F31+D32-E32</f>
        <v/>
      </c>
      <c r="G32" s="575" t="n"/>
      <c r="H32" s="575" t="n"/>
      <c r="I32" s="575" t="n"/>
      <c r="J32" s="575" t="n"/>
      <c r="K32" s="575" t="n"/>
      <c r="L32" s="575" t="n"/>
      <c r="M32" s="575" t="n"/>
      <c r="N32" s="575" t="n"/>
      <c r="O32" s="575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  <c r="Z32" s="67" t="n"/>
    </row>
    <row r="33" ht="21" customHeight="1" s="673">
      <c r="A33" s="552" t="n"/>
      <c r="B33" s="591" t="n"/>
      <c r="C33" s="592" t="n"/>
      <c r="D33" s="578" t="n"/>
      <c r="E33" s="578" t="n"/>
      <c r="F33" s="579">
        <f>F32+D33-E33</f>
        <v/>
      </c>
      <c r="G33" s="575" t="n"/>
      <c r="H33" s="575" t="n"/>
      <c r="I33" s="575" t="n"/>
      <c r="J33" s="575" t="n"/>
      <c r="K33" s="575" t="n"/>
      <c r="L33" s="575" t="n"/>
      <c r="M33" s="575" t="n"/>
      <c r="N33" s="575" t="n"/>
      <c r="O33" s="575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7" t="n"/>
      <c r="Y33" s="67" t="n"/>
      <c r="Z33" s="67" t="n"/>
    </row>
    <row r="34" ht="21" customHeight="1" s="673">
      <c r="A34" s="552" t="n"/>
      <c r="B34" s="591" t="n"/>
      <c r="C34" s="592" t="n"/>
      <c r="D34" s="578" t="n"/>
      <c r="E34" s="578" t="n"/>
      <c r="F34" s="579">
        <f>F33+D34-E34</f>
        <v/>
      </c>
      <c r="G34" s="575" t="n"/>
      <c r="H34" s="575" t="n"/>
      <c r="I34" s="575" t="n"/>
      <c r="J34" s="575" t="n"/>
      <c r="K34" s="575" t="n"/>
      <c r="L34" s="575" t="n"/>
      <c r="M34" s="575" t="n"/>
      <c r="N34" s="575" t="n"/>
      <c r="O34" s="575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 ht="21.75" customHeight="1" s="673">
      <c r="A35" s="552" t="n"/>
      <c r="B35" s="591" t="n"/>
      <c r="C35" s="592" t="n"/>
      <c r="D35" s="578" t="n"/>
      <c r="E35" s="578" t="n"/>
      <c r="F35" s="579">
        <f>F34+D35-E35</f>
        <v/>
      </c>
      <c r="G35" s="575" t="n"/>
      <c r="H35" s="575" t="n"/>
      <c r="I35" s="575" t="n"/>
      <c r="J35" s="575" t="n"/>
      <c r="K35" s="575" t="n"/>
      <c r="L35" s="575" t="n"/>
      <c r="M35" s="575" t="n"/>
      <c r="N35" s="575" t="n"/>
      <c r="O35" s="575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</row>
    <row r="36" ht="21" customHeight="1" s="673">
      <c r="A36" s="552" t="n"/>
      <c r="B36" s="591" t="n"/>
      <c r="C36" s="592" t="n"/>
      <c r="D36" s="578" t="n"/>
      <c r="E36" s="578" t="n"/>
      <c r="F36" s="579">
        <f>F35+D36-E36</f>
        <v/>
      </c>
      <c r="G36" s="575" t="n"/>
      <c r="H36" s="575" t="n"/>
      <c r="I36" s="575" t="n"/>
      <c r="J36" s="575" t="n"/>
      <c r="K36" s="575" t="n"/>
      <c r="L36" s="575" t="n"/>
      <c r="M36" s="575" t="n"/>
      <c r="N36" s="575" t="n"/>
      <c r="O36" s="575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</row>
    <row r="37" ht="21" customHeight="1" s="673">
      <c r="A37" s="581" t="n"/>
      <c r="B37" s="593">
        <f>B23</f>
        <v/>
      </c>
      <c r="C37" s="594" t="n"/>
      <c r="D37" s="584">
        <f>SUM(D25:D36)</f>
        <v/>
      </c>
      <c r="E37" s="584">
        <f>SUM(E25:E36)</f>
        <v/>
      </c>
      <c r="F37" s="585">
        <f>F36</f>
        <v/>
      </c>
      <c r="G37" s="586" t="n"/>
      <c r="H37" s="586" t="n"/>
      <c r="I37" s="586" t="n"/>
      <c r="J37" s="586" t="n"/>
      <c r="K37" s="586" t="n"/>
      <c r="L37" s="586" t="n"/>
      <c r="M37" s="586" t="n"/>
      <c r="N37" s="586" t="n"/>
      <c r="O37" s="586" t="n"/>
      <c r="P37" s="587" t="n"/>
      <c r="Q37" s="587" t="n"/>
      <c r="R37" s="587" t="n"/>
      <c r="S37" s="587" t="n"/>
      <c r="T37" s="587" t="n"/>
      <c r="U37" s="587" t="n"/>
      <c r="V37" s="587" t="n"/>
      <c r="W37" s="587" t="n"/>
      <c r="X37" s="587" t="n"/>
      <c r="Y37" s="587" t="n"/>
      <c r="Z37" s="587" t="n"/>
    </row>
    <row r="38" ht="6.75" customHeight="1" s="673">
      <c r="A38" s="552" t="n"/>
      <c r="B38" s="595" t="n"/>
      <c r="C38" s="595" t="n"/>
      <c r="D38" s="575" t="n"/>
      <c r="E38" s="575" t="n"/>
      <c r="F38" s="575" t="n"/>
      <c r="G38" s="575" t="n"/>
      <c r="H38" s="575" t="n"/>
      <c r="I38" s="575" t="n"/>
      <c r="J38" s="575" t="n"/>
      <c r="K38" s="575" t="n"/>
      <c r="L38" s="575" t="n"/>
      <c r="M38" s="575" t="n"/>
      <c r="N38" s="575" t="n"/>
      <c r="O38" s="575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</row>
    <row r="39" ht="21" customHeight="1" s="673">
      <c r="A39" s="552" t="n"/>
      <c r="B39" s="596" t="n"/>
      <c r="C39" s="596" t="n"/>
      <c r="D39" s="575" t="n"/>
      <c r="E39" s="575" t="n"/>
      <c r="F39" s="575" t="n"/>
      <c r="G39" s="575" t="n"/>
      <c r="H39" s="575" t="n"/>
      <c r="I39" s="575" t="n"/>
      <c r="J39" s="575" t="n"/>
      <c r="K39" s="575" t="n"/>
      <c r="L39" s="575" t="n"/>
      <c r="M39" s="575" t="n"/>
      <c r="N39" s="575" t="n"/>
      <c r="O39" s="575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</row>
    <row r="40" ht="21" customHeight="1" s="673">
      <c r="A40" s="597" t="n"/>
      <c r="B40" s="598" t="inlineStr">
        <is>
          <t>RESUMO MOVIMENTO DE GRÃOS ANO</t>
        </is>
      </c>
      <c r="C40" s="599" t="n"/>
      <c r="D40" s="572" t="inlineStr">
        <is>
          <t>COLHEITA</t>
        </is>
      </c>
      <c r="E40" s="573">
        <f>E6</f>
        <v/>
      </c>
      <c r="F40" s="574">
        <f>F6</f>
        <v/>
      </c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</row>
    <row r="41" ht="21" customHeight="1" s="673">
      <c r="A41" s="597" t="n"/>
      <c r="B41" s="600" t="inlineStr">
        <is>
          <t>ARROZ</t>
        </is>
      </c>
      <c r="C41" s="601" t="n"/>
      <c r="D41" s="602">
        <f>D19</f>
        <v/>
      </c>
      <c r="E41" s="602">
        <f>E19</f>
        <v/>
      </c>
      <c r="F41" s="603">
        <f>F19</f>
        <v/>
      </c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</row>
    <row r="42" ht="21" customHeight="1" s="673">
      <c r="A42" s="597" t="n"/>
      <c r="B42" s="604" t="inlineStr">
        <is>
          <t>SOJA</t>
        </is>
      </c>
      <c r="C42" s="605" t="n"/>
      <c r="D42" s="606">
        <f>D37</f>
        <v/>
      </c>
      <c r="E42" s="606">
        <f>E37</f>
        <v/>
      </c>
      <c r="F42" s="607">
        <f>F37</f>
        <v/>
      </c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</row>
    <row r="43" ht="21" customHeight="1" s="673">
      <c r="A43" s="597" t="n"/>
      <c r="B43" s="608" t="n"/>
      <c r="C43" s="608" t="n"/>
      <c r="D43" s="609" t="n"/>
      <c r="E43" s="609" t="n"/>
      <c r="F43" s="609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 ht="21" customHeight="1" s="673">
      <c r="A44" s="597" t="n"/>
      <c r="B44" s="608" t="n"/>
      <c r="C44" s="608" t="n"/>
      <c r="D44" s="609" t="n"/>
      <c r="E44" s="609" t="n"/>
      <c r="F44" s="609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</row>
    <row r="45" ht="21" customHeight="1" s="673">
      <c r="A45" s="597" t="n"/>
      <c r="B45" s="608" t="n"/>
      <c r="C45" s="608" t="n"/>
      <c r="D45" s="609" t="n"/>
      <c r="E45" s="609" t="n"/>
      <c r="F45" s="609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</row>
    <row r="46" ht="21" customHeight="1" s="673">
      <c r="A46" s="597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</row>
    <row r="47" ht="21" customHeight="1" s="673">
      <c r="A47" s="597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</row>
    <row r="48" ht="21" customHeight="1" s="673">
      <c r="A48" s="597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</row>
    <row r="49" ht="21" customHeight="1" s="673">
      <c r="A49" s="597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</row>
    <row r="50" ht="21" customHeight="1" s="673">
      <c r="A50" s="597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</row>
    <row r="51" ht="21" customHeight="1" s="673">
      <c r="A51" s="597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</row>
    <row r="52" ht="21" customHeight="1" s="673">
      <c r="A52" s="597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</row>
    <row r="53" ht="21" customHeight="1" s="673">
      <c r="A53" s="597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</row>
    <row r="54" ht="21" customHeight="1" s="673">
      <c r="A54" s="597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</row>
    <row r="55" ht="21" customHeight="1" s="673">
      <c r="A55" s="597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</row>
    <row r="56" ht="21" customHeight="1" s="673">
      <c r="A56" s="597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</row>
    <row r="57" ht="21" customHeight="1" s="673">
      <c r="A57" s="597" t="n"/>
      <c r="B57" s="67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</row>
    <row r="58" ht="21" customHeight="1" s="673">
      <c r="A58" s="597" t="n"/>
      <c r="B58" s="67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</row>
    <row r="59" ht="21" customHeight="1" s="673">
      <c r="A59" s="597" t="n"/>
      <c r="B59" s="67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</row>
    <row r="60" ht="21" customHeight="1" s="673">
      <c r="A60" s="597" t="n"/>
      <c r="B60" s="67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</row>
    <row r="61" ht="21" customHeight="1" s="673">
      <c r="A61" s="597" t="n"/>
      <c r="B61" s="67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</row>
    <row r="62" ht="21" customHeight="1" s="673">
      <c r="A62" s="597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</row>
    <row r="63" ht="21" customHeight="1" s="673">
      <c r="A63" s="597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</row>
    <row r="64" ht="21" customHeight="1" s="673">
      <c r="A64" s="597" t="n"/>
      <c r="B64" s="67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</row>
    <row r="65" ht="21" customHeight="1" s="673">
      <c r="A65" s="597" t="n"/>
      <c r="B65" s="67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</row>
    <row r="66" ht="21" customHeight="1" s="673">
      <c r="A66" s="597" t="n"/>
      <c r="B66" s="67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</row>
    <row r="67" ht="21" customHeight="1" s="673">
      <c r="A67" s="597" t="n"/>
      <c r="B67" s="67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</row>
    <row r="68" ht="21" customHeight="1" s="673">
      <c r="A68" s="597" t="n"/>
      <c r="B68" s="67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</row>
    <row r="69" ht="21" customHeight="1" s="673">
      <c r="A69" s="597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</row>
    <row r="70" ht="21" customHeight="1" s="673">
      <c r="A70" s="597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</row>
    <row r="71" ht="21" customHeight="1" s="673">
      <c r="A71" s="597" t="n"/>
      <c r="B71" s="67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</row>
    <row r="72" ht="21" customHeight="1" s="673">
      <c r="A72" s="597" t="n"/>
      <c r="B72" s="67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</row>
    <row r="73" ht="21" customHeight="1" s="673">
      <c r="A73" s="597" t="n"/>
      <c r="B73" s="67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</row>
    <row r="74" ht="21" customHeight="1" s="673">
      <c r="A74" s="597" t="n"/>
      <c r="B74" s="67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</row>
    <row r="75" ht="21" customHeight="1" s="673">
      <c r="A75" s="597" t="n"/>
      <c r="B75" s="67" t="n"/>
      <c r="C75" s="67" t="n"/>
      <c r="D75" s="67" t="n"/>
      <c r="E75" s="67" t="n"/>
      <c r="F75" s="67" t="n"/>
      <c r="G75" s="67" t="n"/>
      <c r="H75" s="67" t="n"/>
      <c r="I75" s="67" t="n"/>
      <c r="J75" s="67" t="n"/>
      <c r="K75" s="67" t="n"/>
      <c r="L75" s="67" t="n"/>
      <c r="M75" s="67" t="n"/>
      <c r="N75" s="67" t="n"/>
      <c r="O75" s="67" t="n"/>
      <c r="P75" s="67" t="n"/>
      <c r="Q75" s="67" t="n"/>
      <c r="R75" s="67" t="n"/>
      <c r="S75" s="67" t="n"/>
      <c r="T75" s="67" t="n"/>
      <c r="U75" s="67" t="n"/>
      <c r="V75" s="67" t="n"/>
      <c r="W75" s="67" t="n"/>
      <c r="X75" s="67" t="n"/>
      <c r="Y75" s="67" t="n"/>
      <c r="Z75" s="67" t="n"/>
    </row>
    <row r="76" ht="21" customHeight="1" s="673">
      <c r="A76" s="597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</row>
    <row r="77" ht="21" customHeight="1" s="673">
      <c r="A77" s="597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</row>
    <row r="78" ht="21" customHeight="1" s="673">
      <c r="A78" s="597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</row>
    <row r="79" ht="21" customHeight="1" s="673">
      <c r="A79" s="597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</row>
    <row r="80" ht="21" customHeight="1" s="673">
      <c r="A80" s="597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</row>
    <row r="81" ht="21" customHeight="1" s="673">
      <c r="A81" s="597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</row>
    <row r="82" ht="21" customHeight="1" s="673">
      <c r="A82" s="597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</row>
    <row r="83" ht="21" customHeight="1" s="673">
      <c r="A83" s="597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</row>
    <row r="84" ht="21" customHeight="1" s="673">
      <c r="A84" s="597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</row>
    <row r="85" ht="21" customHeight="1" s="673">
      <c r="A85" s="597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</row>
    <row r="86" ht="21" customHeight="1" s="673">
      <c r="A86" s="597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</row>
    <row r="87" ht="21" customHeight="1" s="673">
      <c r="A87" s="597" t="n"/>
      <c r="B87" s="67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</row>
    <row r="88" ht="21" customHeight="1" s="673">
      <c r="A88" s="597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</row>
    <row r="89" ht="21" customHeight="1" s="673">
      <c r="A89" s="597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</row>
    <row r="90" ht="21" customHeight="1" s="673">
      <c r="A90" s="59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 ht="21" customHeight="1" s="673">
      <c r="A91" s="59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</row>
    <row r="92" ht="21" customHeight="1" s="673">
      <c r="A92" s="59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</row>
    <row r="93" ht="21" customHeight="1" s="673">
      <c r="A93" s="59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</row>
    <row r="94" ht="21" customHeight="1" s="673">
      <c r="A94" s="59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</row>
    <row r="95" ht="21" customHeight="1" s="673">
      <c r="A95" s="59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</row>
    <row r="96" ht="21" customHeight="1" s="673">
      <c r="A96" s="59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</row>
    <row r="97" ht="21" customHeight="1" s="673">
      <c r="A97" s="59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</row>
    <row r="98" ht="21" customHeight="1" s="673">
      <c r="A98" s="59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</row>
    <row r="99" ht="21" customHeight="1" s="673">
      <c r="A99" s="59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</row>
    <row r="100" ht="21" customHeight="1" s="673">
      <c r="A100" s="59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</row>
    <row r="101" ht="21" customHeight="1" s="673">
      <c r="A101" s="59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</row>
    <row r="102" ht="21" customHeight="1" s="673">
      <c r="A102" s="59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</row>
    <row r="103" ht="21" customHeight="1" s="673">
      <c r="A103" s="59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</row>
    <row r="104" ht="21" customHeight="1" s="673">
      <c r="A104" s="59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</row>
    <row r="105" ht="21" customHeight="1" s="673">
      <c r="A105" s="59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</row>
    <row r="106" ht="21" customHeight="1" s="673">
      <c r="A106" s="59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</row>
    <row r="107" ht="21" customHeight="1" s="673">
      <c r="A107" s="59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</row>
    <row r="108" ht="21" customHeight="1" s="673">
      <c r="A108" s="59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</row>
    <row r="109" ht="21" customHeight="1" s="673">
      <c r="A109" s="59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</row>
    <row r="110" ht="21" customHeight="1" s="673">
      <c r="A110" s="59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</row>
    <row r="111" ht="21" customHeight="1" s="673">
      <c r="A111" s="59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</row>
    <row r="112" ht="21" customHeight="1" s="673">
      <c r="A112" s="59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</row>
    <row r="113" ht="21" customHeight="1" s="673">
      <c r="A113" s="59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</row>
    <row r="114" ht="21" customHeight="1" s="673">
      <c r="A114" s="59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</row>
    <row r="115" ht="21" customHeight="1" s="673">
      <c r="A115" s="59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</row>
    <row r="116" ht="21" customHeight="1" s="673">
      <c r="A116" s="59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</row>
    <row r="117" ht="21" customHeight="1" s="673">
      <c r="A117" s="59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</row>
    <row r="118" ht="21" customHeight="1" s="673">
      <c r="A118" s="59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</row>
    <row r="119" ht="21" customHeight="1" s="673">
      <c r="A119" s="59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</row>
    <row r="120" ht="21" customHeight="1" s="673">
      <c r="A120" s="59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</row>
    <row r="121" ht="21" customHeight="1" s="673">
      <c r="A121" s="59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</row>
    <row r="122" ht="21" customHeight="1" s="673">
      <c r="A122" s="59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</row>
    <row r="123" ht="21" customHeight="1" s="673">
      <c r="A123" s="59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</row>
    <row r="124" ht="21" customHeight="1" s="673">
      <c r="A124" s="59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</row>
    <row r="125" ht="21" customHeight="1" s="673">
      <c r="A125" s="59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</row>
    <row r="126" ht="21" customHeight="1" s="673">
      <c r="A126" s="59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</row>
    <row r="127" ht="21" customHeight="1" s="673">
      <c r="A127" s="59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</row>
    <row r="128" ht="21" customHeight="1" s="673">
      <c r="A128" s="597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</row>
    <row r="129" ht="21" customHeight="1" s="673">
      <c r="A129" s="597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</row>
    <row r="130" ht="21" customHeight="1" s="673">
      <c r="A130" s="597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</row>
    <row r="131" ht="21" customHeight="1" s="673">
      <c r="A131" s="597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</row>
    <row r="132" ht="21" customHeight="1" s="673">
      <c r="A132" s="597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</row>
    <row r="133" ht="21" customHeight="1" s="673">
      <c r="A133" s="597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</row>
    <row r="134" ht="21" customHeight="1" s="673">
      <c r="A134" s="597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</row>
    <row r="135" ht="21" customHeight="1" s="673">
      <c r="A135" s="597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</row>
    <row r="136" ht="21" customHeight="1" s="673">
      <c r="A136" s="597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</row>
    <row r="137" ht="21" customHeight="1" s="673">
      <c r="A137" s="597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</row>
    <row r="138" ht="21" customHeight="1" s="673">
      <c r="A138" s="597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</row>
    <row r="139" ht="21" customHeight="1" s="673">
      <c r="A139" s="597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</row>
    <row r="140" ht="21" customHeight="1" s="673">
      <c r="A140" s="597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</row>
    <row r="141" ht="21" customHeight="1" s="673">
      <c r="A141" s="597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</row>
    <row r="142" ht="21" customHeight="1" s="673">
      <c r="A142" s="597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</row>
    <row r="143" ht="21" customHeight="1" s="673">
      <c r="A143" s="597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</row>
    <row r="144" ht="21" customHeight="1" s="673">
      <c r="A144" s="597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</row>
    <row r="145" ht="21" customHeight="1" s="673">
      <c r="A145" s="597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</row>
    <row r="146" ht="21" customHeight="1" s="673">
      <c r="A146" s="597" t="n"/>
      <c r="B146" s="67" t="n"/>
      <c r="C146" s="67" t="n"/>
      <c r="D146" s="67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</row>
    <row r="147" ht="21" customHeight="1" s="673">
      <c r="A147" s="597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</row>
    <row r="148" ht="21" customHeight="1" s="673">
      <c r="A148" s="597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</row>
    <row r="149" ht="21" customHeight="1" s="673">
      <c r="A149" s="597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</row>
    <row r="150" ht="21" customHeight="1" s="673">
      <c r="A150" s="597" t="n"/>
      <c r="B150" s="67" t="n"/>
      <c r="C150" s="67" t="n"/>
      <c r="D150" s="67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</row>
    <row r="151" ht="21" customHeight="1" s="673">
      <c r="A151" s="597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</row>
    <row r="152" ht="21" customHeight="1" s="673">
      <c r="A152" s="59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 ht="21" customHeight="1" s="673">
      <c r="A153" s="59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</row>
    <row r="154" ht="21" customHeight="1" s="673">
      <c r="A154" s="59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</row>
    <row r="155" ht="21" customHeight="1" s="673">
      <c r="A155" s="59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</row>
    <row r="156" ht="21" customHeight="1" s="673">
      <c r="A156" s="59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</row>
    <row r="157" ht="21" customHeight="1" s="673">
      <c r="A157" s="597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</row>
    <row r="158" ht="21" customHeight="1" s="673">
      <c r="A158" s="59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</row>
    <row r="159" ht="21" customHeight="1" s="673">
      <c r="A159" s="59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</row>
    <row r="160" ht="21" customHeight="1" s="673">
      <c r="A160" s="59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</row>
    <row r="161" ht="21" customHeight="1" s="673">
      <c r="A161" s="59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</row>
    <row r="162" ht="21" customHeight="1" s="673">
      <c r="A162" s="59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</row>
    <row r="163" ht="21" customHeight="1" s="673">
      <c r="A163" s="59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</row>
    <row r="164" ht="21" customHeight="1" s="673">
      <c r="A164" s="59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</row>
    <row r="165" ht="21" customHeight="1" s="673">
      <c r="A165" s="59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</row>
    <row r="166" ht="21" customHeight="1" s="673">
      <c r="A166" s="59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</row>
    <row r="167" ht="21" customHeight="1" s="673">
      <c r="A167" s="59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</row>
    <row r="168" ht="21" customHeight="1" s="673">
      <c r="A168" s="59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</row>
    <row r="169" ht="21" customHeight="1" s="673">
      <c r="A169" s="59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</row>
    <row r="170" ht="21" customHeight="1" s="673">
      <c r="A170" s="59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</row>
    <row r="171" ht="21" customHeight="1" s="673">
      <c r="A171" s="59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</row>
    <row r="172" ht="21" customHeight="1" s="673">
      <c r="A172" s="59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</row>
    <row r="173" ht="21" customHeight="1" s="673">
      <c r="A173" s="59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</row>
    <row r="174" ht="21" customHeight="1" s="673">
      <c r="A174" s="59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</row>
    <row r="175" ht="21" customHeight="1" s="673">
      <c r="A175" s="59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</row>
    <row r="176" ht="21" customHeight="1" s="673">
      <c r="A176" s="59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</row>
    <row r="177" ht="21" customHeight="1" s="673">
      <c r="A177" s="59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</row>
    <row r="178" ht="21" customHeight="1" s="673">
      <c r="A178" s="59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</row>
    <row r="179" ht="21" customHeight="1" s="673">
      <c r="A179" s="59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</row>
    <row r="180" ht="21" customHeight="1" s="673">
      <c r="A180" s="59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</row>
    <row r="181" ht="21" customHeight="1" s="673">
      <c r="A181" s="59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</row>
    <row r="182" ht="21" customHeight="1" s="673">
      <c r="A182" s="59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</row>
    <row r="183" ht="21" customHeight="1" s="673">
      <c r="A183" s="59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</row>
    <row r="184" ht="21" customHeight="1" s="673">
      <c r="A184" s="59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</row>
    <row r="185" ht="21" customHeight="1" s="673">
      <c r="A185" s="59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</row>
    <row r="186" ht="21" customHeight="1" s="673">
      <c r="A186" s="59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</row>
    <row r="187" ht="21" customHeight="1" s="673">
      <c r="A187" s="59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</row>
    <row r="188" ht="21" customHeight="1" s="673">
      <c r="A188" s="59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  <c r="Z188" s="67" t="n"/>
    </row>
    <row r="189" ht="21" customHeight="1" s="673">
      <c r="A189" s="59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</row>
    <row r="190" ht="21" customHeight="1" s="673">
      <c r="A190" s="59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  <c r="Z190" s="67" t="n"/>
    </row>
    <row r="191" ht="21" customHeight="1" s="673">
      <c r="A191" s="59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</row>
    <row r="192" ht="21" customHeight="1" s="673">
      <c r="A192" s="59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</row>
    <row r="193" ht="21" customHeight="1" s="673">
      <c r="A193" s="59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</row>
    <row r="194" ht="21" customHeight="1" s="673">
      <c r="A194" s="59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</row>
    <row r="195" ht="21" customHeight="1" s="673">
      <c r="A195" s="59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</row>
    <row r="196" ht="21" customHeight="1" s="673">
      <c r="A196" s="59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</row>
    <row r="197" ht="21" customHeight="1" s="673">
      <c r="A197" s="59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</row>
    <row r="198" ht="21" customHeight="1" s="673">
      <c r="A198" s="59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</row>
    <row r="199" ht="21" customHeight="1" s="673">
      <c r="A199" s="59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</row>
    <row r="200" ht="21" customHeight="1" s="673">
      <c r="A200" s="59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</row>
    <row r="201" ht="21" customHeight="1" s="673">
      <c r="A201" s="59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</row>
    <row r="202" ht="21" customHeight="1" s="673">
      <c r="A202" s="59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</row>
    <row r="203" ht="21" customHeight="1" s="673">
      <c r="A203" s="59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</row>
    <row r="204" ht="21" customHeight="1" s="673">
      <c r="A204" s="59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</row>
    <row r="205" ht="21" customHeight="1" s="673">
      <c r="A205" s="59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</row>
    <row r="206" ht="21" customHeight="1" s="673">
      <c r="A206" s="59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</row>
    <row r="207" ht="21" customHeight="1" s="673">
      <c r="A207" s="59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  <c r="Z207" s="67" t="n"/>
    </row>
    <row r="208" ht="21" customHeight="1" s="673">
      <c r="A208" s="59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</row>
    <row r="209" ht="21" customHeight="1" s="673">
      <c r="A209" s="59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</row>
    <row r="210" ht="21" customHeight="1" s="673">
      <c r="A210" s="59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</row>
    <row r="211" ht="21" customHeight="1" s="673">
      <c r="A211" s="59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  <c r="Z211" s="67" t="n"/>
    </row>
    <row r="212" ht="21" customHeight="1" s="673">
      <c r="A212" s="59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</row>
    <row r="213" ht="21" customHeight="1" s="673">
      <c r="A213" s="59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</row>
    <row r="214" ht="21" customHeight="1" s="673">
      <c r="A214" s="597" t="n"/>
      <c r="B214" s="67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  <c r="Z214" s="67" t="n"/>
    </row>
    <row r="215" ht="21" customHeight="1" s="673">
      <c r="A215" s="59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</row>
    <row r="216" ht="21" customHeight="1" s="673">
      <c r="A216" s="59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</row>
    <row r="217" ht="21" customHeight="1" s="673">
      <c r="A217" s="59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</row>
    <row r="218" ht="21" customHeight="1" s="673">
      <c r="A218" s="59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</row>
    <row r="219" ht="21" customHeight="1" s="673">
      <c r="A219" s="59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</row>
    <row r="220" ht="21" customHeight="1" s="673">
      <c r="A220" s="59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</row>
    <row r="221" ht="21" customHeight="1" s="673">
      <c r="A221" s="59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</row>
    <row r="222" ht="21" customHeight="1" s="673">
      <c r="A222" s="59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</row>
    <row r="223" ht="21" customHeight="1" s="673">
      <c r="A223" s="59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</row>
    <row r="224" ht="21" customHeight="1" s="673">
      <c r="A224" s="59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</row>
    <row r="225" ht="21" customHeight="1" s="673">
      <c r="A225" s="59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</row>
    <row r="226" ht="21" customHeight="1" s="673">
      <c r="A226" s="59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</row>
    <row r="227" ht="21" customHeight="1" s="673">
      <c r="A227" s="597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</row>
    <row r="228" ht="21" customHeight="1" s="673">
      <c r="A228" s="59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</row>
    <row r="229" ht="21" customHeight="1" s="673">
      <c r="A229" s="59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</row>
    <row r="230" ht="21" customHeight="1" s="673">
      <c r="A230" s="59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</row>
    <row r="231" ht="21" customHeight="1" s="673">
      <c r="A231" s="59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  <c r="Z231" s="67" t="n"/>
    </row>
    <row r="232" ht="21" customHeight="1" s="673">
      <c r="A232" s="59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  <c r="Z232" s="67" t="n"/>
    </row>
    <row r="233" ht="21" customHeight="1" s="673">
      <c r="A233" s="59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</row>
    <row r="234" ht="21" customHeight="1" s="673">
      <c r="A234" s="59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</row>
    <row r="235" ht="21" customHeight="1" s="673">
      <c r="A235" s="59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</row>
    <row r="236" ht="21" customHeight="1" s="673">
      <c r="A236" s="59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</row>
    <row r="237" ht="21" customHeight="1" s="673">
      <c r="A237" s="59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</row>
    <row r="238" ht="21" customHeight="1" s="673">
      <c r="A238" s="59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</row>
    <row r="239" ht="21" customHeight="1" s="673">
      <c r="A239" s="59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</row>
    <row r="240" ht="21" customHeight="1" s="673">
      <c r="A240" s="59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</row>
    <row r="241" ht="21" customHeight="1" s="673">
      <c r="A241" s="59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</row>
    <row r="242" ht="21" customHeight="1" s="673">
      <c r="A242" s="59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</row>
    <row r="243" ht="15.75" customHeight="1" s="673">
      <c r="A243" s="52" t="n"/>
      <c r="B243" s="52" t="n"/>
      <c r="C243" s="52" t="n"/>
      <c r="D243" s="52" t="n"/>
      <c r="E243" s="52" t="n"/>
      <c r="F243" s="52" t="n"/>
      <c r="G243" s="52" t="n"/>
      <c r="H243" s="52" t="n"/>
      <c r="I243" s="52" t="n"/>
      <c r="J243" s="52" t="n"/>
      <c r="K243" s="52" t="n"/>
      <c r="L243" s="52" t="n"/>
      <c r="M243" s="52" t="n"/>
      <c r="N243" s="52" t="n"/>
      <c r="O243" s="52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2" t="n"/>
    </row>
    <row r="244" ht="15.75" customHeight="1" s="673">
      <c r="A244" s="52" t="n"/>
      <c r="B244" s="52" t="n"/>
      <c r="C244" s="52" t="n"/>
      <c r="D244" s="52" t="n"/>
      <c r="E244" s="52" t="n"/>
      <c r="F244" s="52" t="n"/>
      <c r="G244" s="52" t="n"/>
      <c r="H244" s="52" t="n"/>
      <c r="I244" s="52" t="n"/>
      <c r="J244" s="52" t="n"/>
      <c r="K244" s="52" t="n"/>
      <c r="L244" s="52" t="n"/>
      <c r="M244" s="52" t="n"/>
      <c r="N244" s="52" t="n"/>
      <c r="O244" s="52" t="n"/>
      <c r="P244" s="52" t="n"/>
      <c r="Q244" s="52" t="n"/>
      <c r="R244" s="52" t="n"/>
      <c r="S244" s="52" t="n"/>
      <c r="T244" s="52" t="n"/>
      <c r="U244" s="52" t="n"/>
      <c r="V244" s="52" t="n"/>
      <c r="W244" s="52" t="n"/>
      <c r="X244" s="52" t="n"/>
      <c r="Y244" s="52" t="n"/>
      <c r="Z244" s="52" t="n"/>
    </row>
    <row r="245" ht="15.75" customHeight="1" s="673">
      <c r="A245" s="52" t="n"/>
      <c r="B245" s="52" t="n"/>
      <c r="C245" s="52" t="n"/>
      <c r="D245" s="52" t="n"/>
      <c r="E245" s="52" t="n"/>
      <c r="F245" s="52" t="n"/>
      <c r="G245" s="52" t="n"/>
      <c r="H245" s="52" t="n"/>
      <c r="I245" s="52" t="n"/>
      <c r="J245" s="52" t="n"/>
      <c r="K245" s="52" t="n"/>
      <c r="L245" s="52" t="n"/>
      <c r="M245" s="52" t="n"/>
      <c r="N245" s="52" t="n"/>
      <c r="O245" s="52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2" t="n"/>
    </row>
    <row r="246" ht="15.75" customHeight="1" s="673">
      <c r="A246" s="52" t="n"/>
      <c r="B246" s="52" t="n"/>
      <c r="C246" s="52" t="n"/>
      <c r="D246" s="52" t="n"/>
      <c r="E246" s="52" t="n"/>
      <c r="F246" s="52" t="n"/>
      <c r="G246" s="52" t="n"/>
      <c r="H246" s="52" t="n"/>
      <c r="I246" s="52" t="n"/>
      <c r="J246" s="52" t="n"/>
      <c r="K246" s="52" t="n"/>
      <c r="L246" s="52" t="n"/>
      <c r="M246" s="52" t="n"/>
      <c r="N246" s="52" t="n"/>
      <c r="O246" s="52" t="n"/>
      <c r="P246" s="52" t="n"/>
      <c r="Q246" s="52" t="n"/>
      <c r="R246" s="52" t="n"/>
      <c r="S246" s="52" t="n"/>
      <c r="T246" s="52" t="n"/>
      <c r="U246" s="52" t="n"/>
      <c r="V246" s="52" t="n"/>
      <c r="W246" s="52" t="n"/>
      <c r="X246" s="52" t="n"/>
      <c r="Y246" s="52" t="n"/>
      <c r="Z246" s="52" t="n"/>
    </row>
    <row r="247" ht="15.75" customHeight="1" s="673">
      <c r="A247" s="52" t="n"/>
      <c r="B247" s="52" t="n"/>
      <c r="C247" s="52" t="n"/>
      <c r="D247" s="52" t="n"/>
      <c r="E247" s="52" t="n"/>
      <c r="F247" s="52" t="n"/>
      <c r="G247" s="52" t="n"/>
      <c r="H247" s="52" t="n"/>
      <c r="I247" s="52" t="n"/>
      <c r="J247" s="52" t="n"/>
      <c r="K247" s="52" t="n"/>
      <c r="L247" s="52" t="n"/>
      <c r="M247" s="52" t="n"/>
      <c r="N247" s="52" t="n"/>
      <c r="O247" s="52" t="n"/>
      <c r="P247" s="52" t="n"/>
      <c r="Q247" s="52" t="n"/>
      <c r="R247" s="52" t="n"/>
      <c r="S247" s="52" t="n"/>
      <c r="T247" s="52" t="n"/>
      <c r="U247" s="52" t="n"/>
      <c r="V247" s="52" t="n"/>
      <c r="W247" s="52" t="n"/>
      <c r="X247" s="52" t="n"/>
      <c r="Y247" s="52" t="n"/>
      <c r="Z247" s="52" t="n"/>
    </row>
    <row r="248" ht="15.75" customHeight="1" s="673">
      <c r="A248" s="52" t="n"/>
      <c r="B248" s="52" t="n"/>
      <c r="C248" s="52" t="n"/>
      <c r="D248" s="52" t="n"/>
      <c r="E248" s="52" t="n"/>
      <c r="F248" s="52" t="n"/>
      <c r="G248" s="52" t="n"/>
      <c r="H248" s="52" t="n"/>
      <c r="I248" s="52" t="n"/>
      <c r="J248" s="52" t="n"/>
      <c r="K248" s="52" t="n"/>
      <c r="L248" s="52" t="n"/>
      <c r="M248" s="52" t="n"/>
      <c r="N248" s="52" t="n"/>
      <c r="O248" s="52" t="n"/>
      <c r="P248" s="52" t="n"/>
      <c r="Q248" s="52" t="n"/>
      <c r="R248" s="52" t="n"/>
      <c r="S248" s="52" t="n"/>
      <c r="T248" s="52" t="n"/>
      <c r="U248" s="52" t="n"/>
      <c r="V248" s="52" t="n"/>
      <c r="W248" s="52" t="n"/>
      <c r="X248" s="52" t="n"/>
      <c r="Y248" s="52" t="n"/>
      <c r="Z248" s="52" t="n"/>
    </row>
    <row r="249" ht="15.75" customHeight="1" s="673">
      <c r="A249" s="52" t="n"/>
      <c r="B249" s="52" t="n"/>
      <c r="C249" s="52" t="n"/>
      <c r="D249" s="52" t="n"/>
      <c r="E249" s="52" t="n"/>
      <c r="F249" s="52" t="n"/>
      <c r="G249" s="52" t="n"/>
      <c r="H249" s="52" t="n"/>
      <c r="I249" s="52" t="n"/>
      <c r="J249" s="52" t="n"/>
      <c r="K249" s="52" t="n"/>
      <c r="L249" s="52" t="n"/>
      <c r="M249" s="52" t="n"/>
      <c r="N249" s="52" t="n"/>
      <c r="O249" s="52" t="n"/>
      <c r="P249" s="52" t="n"/>
      <c r="Q249" s="52" t="n"/>
      <c r="R249" s="52" t="n"/>
      <c r="S249" s="52" t="n"/>
      <c r="T249" s="52" t="n"/>
      <c r="U249" s="52" t="n"/>
      <c r="V249" s="52" t="n"/>
      <c r="W249" s="52" t="n"/>
      <c r="X249" s="52" t="n"/>
      <c r="Y249" s="52" t="n"/>
      <c r="Z249" s="52" t="n"/>
    </row>
    <row r="250" ht="15.75" customHeight="1" s="673">
      <c r="A250" s="52" t="n"/>
      <c r="B250" s="52" t="n"/>
      <c r="C250" s="52" t="n"/>
      <c r="D250" s="52" t="n"/>
      <c r="E250" s="52" t="n"/>
      <c r="F250" s="52" t="n"/>
      <c r="G250" s="52" t="n"/>
      <c r="H250" s="52" t="n"/>
      <c r="I250" s="52" t="n"/>
      <c r="J250" s="52" t="n"/>
      <c r="K250" s="52" t="n"/>
      <c r="L250" s="52" t="n"/>
      <c r="M250" s="52" t="n"/>
      <c r="N250" s="52" t="n"/>
      <c r="O250" s="52" t="n"/>
      <c r="P250" s="52" t="n"/>
      <c r="Q250" s="52" t="n"/>
      <c r="R250" s="52" t="n"/>
      <c r="S250" s="52" t="n"/>
      <c r="T250" s="52" t="n"/>
      <c r="U250" s="52" t="n"/>
      <c r="V250" s="52" t="n"/>
      <c r="W250" s="52" t="n"/>
      <c r="X250" s="52" t="n"/>
      <c r="Y250" s="52" t="n"/>
      <c r="Z250" s="52" t="n"/>
    </row>
    <row r="251" ht="15.75" customHeight="1" s="673">
      <c r="A251" s="52" t="n"/>
      <c r="B251" s="52" t="n"/>
      <c r="C251" s="52" t="n"/>
      <c r="D251" s="52" t="n"/>
      <c r="E251" s="52" t="n"/>
      <c r="F251" s="52" t="n"/>
      <c r="G251" s="52" t="n"/>
      <c r="H251" s="52" t="n"/>
      <c r="I251" s="52" t="n"/>
      <c r="J251" s="52" t="n"/>
      <c r="K251" s="52" t="n"/>
      <c r="L251" s="52" t="n"/>
      <c r="M251" s="52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  <c r="X251" s="52" t="n"/>
      <c r="Y251" s="52" t="n"/>
      <c r="Z251" s="52" t="n"/>
    </row>
    <row r="252" ht="15.75" customHeight="1" s="673">
      <c r="A252" s="52" t="n"/>
      <c r="B252" s="52" t="n"/>
      <c r="C252" s="52" t="n"/>
      <c r="D252" s="52" t="n"/>
      <c r="E252" s="52" t="n"/>
      <c r="F252" s="52" t="n"/>
      <c r="G252" s="52" t="n"/>
      <c r="H252" s="52" t="n"/>
      <c r="I252" s="52" t="n"/>
      <c r="J252" s="52" t="n"/>
      <c r="K252" s="52" t="n"/>
      <c r="L252" s="52" t="n"/>
      <c r="M252" s="52" t="n"/>
      <c r="N252" s="52" t="n"/>
      <c r="O252" s="52" t="n"/>
      <c r="P252" s="52" t="n"/>
      <c r="Q252" s="52" t="n"/>
      <c r="R252" s="52" t="n"/>
      <c r="S252" s="52" t="n"/>
      <c r="T252" s="52" t="n"/>
      <c r="U252" s="52" t="n"/>
      <c r="V252" s="52" t="n"/>
      <c r="W252" s="52" t="n"/>
      <c r="X252" s="52" t="n"/>
      <c r="Y252" s="52" t="n"/>
      <c r="Z252" s="52" t="n"/>
    </row>
    <row r="253" ht="15.75" customHeight="1" s="673">
      <c r="A253" s="52" t="n"/>
      <c r="B253" s="52" t="n"/>
      <c r="C253" s="52" t="n"/>
      <c r="D253" s="52" t="n"/>
      <c r="E253" s="52" t="n"/>
      <c r="F253" s="52" t="n"/>
      <c r="G253" s="52" t="n"/>
      <c r="H253" s="52" t="n"/>
      <c r="I253" s="52" t="n"/>
      <c r="J253" s="52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  <c r="X253" s="52" t="n"/>
      <c r="Y253" s="52" t="n"/>
      <c r="Z253" s="52" t="n"/>
    </row>
    <row r="254" ht="15.75" customHeight="1" s="673">
      <c r="A254" s="52" t="n"/>
      <c r="B254" s="52" t="n"/>
      <c r="C254" s="52" t="n"/>
      <c r="D254" s="52" t="n"/>
      <c r="E254" s="52" t="n"/>
      <c r="F254" s="52" t="n"/>
      <c r="G254" s="52" t="n"/>
      <c r="H254" s="52" t="n"/>
      <c r="I254" s="52" t="n"/>
      <c r="J254" s="52" t="n"/>
      <c r="K254" s="52" t="n"/>
      <c r="L254" s="52" t="n"/>
      <c r="M254" s="52" t="n"/>
      <c r="N254" s="52" t="n"/>
      <c r="O254" s="52" t="n"/>
      <c r="P254" s="52" t="n"/>
      <c r="Q254" s="52" t="n"/>
      <c r="R254" s="52" t="n"/>
      <c r="S254" s="52" t="n"/>
      <c r="T254" s="52" t="n"/>
      <c r="U254" s="52" t="n"/>
      <c r="V254" s="52" t="n"/>
      <c r="W254" s="52" t="n"/>
      <c r="X254" s="52" t="n"/>
      <c r="Y254" s="52" t="n"/>
      <c r="Z254" s="52" t="n"/>
    </row>
    <row r="255" ht="15.75" customHeight="1" s="673">
      <c r="A255" s="52" t="n"/>
      <c r="B255" s="52" t="n"/>
      <c r="C255" s="52" t="n"/>
      <c r="D255" s="52" t="n"/>
      <c r="E255" s="52" t="n"/>
      <c r="F255" s="52" t="n"/>
      <c r="G255" s="52" t="n"/>
      <c r="H255" s="52" t="n"/>
      <c r="I255" s="52" t="n"/>
      <c r="J255" s="52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52" t="n"/>
      <c r="T255" s="52" t="n"/>
      <c r="U255" s="52" t="n"/>
      <c r="V255" s="52" t="n"/>
      <c r="W255" s="52" t="n"/>
      <c r="X255" s="52" t="n"/>
      <c r="Y255" s="52" t="n"/>
      <c r="Z255" s="52" t="n"/>
    </row>
    <row r="256" ht="15.75" customHeight="1" s="673">
      <c r="A256" s="52" t="n"/>
      <c r="B256" s="52" t="n"/>
      <c r="C256" s="52" t="n"/>
      <c r="D256" s="52" t="n"/>
      <c r="E256" s="52" t="n"/>
      <c r="F256" s="52" t="n"/>
      <c r="G256" s="52" t="n"/>
      <c r="H256" s="52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  <c r="X256" s="52" t="n"/>
      <c r="Y256" s="52" t="n"/>
      <c r="Z256" s="52" t="n"/>
    </row>
    <row r="257" ht="15.75" customHeight="1" s="673">
      <c r="A257" s="52" t="n"/>
      <c r="B257" s="52" t="n"/>
      <c r="C257" s="52" t="n"/>
      <c r="D257" s="52" t="n"/>
      <c r="E257" s="52" t="n"/>
      <c r="F257" s="52" t="n"/>
      <c r="G257" s="52" t="n"/>
      <c r="H257" s="52" t="n"/>
      <c r="I257" s="52" t="n"/>
      <c r="J257" s="52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  <c r="X257" s="52" t="n"/>
      <c r="Y257" s="52" t="n"/>
      <c r="Z257" s="52" t="n"/>
    </row>
    <row r="258" ht="15.75" customHeight="1" s="673">
      <c r="A258" s="52" t="n"/>
      <c r="B258" s="52" t="n"/>
      <c r="C258" s="52" t="n"/>
      <c r="D258" s="52" t="n"/>
      <c r="E258" s="52" t="n"/>
      <c r="F258" s="52" t="n"/>
      <c r="G258" s="52" t="n"/>
      <c r="H258" s="52" t="n"/>
      <c r="I258" s="52" t="n"/>
      <c r="J258" s="52" t="n"/>
      <c r="K258" s="52" t="n"/>
      <c r="L258" s="52" t="n"/>
      <c r="M258" s="52" t="n"/>
      <c r="N258" s="52" t="n"/>
      <c r="O258" s="52" t="n"/>
      <c r="P258" s="52" t="n"/>
      <c r="Q258" s="52" t="n"/>
      <c r="R258" s="52" t="n"/>
      <c r="S258" s="52" t="n"/>
      <c r="T258" s="52" t="n"/>
      <c r="U258" s="52" t="n"/>
      <c r="V258" s="52" t="n"/>
      <c r="W258" s="52" t="n"/>
      <c r="X258" s="52" t="n"/>
      <c r="Y258" s="52" t="n"/>
      <c r="Z258" s="52" t="n"/>
    </row>
    <row r="259" ht="15.75" customHeight="1" s="673">
      <c r="A259" s="52" t="n"/>
      <c r="B259" s="52" t="n"/>
      <c r="C259" s="52" t="n"/>
      <c r="D259" s="52" t="n"/>
      <c r="E259" s="52" t="n"/>
      <c r="F259" s="52" t="n"/>
      <c r="G259" s="52" t="n"/>
      <c r="H259" s="52" t="n"/>
      <c r="I259" s="52" t="n"/>
      <c r="J259" s="52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  <c r="X259" s="52" t="n"/>
      <c r="Y259" s="52" t="n"/>
      <c r="Z259" s="52" t="n"/>
    </row>
    <row r="260" ht="15.75" customHeight="1" s="673">
      <c r="A260" s="52" t="n"/>
      <c r="B260" s="52" t="n"/>
      <c r="C260" s="52" t="n"/>
      <c r="D260" s="52" t="n"/>
      <c r="E260" s="52" t="n"/>
      <c r="F260" s="52" t="n"/>
      <c r="G260" s="52" t="n"/>
      <c r="H260" s="52" t="n"/>
      <c r="I260" s="52" t="n"/>
      <c r="J260" s="52" t="n"/>
      <c r="K260" s="52" t="n"/>
      <c r="L260" s="52" t="n"/>
      <c r="M260" s="52" t="n"/>
      <c r="N260" s="52" t="n"/>
      <c r="O260" s="52" t="n"/>
      <c r="P260" s="52" t="n"/>
      <c r="Q260" s="52" t="n"/>
      <c r="R260" s="52" t="n"/>
      <c r="S260" s="52" t="n"/>
      <c r="T260" s="52" t="n"/>
      <c r="U260" s="52" t="n"/>
      <c r="V260" s="52" t="n"/>
      <c r="W260" s="52" t="n"/>
      <c r="X260" s="52" t="n"/>
      <c r="Y260" s="52" t="n"/>
      <c r="Z260" s="52" t="n"/>
    </row>
    <row r="261" ht="15.75" customHeight="1" s="673">
      <c r="A261" s="52" t="n"/>
      <c r="B261" s="52" t="n"/>
      <c r="C261" s="52" t="n"/>
      <c r="D261" s="52" t="n"/>
      <c r="E261" s="52" t="n"/>
      <c r="F261" s="52" t="n"/>
      <c r="G261" s="52" t="n"/>
      <c r="H261" s="52" t="n"/>
      <c r="I261" s="52" t="n"/>
      <c r="J261" s="52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  <c r="X261" s="52" t="n"/>
      <c r="Y261" s="52" t="n"/>
      <c r="Z261" s="52" t="n"/>
    </row>
    <row r="262" ht="15.75" customHeight="1" s="673">
      <c r="A262" s="52" t="n"/>
      <c r="B262" s="52" t="n"/>
      <c r="C262" s="52" t="n"/>
      <c r="D262" s="52" t="n"/>
      <c r="E262" s="52" t="n"/>
      <c r="F262" s="52" t="n"/>
      <c r="G262" s="52" t="n"/>
      <c r="H262" s="52" t="n"/>
      <c r="I262" s="52" t="n"/>
      <c r="J262" s="52" t="n"/>
      <c r="K262" s="52" t="n"/>
      <c r="L262" s="52" t="n"/>
      <c r="M262" s="52" t="n"/>
      <c r="N262" s="52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  <c r="X262" s="52" t="n"/>
      <c r="Y262" s="52" t="n"/>
      <c r="Z262" s="52" t="n"/>
    </row>
    <row r="263" ht="15.75" customHeight="1" s="673">
      <c r="A263" s="52" t="n"/>
      <c r="B263" s="52" t="n"/>
      <c r="C263" s="52" t="n"/>
      <c r="D263" s="52" t="n"/>
      <c r="E263" s="52" t="n"/>
      <c r="F263" s="52" t="n"/>
      <c r="G263" s="52" t="n"/>
      <c r="H263" s="52" t="n"/>
      <c r="I263" s="52" t="n"/>
      <c r="J263" s="52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  <c r="X263" s="52" t="n"/>
      <c r="Y263" s="52" t="n"/>
      <c r="Z263" s="52" t="n"/>
    </row>
    <row r="264" ht="15.75" customHeight="1" s="673">
      <c r="A264" s="52" t="n"/>
      <c r="B264" s="52" t="n"/>
      <c r="C264" s="52" t="n"/>
      <c r="D264" s="52" t="n"/>
      <c r="E264" s="52" t="n"/>
      <c r="F264" s="52" t="n"/>
      <c r="G264" s="52" t="n"/>
      <c r="H264" s="52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  <c r="X264" s="52" t="n"/>
      <c r="Y264" s="52" t="n"/>
      <c r="Z264" s="52" t="n"/>
    </row>
    <row r="265" ht="15.75" customHeight="1" s="673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  <c r="Z265" s="52" t="n"/>
    </row>
    <row r="266" ht="15.75" customHeight="1" s="673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</row>
    <row r="267" ht="15.75" customHeight="1" s="673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</row>
    <row r="268" ht="15.75" customHeight="1" s="673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</row>
    <row r="269" ht="15.75" customHeight="1" s="673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printOptions horizontalCentered="1" verticalCentered="1"/>
  <pageMargins left="0.3149606299212598" right="0.3149606299212598" top="0.5905511811023623" bottom="0.5905511811023623" header="0" footer="0"/>
  <pageSetup orientation="portrait" paperSize="9"/>
</worksheet>
</file>

<file path=xl/worksheets/sheet19.xml><?xml version="1.0" encoding="utf-8"?>
<worksheet xmlns="http://schemas.openxmlformats.org/spreadsheetml/2006/main">
  <sheetPr>
    <tabColor rgb="FFFF9999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75" customWidth="1" style="673" min="1" max="1"/>
    <col width="37.75" customWidth="1" style="673" min="2" max="2"/>
    <col width="21.38" customWidth="1" style="673" min="3" max="3"/>
    <col width="20.75" customWidth="1" style="673" min="4" max="15"/>
    <col width="8.75" customWidth="1" style="673" min="16" max="26"/>
  </cols>
  <sheetData>
    <row r="1" ht="34.5" customHeight="1" s="673">
      <c r="A1" s="15" t="n"/>
      <c r="B1" s="501" t="inlineStr">
        <is>
          <t>RECEITAS E DESPESAS À LANÇAR DIRPF</t>
        </is>
      </c>
      <c r="C1" s="610" t="n"/>
      <c r="D1" s="610" t="n"/>
      <c r="E1" s="610" t="n"/>
      <c r="F1" s="610" t="n"/>
      <c r="G1" s="610" t="n"/>
      <c r="H1" s="610" t="n"/>
      <c r="I1" s="610" t="n"/>
      <c r="J1" s="610" t="n"/>
      <c r="K1" s="610" t="n"/>
      <c r="L1" s="610" t="n"/>
      <c r="M1" s="610" t="n"/>
      <c r="N1" s="610" t="n"/>
      <c r="O1" s="611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</row>
    <row r="2" ht="34.5" customHeight="1" s="673">
      <c r="A2" s="15" t="n"/>
      <c r="B2" s="612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</row>
    <row r="3" ht="34.5" customHeight="1" s="673">
      <c r="A3" s="15" t="n"/>
      <c r="B3" s="612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 ht="24.75" customHeight="1" s="673">
      <c r="A4" s="15" t="n">
        <v>1</v>
      </c>
      <c r="B4" s="613">
        <f>RESULTADO!B28</f>
        <v/>
      </c>
      <c r="C4" s="614" t="n"/>
      <c r="D4" s="615" t="n"/>
      <c r="E4" s="616" t="n"/>
      <c r="F4" s="616" t="n"/>
      <c r="G4" s="616" t="n"/>
      <c r="H4" s="616" t="n"/>
      <c r="I4" s="616" t="n"/>
      <c r="J4" s="616" t="n"/>
      <c r="K4" s="616" t="n"/>
      <c r="L4" s="616" t="n"/>
      <c r="M4" s="616" t="n"/>
      <c r="N4" s="616" t="n"/>
      <c r="O4" s="616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 ht="24.75" customHeight="1" s="673">
      <c r="A5" s="15" t="n"/>
      <c r="B5" s="617" t="n"/>
      <c r="C5" s="618" t="n"/>
      <c r="D5" s="619" t="n"/>
      <c r="E5" s="616" t="n"/>
      <c r="F5" s="616" t="n"/>
      <c r="G5" s="616" t="n"/>
      <c r="H5" s="616" t="n"/>
      <c r="I5" s="616" t="n"/>
      <c r="J5" s="616" t="n"/>
      <c r="K5" s="616" t="n"/>
      <c r="L5" s="616" t="n"/>
      <c r="M5" s="616" t="n"/>
      <c r="N5" s="616" t="n"/>
      <c r="O5" s="616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 ht="24.75" customHeight="1" s="673">
      <c r="A6" s="15" t="n"/>
      <c r="B6" s="620">
        <f>RECEITAS!I12</f>
        <v/>
      </c>
      <c r="C6" s="621" t="inlineStr">
        <is>
          <t>JANEIRO</t>
        </is>
      </c>
      <c r="D6" s="621" t="inlineStr">
        <is>
          <t>FEVEREIRO</t>
        </is>
      </c>
      <c r="E6" s="621" t="inlineStr">
        <is>
          <t>MARÇO</t>
        </is>
      </c>
      <c r="F6" s="621" t="inlineStr">
        <is>
          <t>ABRIL</t>
        </is>
      </c>
      <c r="G6" s="621" t="inlineStr">
        <is>
          <t>MAIO</t>
        </is>
      </c>
      <c r="H6" s="621" t="inlineStr">
        <is>
          <t>JUNHO</t>
        </is>
      </c>
      <c r="I6" s="621" t="inlineStr">
        <is>
          <t>JULHO</t>
        </is>
      </c>
      <c r="J6" s="621" t="inlineStr">
        <is>
          <t>AGOSTO</t>
        </is>
      </c>
      <c r="K6" s="621" t="inlineStr">
        <is>
          <t>SETEMBRO</t>
        </is>
      </c>
      <c r="L6" s="621" t="inlineStr">
        <is>
          <t>OUTUBRO</t>
        </is>
      </c>
      <c r="M6" s="621" t="inlineStr">
        <is>
          <t>NOVEMBRO</t>
        </is>
      </c>
      <c r="N6" s="621" t="inlineStr">
        <is>
          <t>DEZEMBRO</t>
        </is>
      </c>
      <c r="O6" s="622" t="inlineStr">
        <is>
          <t>TOTAL</t>
        </is>
      </c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 ht="24.75" customHeight="1" s="673">
      <c r="A7" s="15" t="n"/>
      <c r="B7" s="623" t="inlineStr">
        <is>
          <t>RECEITA</t>
        </is>
      </c>
      <c r="C7" s="624">
        <f>PARCERIA!C16+'REC. NAO RURAIS'!C12</f>
        <v/>
      </c>
      <c r="D7" s="624">
        <f>PARCERIA!D16+'REC. NAO RURAIS'!D12</f>
        <v/>
      </c>
      <c r="E7" s="624">
        <f>PARCERIA!E16+'REC. NAO RURAIS'!E12</f>
        <v/>
      </c>
      <c r="F7" s="624">
        <f>PARCERIA!F16+'REC. NAO RURAIS'!F12</f>
        <v/>
      </c>
      <c r="G7" s="624">
        <f>PARCERIA!G16+'REC. NAO RURAIS'!G12</f>
        <v/>
      </c>
      <c r="H7" s="624">
        <f>PARCERIA!H16+'REC. NAO RURAIS'!H12</f>
        <v/>
      </c>
      <c r="I7" s="624">
        <f>PARCERIA!I16+'REC. NAO RURAIS'!I12</f>
        <v/>
      </c>
      <c r="J7" s="624">
        <f>PARCERIA!J16+'REC. NAO RURAIS'!J12</f>
        <v/>
      </c>
      <c r="K7" s="624">
        <f>PARCERIA!K16+'REC. NAO RURAIS'!K12</f>
        <v/>
      </c>
      <c r="L7" s="624">
        <f>PARCERIA!L16+'REC. NAO RURAIS'!L12</f>
        <v/>
      </c>
      <c r="M7" s="624">
        <f>PARCERIA!M16+'REC. NAO RURAIS'!M12</f>
        <v/>
      </c>
      <c r="N7" s="624">
        <f>PARCERIA!N16+'REC. NAO RURAIS'!N12</f>
        <v/>
      </c>
      <c r="O7" s="625">
        <f>SUM(C7:N7)</f>
        <v/>
      </c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 ht="24.75" customHeight="1" s="673">
      <c r="A8" s="15" t="n"/>
      <c r="B8" s="626" t="inlineStr">
        <is>
          <t>DESPESAS</t>
        </is>
      </c>
      <c r="C8" s="627">
        <f>PARCERIA!C17+'REC. NAO RURAIS'!C13</f>
        <v/>
      </c>
      <c r="D8" s="627">
        <f>PARCERIA!D17+'REC. NAO RURAIS'!D13</f>
        <v/>
      </c>
      <c r="E8" s="627">
        <f>PARCERIA!E17+'REC. NAO RURAIS'!E13</f>
        <v/>
      </c>
      <c r="F8" s="627">
        <f>PARCERIA!F17+'REC. NAO RURAIS'!F13</f>
        <v/>
      </c>
      <c r="G8" s="627">
        <f>PARCERIA!G17+'REC. NAO RURAIS'!G13</f>
        <v/>
      </c>
      <c r="H8" s="627">
        <f>PARCERIA!H17+'REC. NAO RURAIS'!H13</f>
        <v/>
      </c>
      <c r="I8" s="627">
        <f>PARCERIA!I17+'REC. NAO RURAIS'!I13</f>
        <v/>
      </c>
      <c r="J8" s="627">
        <f>PARCERIA!J17+'REC. NAO RURAIS'!J13</f>
        <v/>
      </c>
      <c r="K8" s="627">
        <f>PARCERIA!K17+'REC. NAO RURAIS'!K13</f>
        <v/>
      </c>
      <c r="L8" s="627">
        <f>PARCERIA!L17+'REC. NAO RURAIS'!L13</f>
        <v/>
      </c>
      <c r="M8" s="627">
        <f>PARCERIA!M17+'REC. NAO RURAIS'!M13</f>
        <v/>
      </c>
      <c r="N8" s="627">
        <f>PARCERIA!N17+'REC. NAO RURAIS'!N13</f>
        <v/>
      </c>
      <c r="O8" s="628">
        <f>SUM(C8:N8)</f>
        <v/>
      </c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 ht="24.75" customHeight="1" s="673">
      <c r="A9" s="15" t="n"/>
      <c r="B9" s="629" t="inlineStr">
        <is>
          <t>RESULTADO</t>
        </is>
      </c>
      <c r="C9" s="630">
        <f>C7-C8</f>
        <v/>
      </c>
      <c r="D9" s="630">
        <f>D7-D8</f>
        <v/>
      </c>
      <c r="E9" s="630">
        <f>E7-E8</f>
        <v/>
      </c>
      <c r="F9" s="630">
        <f>F7-F8</f>
        <v/>
      </c>
      <c r="G9" s="630">
        <f>G7-G8</f>
        <v/>
      </c>
      <c r="H9" s="630">
        <f>H7-H8</f>
        <v/>
      </c>
      <c r="I9" s="630">
        <f>I7-I8</f>
        <v/>
      </c>
      <c r="J9" s="630">
        <f>J7-J8</f>
        <v/>
      </c>
      <c r="K9" s="630">
        <f>K7-K8</f>
        <v/>
      </c>
      <c r="L9" s="630">
        <f>L7-L8</f>
        <v/>
      </c>
      <c r="M9" s="630">
        <f>M7-M8</f>
        <v/>
      </c>
      <c r="N9" s="630">
        <f>N7-N8</f>
        <v/>
      </c>
      <c r="O9" s="631">
        <f>SUM(C9:N9)</f>
        <v/>
      </c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 ht="24.75" customHeight="1" s="673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 ht="24.75" customHeight="1" s="673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 ht="24.75" customHeight="1" s="673">
      <c r="A12" s="15">
        <f>A4+1</f>
        <v/>
      </c>
      <c r="B12" s="613">
        <f>RESULTADO!B29</f>
        <v/>
      </c>
      <c r="C12" s="614" t="n"/>
      <c r="D12" s="615" t="n"/>
      <c r="E12" s="616" t="n"/>
      <c r="F12" s="616" t="n"/>
      <c r="G12" s="616" t="n"/>
      <c r="H12" s="616" t="n"/>
      <c r="I12" s="616" t="n"/>
      <c r="J12" s="616" t="n"/>
      <c r="K12" s="616" t="n"/>
      <c r="L12" s="616" t="n"/>
      <c r="M12" s="616" t="n"/>
      <c r="N12" s="616" t="n"/>
      <c r="O12" s="616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 ht="24.75" customHeight="1" s="673">
      <c r="A13" s="15" t="n"/>
      <c r="B13" s="617" t="n"/>
      <c r="C13" s="618" t="n"/>
      <c r="D13" s="619" t="n"/>
      <c r="E13" s="616" t="n"/>
      <c r="F13" s="616" t="n"/>
      <c r="G13" s="616" t="n"/>
      <c r="H13" s="616" t="n"/>
      <c r="I13" s="616" t="n"/>
      <c r="J13" s="616" t="n"/>
      <c r="K13" s="616" t="n"/>
      <c r="L13" s="616" t="n"/>
      <c r="M13" s="616" t="n"/>
      <c r="N13" s="616" t="n"/>
      <c r="O13" s="616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 ht="24.75" customHeight="1" s="673">
      <c r="A14" s="15" t="n"/>
      <c r="B14" s="620">
        <f>B6</f>
        <v/>
      </c>
      <c r="C14" s="621" t="inlineStr">
        <is>
          <t>JANEIRO</t>
        </is>
      </c>
      <c r="D14" s="621" t="inlineStr">
        <is>
          <t>FEVEREIRO</t>
        </is>
      </c>
      <c r="E14" s="621" t="inlineStr">
        <is>
          <t>MARÇO</t>
        </is>
      </c>
      <c r="F14" s="621" t="inlineStr">
        <is>
          <t>ABRIL</t>
        </is>
      </c>
      <c r="G14" s="621" t="inlineStr">
        <is>
          <t>MAIO</t>
        </is>
      </c>
      <c r="H14" s="621" t="inlineStr">
        <is>
          <t>JUNHO</t>
        </is>
      </c>
      <c r="I14" s="621" t="inlineStr">
        <is>
          <t>JULHO</t>
        </is>
      </c>
      <c r="J14" s="621" t="inlineStr">
        <is>
          <t>AGOSTO</t>
        </is>
      </c>
      <c r="K14" s="621" t="inlineStr">
        <is>
          <t>SETEMBRO</t>
        </is>
      </c>
      <c r="L14" s="621" t="inlineStr">
        <is>
          <t>OUTUBRO</t>
        </is>
      </c>
      <c r="M14" s="621" t="inlineStr">
        <is>
          <t>NOVEMBRO</t>
        </is>
      </c>
      <c r="N14" s="621" t="inlineStr">
        <is>
          <t>DEZEMBRO</t>
        </is>
      </c>
      <c r="O14" s="622" t="inlineStr">
        <is>
          <t>TOTAL</t>
        </is>
      </c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 ht="24.75" customHeight="1" s="673">
      <c r="A15" s="15" t="n"/>
      <c r="B15" s="623" t="inlineStr">
        <is>
          <t>RECEITA</t>
        </is>
      </c>
      <c r="C15" s="624">
        <f>PARCERIA!C24+'REC. NAO RURAIS'!C25</f>
        <v/>
      </c>
      <c r="D15" s="624">
        <f>PARCERIA!D24+'REC. NAO RURAIS'!D25</f>
        <v/>
      </c>
      <c r="E15" s="624">
        <f>PARCERIA!E24+'REC. NAO RURAIS'!E25</f>
        <v/>
      </c>
      <c r="F15" s="624">
        <f>PARCERIA!F24+'REC. NAO RURAIS'!F25</f>
        <v/>
      </c>
      <c r="G15" s="624">
        <f>PARCERIA!G24+'REC. NAO RURAIS'!G25</f>
        <v/>
      </c>
      <c r="H15" s="624">
        <f>PARCERIA!H24+'REC. NAO RURAIS'!H25</f>
        <v/>
      </c>
      <c r="I15" s="624">
        <f>PARCERIA!I24+'REC. NAO RURAIS'!I25</f>
        <v/>
      </c>
      <c r="J15" s="624">
        <f>PARCERIA!J24+'REC. NAO RURAIS'!J25</f>
        <v/>
      </c>
      <c r="K15" s="624">
        <f>PARCERIA!K24+'REC. NAO RURAIS'!K25</f>
        <v/>
      </c>
      <c r="L15" s="624">
        <f>PARCERIA!L24+'REC. NAO RURAIS'!L25</f>
        <v/>
      </c>
      <c r="M15" s="624">
        <f>PARCERIA!M24+'REC. NAO RURAIS'!M25</f>
        <v/>
      </c>
      <c r="N15" s="624">
        <f>PARCERIA!N24+'REC. NAO RURAIS'!N25</f>
        <v/>
      </c>
      <c r="O15" s="625">
        <f>SUM(C15:N15)</f>
        <v/>
      </c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24.75" customHeight="1" s="673">
      <c r="A16" s="15" t="n"/>
      <c r="B16" s="626" t="inlineStr">
        <is>
          <t>DESPESAS</t>
        </is>
      </c>
      <c r="C16" s="627">
        <f>PARCERIA!C25+'REC. NAO RURAIS'!C26</f>
        <v/>
      </c>
      <c r="D16" s="627">
        <f>PARCERIA!D25+'REC. NAO RURAIS'!D26</f>
        <v/>
      </c>
      <c r="E16" s="627">
        <f>PARCERIA!E25+'REC. NAO RURAIS'!E26</f>
        <v/>
      </c>
      <c r="F16" s="627">
        <f>PARCERIA!F25+'REC. NAO RURAIS'!F26</f>
        <v/>
      </c>
      <c r="G16" s="627">
        <f>PARCERIA!G25+'REC. NAO RURAIS'!G26</f>
        <v/>
      </c>
      <c r="H16" s="627">
        <f>PARCERIA!H25+'REC. NAO RURAIS'!H26</f>
        <v/>
      </c>
      <c r="I16" s="627">
        <f>PARCERIA!I25+'REC. NAO RURAIS'!I26</f>
        <v/>
      </c>
      <c r="J16" s="627">
        <f>PARCERIA!J25+'REC. NAO RURAIS'!J26</f>
        <v/>
      </c>
      <c r="K16" s="627">
        <f>PARCERIA!K25+'REC. NAO RURAIS'!K26</f>
        <v/>
      </c>
      <c r="L16" s="627">
        <f>PARCERIA!L25+'REC. NAO RURAIS'!L26</f>
        <v/>
      </c>
      <c r="M16" s="627">
        <f>PARCERIA!M25+'REC. NAO RURAIS'!M26</f>
        <v/>
      </c>
      <c r="N16" s="627">
        <f>PARCERIA!N25+'REC. NAO RURAIS'!N26</f>
        <v/>
      </c>
      <c r="O16" s="628">
        <f>SUM(C16:N16)</f>
        <v/>
      </c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 ht="24.75" customHeight="1" s="673">
      <c r="A17" s="15" t="n"/>
      <c r="B17" s="629" t="inlineStr">
        <is>
          <t>RESULTADO</t>
        </is>
      </c>
      <c r="C17" s="630">
        <f>C15-C16</f>
        <v/>
      </c>
      <c r="D17" s="630">
        <f>D15-D16</f>
        <v/>
      </c>
      <c r="E17" s="630">
        <f>E15-E16</f>
        <v/>
      </c>
      <c r="F17" s="630">
        <f>F15-F16</f>
        <v/>
      </c>
      <c r="G17" s="630">
        <f>G15-G16</f>
        <v/>
      </c>
      <c r="H17" s="630">
        <f>H15-H16</f>
        <v/>
      </c>
      <c r="I17" s="630">
        <f>I15-I16</f>
        <v/>
      </c>
      <c r="J17" s="630">
        <f>J15-J16</f>
        <v/>
      </c>
      <c r="K17" s="630">
        <f>K15-K16</f>
        <v/>
      </c>
      <c r="L17" s="630">
        <f>L15-L16</f>
        <v/>
      </c>
      <c r="M17" s="630">
        <f>M15-M16</f>
        <v/>
      </c>
      <c r="N17" s="630">
        <f>N15-N16</f>
        <v/>
      </c>
      <c r="O17" s="631">
        <f>SUM(C17:N17)</f>
        <v/>
      </c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 ht="24.75" customHeight="1" s="673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 ht="24.75" customHeight="1" s="67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 ht="24.75" customHeight="1" s="673">
      <c r="A20" s="15">
        <f>A12+1</f>
        <v/>
      </c>
      <c r="B20" s="613">
        <f>RESULTADO!B30</f>
        <v/>
      </c>
      <c r="C20" s="614" t="n"/>
      <c r="D20" s="615" t="n"/>
      <c r="E20" s="616" t="n"/>
      <c r="F20" s="616" t="n"/>
      <c r="G20" s="616" t="n"/>
      <c r="H20" s="616" t="n"/>
      <c r="I20" s="616" t="n"/>
      <c r="J20" s="616" t="n"/>
      <c r="K20" s="616" t="n"/>
      <c r="L20" s="616" t="n"/>
      <c r="M20" s="616" t="n"/>
      <c r="N20" s="616" t="n"/>
      <c r="O20" s="616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 ht="24.75" customHeight="1" s="673">
      <c r="A21" s="15" t="n"/>
      <c r="B21" s="617" t="n"/>
      <c r="C21" s="618" t="n"/>
      <c r="D21" s="619" t="n"/>
      <c r="E21" s="616" t="n"/>
      <c r="F21" s="616" t="n"/>
      <c r="G21" s="616" t="n"/>
      <c r="H21" s="616" t="n"/>
      <c r="I21" s="616" t="n"/>
      <c r="J21" s="616" t="n"/>
      <c r="K21" s="616" t="n"/>
      <c r="L21" s="616" t="n"/>
      <c r="M21" s="616" t="n"/>
      <c r="N21" s="616" t="n"/>
      <c r="O21" s="616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24.75" customHeight="1" s="673">
      <c r="A22" s="15" t="n"/>
      <c r="B22" s="620">
        <f>B14</f>
        <v/>
      </c>
      <c r="C22" s="621" t="inlineStr">
        <is>
          <t>JANEIRO</t>
        </is>
      </c>
      <c r="D22" s="621" t="inlineStr">
        <is>
          <t>FEVEREIRO</t>
        </is>
      </c>
      <c r="E22" s="621" t="inlineStr">
        <is>
          <t>MARÇO</t>
        </is>
      </c>
      <c r="F22" s="621" t="inlineStr">
        <is>
          <t>ABRIL</t>
        </is>
      </c>
      <c r="G22" s="621" t="inlineStr">
        <is>
          <t>MAIO</t>
        </is>
      </c>
      <c r="H22" s="621" t="inlineStr">
        <is>
          <t>JUNHO</t>
        </is>
      </c>
      <c r="I22" s="621" t="inlineStr">
        <is>
          <t>JULHO</t>
        </is>
      </c>
      <c r="J22" s="621" t="inlineStr">
        <is>
          <t>AGOSTO</t>
        </is>
      </c>
      <c r="K22" s="621" t="inlineStr">
        <is>
          <t>SETEMBRO</t>
        </is>
      </c>
      <c r="L22" s="621" t="inlineStr">
        <is>
          <t>OUTUBRO</t>
        </is>
      </c>
      <c r="M22" s="621" t="inlineStr">
        <is>
          <t>NOVEMBRO</t>
        </is>
      </c>
      <c r="N22" s="621" t="inlineStr">
        <is>
          <t>DEZEMBRO</t>
        </is>
      </c>
      <c r="O22" s="622" t="inlineStr">
        <is>
          <t>TOTAL</t>
        </is>
      </c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 ht="24.75" customHeight="1" s="673">
      <c r="A23" s="15" t="n"/>
      <c r="B23" s="623" t="inlineStr">
        <is>
          <t>RECEITA</t>
        </is>
      </c>
      <c r="C23" s="624">
        <f>PARCERIA!C32+'REC. NAO RURAIS'!C32</f>
        <v/>
      </c>
      <c r="D23" s="624">
        <f>PARCERIA!D32+'REC. NAO RURAIS'!D32</f>
        <v/>
      </c>
      <c r="E23" s="624">
        <f>PARCERIA!E32+'REC. NAO RURAIS'!E32</f>
        <v/>
      </c>
      <c r="F23" s="624">
        <f>PARCERIA!F32+'REC. NAO RURAIS'!F32</f>
        <v/>
      </c>
      <c r="G23" s="624">
        <f>PARCERIA!G32+'REC. NAO RURAIS'!G32</f>
        <v/>
      </c>
      <c r="H23" s="624">
        <f>PARCERIA!H32+'REC. NAO RURAIS'!H32</f>
        <v/>
      </c>
      <c r="I23" s="624">
        <f>PARCERIA!I32+'REC. NAO RURAIS'!I32</f>
        <v/>
      </c>
      <c r="J23" s="624">
        <f>PARCERIA!J32+'REC. NAO RURAIS'!J32</f>
        <v/>
      </c>
      <c r="K23" s="624">
        <f>PARCERIA!K32+'REC. NAO RURAIS'!K32</f>
        <v/>
      </c>
      <c r="L23" s="624">
        <f>PARCERIA!L32+'REC. NAO RURAIS'!L32</f>
        <v/>
      </c>
      <c r="M23" s="624">
        <f>PARCERIA!M32+'REC. NAO RURAIS'!M32</f>
        <v/>
      </c>
      <c r="N23" s="624">
        <f>PARCERIA!N32+'REC. NAO RURAIS'!N32</f>
        <v/>
      </c>
      <c r="O23" s="625">
        <f>SUM(C23:N23)</f>
        <v/>
      </c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 ht="24.75" customHeight="1" s="673">
      <c r="A24" s="15" t="n"/>
      <c r="B24" s="626" t="inlineStr">
        <is>
          <t>DESPESAS</t>
        </is>
      </c>
      <c r="C24" s="627">
        <f>PARCERIA!C33+'REC. NAO RURAIS'!C33</f>
        <v/>
      </c>
      <c r="D24" s="627">
        <f>PARCERIA!D33+'REC. NAO RURAIS'!D33</f>
        <v/>
      </c>
      <c r="E24" s="627">
        <f>PARCERIA!E33+'REC. NAO RURAIS'!E33</f>
        <v/>
      </c>
      <c r="F24" s="627">
        <f>PARCERIA!F33+'REC. NAO RURAIS'!F33</f>
        <v/>
      </c>
      <c r="G24" s="627">
        <f>PARCERIA!G33+'REC. NAO RURAIS'!G33</f>
        <v/>
      </c>
      <c r="H24" s="627">
        <f>PARCERIA!H33+'REC. NAO RURAIS'!H33</f>
        <v/>
      </c>
      <c r="I24" s="627">
        <f>PARCERIA!I33+'REC. NAO RURAIS'!I33</f>
        <v/>
      </c>
      <c r="J24" s="627">
        <f>PARCERIA!J33+'REC. NAO RURAIS'!J33</f>
        <v/>
      </c>
      <c r="K24" s="627">
        <f>PARCERIA!K33+'REC. NAO RURAIS'!K33</f>
        <v/>
      </c>
      <c r="L24" s="627">
        <f>PARCERIA!L33+'REC. NAO RURAIS'!L33</f>
        <v/>
      </c>
      <c r="M24" s="627">
        <f>PARCERIA!M33+'REC. NAO RURAIS'!M33</f>
        <v/>
      </c>
      <c r="N24" s="627">
        <f>PARCERIA!N33+'REC. NAO RURAIS'!N33</f>
        <v/>
      </c>
      <c r="O24" s="628">
        <f>SUM(C24:N24)</f>
        <v/>
      </c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 ht="24.75" customHeight="1" s="673">
      <c r="A25" s="15" t="n"/>
      <c r="B25" s="629" t="inlineStr">
        <is>
          <t>RESULTADO</t>
        </is>
      </c>
      <c r="C25" s="630">
        <f>C23-C24</f>
        <v/>
      </c>
      <c r="D25" s="630">
        <f>D23-D24</f>
        <v/>
      </c>
      <c r="E25" s="630">
        <f>E23-E24</f>
        <v/>
      </c>
      <c r="F25" s="630">
        <f>F23-F24</f>
        <v/>
      </c>
      <c r="G25" s="630">
        <f>G23-G24</f>
        <v/>
      </c>
      <c r="H25" s="630">
        <f>H23-H24</f>
        <v/>
      </c>
      <c r="I25" s="630">
        <f>I23-I24</f>
        <v/>
      </c>
      <c r="J25" s="630">
        <f>J23-J24</f>
        <v/>
      </c>
      <c r="K25" s="630">
        <f>K23-K24</f>
        <v/>
      </c>
      <c r="L25" s="630">
        <f>L23-L24</f>
        <v/>
      </c>
      <c r="M25" s="630">
        <f>M23-M24</f>
        <v/>
      </c>
      <c r="N25" s="630">
        <f>N23-N24</f>
        <v/>
      </c>
      <c r="O25" s="631">
        <f>SUM(C25:N25)</f>
        <v/>
      </c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 ht="24.75" customHeight="1" s="673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 ht="24.75" customHeight="1" s="673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</row>
    <row r="28" ht="24.75" customHeight="1" s="673">
      <c r="A28" s="15">
        <f>A20+1</f>
        <v/>
      </c>
      <c r="B28" s="613">
        <f>RESULTADO!B31</f>
        <v/>
      </c>
      <c r="C28" s="614" t="n"/>
      <c r="D28" s="615" t="n"/>
      <c r="E28" s="616" t="n"/>
      <c r="F28" s="616" t="n"/>
      <c r="G28" s="616" t="n"/>
      <c r="H28" s="616" t="n"/>
      <c r="I28" s="616" t="n"/>
      <c r="J28" s="616" t="n"/>
      <c r="K28" s="616" t="n"/>
      <c r="L28" s="616" t="n"/>
      <c r="M28" s="616" t="n"/>
      <c r="N28" s="616" t="n"/>
      <c r="O28" s="616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</row>
    <row r="29" ht="24.75" customHeight="1" s="673">
      <c r="A29" s="15" t="n"/>
      <c r="B29" s="617" t="n"/>
      <c r="C29" s="618" t="n"/>
      <c r="D29" s="619" t="n"/>
      <c r="E29" s="616" t="n"/>
      <c r="F29" s="616" t="n"/>
      <c r="G29" s="616" t="n"/>
      <c r="H29" s="616" t="n"/>
      <c r="I29" s="616" t="n"/>
      <c r="J29" s="616" t="n"/>
      <c r="K29" s="616" t="n"/>
      <c r="L29" s="616" t="n"/>
      <c r="M29" s="616" t="n"/>
      <c r="N29" s="616" t="n"/>
      <c r="O29" s="616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</row>
    <row r="30" ht="24.75" customHeight="1" s="673">
      <c r="A30" s="15" t="n"/>
      <c r="B30" s="620">
        <f>B22</f>
        <v/>
      </c>
      <c r="C30" s="621" t="inlineStr">
        <is>
          <t>JANEIRO</t>
        </is>
      </c>
      <c r="D30" s="621" t="inlineStr">
        <is>
          <t>FEVEREIRO</t>
        </is>
      </c>
      <c r="E30" s="621" t="inlineStr">
        <is>
          <t>MARÇO</t>
        </is>
      </c>
      <c r="F30" s="621" t="inlineStr">
        <is>
          <t>ABRIL</t>
        </is>
      </c>
      <c r="G30" s="621" t="inlineStr">
        <is>
          <t>MAIO</t>
        </is>
      </c>
      <c r="H30" s="621" t="inlineStr">
        <is>
          <t>JUNHO</t>
        </is>
      </c>
      <c r="I30" s="621" t="inlineStr">
        <is>
          <t>JULHO</t>
        </is>
      </c>
      <c r="J30" s="621" t="inlineStr">
        <is>
          <t>AGOSTO</t>
        </is>
      </c>
      <c r="K30" s="621" t="inlineStr">
        <is>
          <t>SETEMBRO</t>
        </is>
      </c>
      <c r="L30" s="621" t="inlineStr">
        <is>
          <t>OUTUBRO</t>
        </is>
      </c>
      <c r="M30" s="621" t="inlineStr">
        <is>
          <t>NOVEMBRO</t>
        </is>
      </c>
      <c r="N30" s="621" t="inlineStr">
        <is>
          <t>DEZEMBRO</t>
        </is>
      </c>
      <c r="O30" s="622" t="inlineStr">
        <is>
          <t>TOTAL</t>
        </is>
      </c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</row>
    <row r="31" ht="24.75" customHeight="1" s="673">
      <c r="A31" s="15" t="n"/>
      <c r="B31" s="623" t="inlineStr">
        <is>
          <t>RECEITA</t>
        </is>
      </c>
      <c r="C31" s="624">
        <f>PARCERIA!C40+'REC. NAO RURAIS'!C40</f>
        <v/>
      </c>
      <c r="D31" s="624">
        <f>PARCERIA!D40+'REC. NAO RURAIS'!D40</f>
        <v/>
      </c>
      <c r="E31" s="624">
        <f>PARCERIA!E40+'REC. NAO RURAIS'!E40</f>
        <v/>
      </c>
      <c r="F31" s="624">
        <f>PARCERIA!F40+'REC. NAO RURAIS'!F40</f>
        <v/>
      </c>
      <c r="G31" s="624">
        <f>PARCERIA!G40+'REC. NAO RURAIS'!G40</f>
        <v/>
      </c>
      <c r="H31" s="624">
        <f>PARCERIA!H40+'REC. NAO RURAIS'!H40</f>
        <v/>
      </c>
      <c r="I31" s="624">
        <f>PARCERIA!I40+'REC. NAO RURAIS'!I40</f>
        <v/>
      </c>
      <c r="J31" s="624">
        <f>PARCERIA!J40+'REC. NAO RURAIS'!J40</f>
        <v/>
      </c>
      <c r="K31" s="624">
        <f>PARCERIA!K40+'REC. NAO RURAIS'!K40</f>
        <v/>
      </c>
      <c r="L31" s="624">
        <f>PARCERIA!L40+'REC. NAO RURAIS'!L40</f>
        <v/>
      </c>
      <c r="M31" s="624">
        <f>PARCERIA!M40+'REC. NAO RURAIS'!M40</f>
        <v/>
      </c>
      <c r="N31" s="624">
        <f>PARCERIA!N40+'REC. NAO RURAIS'!N40</f>
        <v/>
      </c>
      <c r="O31" s="625">
        <f>SUM(C31:N31)</f>
        <v/>
      </c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</row>
    <row r="32" ht="24.75" customHeight="1" s="673">
      <c r="A32" s="15" t="n"/>
      <c r="B32" s="626" t="inlineStr">
        <is>
          <t>DESPESAS</t>
        </is>
      </c>
      <c r="C32" s="627">
        <f>PARCERIA!C41+'REC. NAO RURAIS'!C41</f>
        <v/>
      </c>
      <c r="D32" s="627">
        <f>PARCERIA!D41+'REC. NAO RURAIS'!D41</f>
        <v/>
      </c>
      <c r="E32" s="627">
        <f>PARCERIA!E41+'REC. NAO RURAIS'!E41</f>
        <v/>
      </c>
      <c r="F32" s="627">
        <f>PARCERIA!F41+'REC. NAO RURAIS'!F41</f>
        <v/>
      </c>
      <c r="G32" s="627">
        <f>PARCERIA!G41+'REC. NAO RURAIS'!G41</f>
        <v/>
      </c>
      <c r="H32" s="627">
        <f>PARCERIA!H41+'REC. NAO RURAIS'!H41</f>
        <v/>
      </c>
      <c r="I32" s="627">
        <f>PARCERIA!I41+'REC. NAO RURAIS'!I41</f>
        <v/>
      </c>
      <c r="J32" s="627">
        <f>PARCERIA!J41+'REC. NAO RURAIS'!J41</f>
        <v/>
      </c>
      <c r="K32" s="627">
        <f>PARCERIA!K41+'REC. NAO RURAIS'!K41</f>
        <v/>
      </c>
      <c r="L32" s="627">
        <f>PARCERIA!L41+'REC. NAO RURAIS'!L41</f>
        <v/>
      </c>
      <c r="M32" s="627">
        <f>PARCERIA!M41+'REC. NAO RURAIS'!M41</f>
        <v/>
      </c>
      <c r="N32" s="627">
        <f>PARCERIA!N41+'REC. NAO RURAIS'!N41</f>
        <v/>
      </c>
      <c r="O32" s="628">
        <f>SUM(C32:N32)</f>
        <v/>
      </c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</row>
    <row r="33" ht="24.75" customHeight="1" s="673">
      <c r="A33" s="15" t="n"/>
      <c r="B33" s="629" t="inlineStr">
        <is>
          <t>RESULTADO</t>
        </is>
      </c>
      <c r="C33" s="630">
        <f>C31-C32</f>
        <v/>
      </c>
      <c r="D33" s="630">
        <f>D31-D32</f>
        <v/>
      </c>
      <c r="E33" s="630">
        <f>E31-E32</f>
        <v/>
      </c>
      <c r="F33" s="630">
        <f>F31-F32</f>
        <v/>
      </c>
      <c r="G33" s="630">
        <f>G31-G32</f>
        <v/>
      </c>
      <c r="H33" s="630">
        <f>H31-H32</f>
        <v/>
      </c>
      <c r="I33" s="630">
        <f>I31-I32</f>
        <v/>
      </c>
      <c r="J33" s="630">
        <f>J31-J32</f>
        <v/>
      </c>
      <c r="K33" s="630">
        <f>K31-K32</f>
        <v/>
      </c>
      <c r="L33" s="630">
        <f>L31-L32</f>
        <v/>
      </c>
      <c r="M33" s="630">
        <f>M31-M32</f>
        <v/>
      </c>
      <c r="N33" s="630">
        <f>N31-N32</f>
        <v/>
      </c>
      <c r="O33" s="631">
        <f>SUM(C33:N33)</f>
        <v/>
      </c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</row>
    <row r="34" ht="24.75" customHeight="1" s="673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</row>
    <row r="35" ht="24.75" customHeight="1" s="673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</row>
    <row r="36" ht="24.75" customHeight="1" s="673">
      <c r="A36" s="15">
        <f>A28+1</f>
        <v/>
      </c>
      <c r="B36" s="613">
        <f>RESULTADO!B32</f>
        <v/>
      </c>
      <c r="C36" s="614" t="n"/>
      <c r="D36" s="615" t="n"/>
      <c r="E36" s="616" t="n"/>
      <c r="F36" s="616" t="n"/>
      <c r="G36" s="616" t="n"/>
      <c r="H36" s="616" t="n"/>
      <c r="I36" s="616" t="n"/>
      <c r="J36" s="616" t="n"/>
      <c r="K36" s="616" t="n"/>
      <c r="L36" s="616" t="n"/>
      <c r="M36" s="616" t="n"/>
      <c r="N36" s="616" t="n"/>
      <c r="O36" s="616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</row>
    <row r="37" ht="24.75" customHeight="1" s="673">
      <c r="A37" s="15" t="n"/>
      <c r="B37" s="617" t="n"/>
      <c r="C37" s="618" t="n"/>
      <c r="D37" s="619" t="n"/>
      <c r="E37" s="616" t="n"/>
      <c r="F37" s="616" t="n"/>
      <c r="G37" s="616" t="n"/>
      <c r="H37" s="616" t="n"/>
      <c r="I37" s="616" t="n"/>
      <c r="J37" s="616" t="n"/>
      <c r="K37" s="616" t="n"/>
      <c r="L37" s="616" t="n"/>
      <c r="M37" s="616" t="n"/>
      <c r="N37" s="616" t="n"/>
      <c r="O37" s="616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</row>
    <row r="38" ht="24.75" customHeight="1" s="673">
      <c r="A38" s="15" t="n"/>
      <c r="B38" s="620">
        <f>B30</f>
        <v/>
      </c>
      <c r="C38" s="621" t="inlineStr">
        <is>
          <t>JANEIRO</t>
        </is>
      </c>
      <c r="D38" s="621" t="inlineStr">
        <is>
          <t>FEVEREIRO</t>
        </is>
      </c>
      <c r="E38" s="621" t="inlineStr">
        <is>
          <t>MARÇO</t>
        </is>
      </c>
      <c r="F38" s="621" t="inlineStr">
        <is>
          <t>ABRIL</t>
        </is>
      </c>
      <c r="G38" s="621" t="inlineStr">
        <is>
          <t>MAIO</t>
        </is>
      </c>
      <c r="H38" s="621" t="inlineStr">
        <is>
          <t>JUNHO</t>
        </is>
      </c>
      <c r="I38" s="621" t="inlineStr">
        <is>
          <t>JULHO</t>
        </is>
      </c>
      <c r="J38" s="621" t="inlineStr">
        <is>
          <t>AGOSTO</t>
        </is>
      </c>
      <c r="K38" s="621" t="inlineStr">
        <is>
          <t>SETEMBRO</t>
        </is>
      </c>
      <c r="L38" s="621" t="inlineStr">
        <is>
          <t>OUTUBRO</t>
        </is>
      </c>
      <c r="M38" s="621" t="inlineStr">
        <is>
          <t>NOVEMBRO</t>
        </is>
      </c>
      <c r="N38" s="621" t="inlineStr">
        <is>
          <t>DEZEMBRO</t>
        </is>
      </c>
      <c r="O38" s="622" t="inlineStr">
        <is>
          <t>TOTAL</t>
        </is>
      </c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</row>
    <row r="39" ht="24.75" customHeight="1" s="673">
      <c r="A39" s="15" t="n"/>
      <c r="B39" s="623" t="inlineStr">
        <is>
          <t>RECEITA</t>
        </is>
      </c>
      <c r="C39" s="624">
        <f>PARCERIA!C48+#REF!</f>
        <v/>
      </c>
      <c r="D39" s="624">
        <f>PARCERIA!D48+#REF!</f>
        <v/>
      </c>
      <c r="E39" s="624">
        <f>PARCERIA!E48+#REF!</f>
        <v/>
      </c>
      <c r="F39" s="624">
        <f>PARCERIA!F48+#REF!</f>
        <v/>
      </c>
      <c r="G39" s="624">
        <f>PARCERIA!G48+#REF!</f>
        <v/>
      </c>
      <c r="H39" s="624">
        <f>PARCERIA!H48+#REF!</f>
        <v/>
      </c>
      <c r="I39" s="624">
        <f>PARCERIA!I48+#REF!</f>
        <v/>
      </c>
      <c r="J39" s="624">
        <f>PARCERIA!J48+#REF!</f>
        <v/>
      </c>
      <c r="K39" s="624">
        <f>PARCERIA!K48+#REF!</f>
        <v/>
      </c>
      <c r="L39" s="624">
        <f>PARCERIA!L48+#REF!</f>
        <v/>
      </c>
      <c r="M39" s="624">
        <f>PARCERIA!M48+#REF!</f>
        <v/>
      </c>
      <c r="N39" s="624">
        <f>PARCERIA!N48+#REF!</f>
        <v/>
      </c>
      <c r="O39" s="625">
        <f>SUM(C39:N39)</f>
        <v/>
      </c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</row>
    <row r="40" ht="24.75" customHeight="1" s="673">
      <c r="A40" s="15" t="n"/>
      <c r="B40" s="626" t="inlineStr">
        <is>
          <t>DESPESAS</t>
        </is>
      </c>
      <c r="C40" s="627">
        <f>PARCERIA!C49+#REF!</f>
        <v/>
      </c>
      <c r="D40" s="627">
        <f>PARCERIA!D49+#REF!</f>
        <v/>
      </c>
      <c r="E40" s="627">
        <f>PARCERIA!E49+#REF!</f>
        <v/>
      </c>
      <c r="F40" s="627">
        <f>PARCERIA!F49+#REF!</f>
        <v/>
      </c>
      <c r="G40" s="627">
        <f>PARCERIA!G49+#REF!</f>
        <v/>
      </c>
      <c r="H40" s="627">
        <f>PARCERIA!H49+#REF!</f>
        <v/>
      </c>
      <c r="I40" s="627">
        <f>PARCERIA!I49+#REF!</f>
        <v/>
      </c>
      <c r="J40" s="627">
        <f>PARCERIA!J49+#REF!</f>
        <v/>
      </c>
      <c r="K40" s="627">
        <f>PARCERIA!K49+#REF!</f>
        <v/>
      </c>
      <c r="L40" s="627">
        <f>PARCERIA!L49+#REF!</f>
        <v/>
      </c>
      <c r="M40" s="627">
        <f>PARCERIA!M49+#REF!</f>
        <v/>
      </c>
      <c r="N40" s="627">
        <f>PARCERIA!N49+#REF!</f>
        <v/>
      </c>
      <c r="O40" s="628">
        <f>SUM(C40:N40)</f>
        <v/>
      </c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</row>
    <row r="41" ht="24.75" customHeight="1" s="673">
      <c r="A41" s="15" t="n"/>
      <c r="B41" s="629" t="inlineStr">
        <is>
          <t>RESULTADO</t>
        </is>
      </c>
      <c r="C41" s="630">
        <f>C39-C40</f>
        <v/>
      </c>
      <c r="D41" s="630">
        <f>D39-D40</f>
        <v/>
      </c>
      <c r="E41" s="630">
        <f>E39-E40</f>
        <v/>
      </c>
      <c r="F41" s="630">
        <f>F39-F40</f>
        <v/>
      </c>
      <c r="G41" s="630">
        <f>G39-G40</f>
        <v/>
      </c>
      <c r="H41" s="630">
        <f>H39-H40</f>
        <v/>
      </c>
      <c r="I41" s="630">
        <f>I39-I40</f>
        <v/>
      </c>
      <c r="J41" s="630">
        <f>J39-J40</f>
        <v/>
      </c>
      <c r="K41" s="630">
        <f>K39-K40</f>
        <v/>
      </c>
      <c r="L41" s="630">
        <f>L39-L40</f>
        <v/>
      </c>
      <c r="M41" s="630">
        <f>M39-M40</f>
        <v/>
      </c>
      <c r="N41" s="630">
        <f>N39-N40</f>
        <v/>
      </c>
      <c r="O41" s="631">
        <f>SUM(C41:N41)</f>
        <v/>
      </c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</row>
    <row r="42" ht="24.75" customHeight="1" s="673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</row>
    <row r="43" ht="24.75" customHeight="1" s="67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</row>
    <row r="44" ht="24.75" customHeight="1" s="673">
      <c r="A44" s="15">
        <f>A36+1</f>
        <v/>
      </c>
      <c r="B44" s="613">
        <f>RESULTADO!B33</f>
        <v/>
      </c>
      <c r="C44" s="614" t="n"/>
      <c r="D44" s="615" t="n"/>
      <c r="E44" s="616" t="n"/>
      <c r="F44" s="616" t="n"/>
      <c r="G44" s="616" t="n"/>
      <c r="H44" s="616" t="n"/>
      <c r="I44" s="616" t="n"/>
      <c r="J44" s="616" t="n"/>
      <c r="K44" s="616" t="n"/>
      <c r="L44" s="616" t="n"/>
      <c r="M44" s="616" t="n"/>
      <c r="N44" s="616" t="n"/>
      <c r="O44" s="616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</row>
    <row r="45" ht="24.75" customHeight="1" s="673">
      <c r="A45" s="15" t="n"/>
      <c r="B45" s="617" t="n"/>
      <c r="C45" s="618" t="n"/>
      <c r="D45" s="619" t="n"/>
      <c r="E45" s="616" t="n"/>
      <c r="F45" s="616" t="n"/>
      <c r="G45" s="616" t="n"/>
      <c r="H45" s="616" t="n"/>
      <c r="I45" s="616" t="n"/>
      <c r="J45" s="616" t="n"/>
      <c r="K45" s="616" t="n"/>
      <c r="L45" s="616" t="n"/>
      <c r="M45" s="616" t="n"/>
      <c r="N45" s="616" t="n"/>
      <c r="O45" s="616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</row>
    <row r="46" ht="24.75" customHeight="1" s="673">
      <c r="A46" s="15" t="n"/>
      <c r="B46" s="620">
        <f>B38</f>
        <v/>
      </c>
      <c r="C46" s="621" t="inlineStr">
        <is>
          <t>JANEIRO</t>
        </is>
      </c>
      <c r="D46" s="621" t="inlineStr">
        <is>
          <t>FEVEREIRO</t>
        </is>
      </c>
      <c r="E46" s="621" t="inlineStr">
        <is>
          <t>MARÇO</t>
        </is>
      </c>
      <c r="F46" s="621" t="inlineStr">
        <is>
          <t>ABRIL</t>
        </is>
      </c>
      <c r="G46" s="621" t="inlineStr">
        <is>
          <t>MAIO</t>
        </is>
      </c>
      <c r="H46" s="621" t="inlineStr">
        <is>
          <t>JUNHO</t>
        </is>
      </c>
      <c r="I46" s="621" t="inlineStr">
        <is>
          <t>JULHO</t>
        </is>
      </c>
      <c r="J46" s="621" t="inlineStr">
        <is>
          <t>AGOSTO</t>
        </is>
      </c>
      <c r="K46" s="621" t="inlineStr">
        <is>
          <t>SETEMBRO</t>
        </is>
      </c>
      <c r="L46" s="621" t="inlineStr">
        <is>
          <t>OUTUBRO</t>
        </is>
      </c>
      <c r="M46" s="621" t="inlineStr">
        <is>
          <t>NOVEMBRO</t>
        </is>
      </c>
      <c r="N46" s="621" t="inlineStr">
        <is>
          <t>DEZEMBRO</t>
        </is>
      </c>
      <c r="O46" s="622" t="inlineStr">
        <is>
          <t>TOTAL</t>
        </is>
      </c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</row>
    <row r="47" ht="24.75" customHeight="1" s="673">
      <c r="A47" s="15" t="n"/>
      <c r="B47" s="623" t="inlineStr">
        <is>
          <t>RECEITA</t>
        </is>
      </c>
      <c r="C47" s="624">
        <f>PARCERIA!C56+#REF!</f>
        <v/>
      </c>
      <c r="D47" s="624">
        <f>PARCERIA!D56+#REF!</f>
        <v/>
      </c>
      <c r="E47" s="624">
        <f>PARCERIA!E56+#REF!</f>
        <v/>
      </c>
      <c r="F47" s="624">
        <f>PARCERIA!F56+#REF!</f>
        <v/>
      </c>
      <c r="G47" s="624">
        <f>PARCERIA!G56+#REF!</f>
        <v/>
      </c>
      <c r="H47" s="624">
        <f>PARCERIA!H56+#REF!</f>
        <v/>
      </c>
      <c r="I47" s="624">
        <f>PARCERIA!I56+#REF!</f>
        <v/>
      </c>
      <c r="J47" s="624">
        <f>PARCERIA!J56+#REF!</f>
        <v/>
      </c>
      <c r="K47" s="624">
        <f>PARCERIA!K56+#REF!</f>
        <v/>
      </c>
      <c r="L47" s="624">
        <f>PARCERIA!L56+#REF!</f>
        <v/>
      </c>
      <c r="M47" s="624">
        <f>PARCERIA!M56+#REF!</f>
        <v/>
      </c>
      <c r="N47" s="624">
        <f>PARCERIA!N56+#REF!</f>
        <v/>
      </c>
      <c r="O47" s="625">
        <f>SUM(C47:N47)</f>
        <v/>
      </c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</row>
    <row r="48" ht="24.75" customHeight="1" s="673">
      <c r="A48" s="15" t="n"/>
      <c r="B48" s="626" t="inlineStr">
        <is>
          <t>DESPESAS</t>
        </is>
      </c>
      <c r="C48" s="627">
        <f>PARCERIA!C57+#REF!</f>
        <v/>
      </c>
      <c r="D48" s="627">
        <f>PARCERIA!D57+#REF!</f>
        <v/>
      </c>
      <c r="E48" s="627">
        <f>PARCERIA!E57+#REF!</f>
        <v/>
      </c>
      <c r="F48" s="627">
        <f>PARCERIA!F57+#REF!</f>
        <v/>
      </c>
      <c r="G48" s="627">
        <f>PARCERIA!G57+#REF!</f>
        <v/>
      </c>
      <c r="H48" s="627">
        <f>PARCERIA!H57+#REF!</f>
        <v/>
      </c>
      <c r="I48" s="627">
        <f>PARCERIA!I57+#REF!</f>
        <v/>
      </c>
      <c r="J48" s="627">
        <f>PARCERIA!J57+#REF!</f>
        <v/>
      </c>
      <c r="K48" s="627">
        <f>PARCERIA!K57+#REF!</f>
        <v/>
      </c>
      <c r="L48" s="627">
        <f>PARCERIA!L57+#REF!</f>
        <v/>
      </c>
      <c r="M48" s="627">
        <f>PARCERIA!M57+#REF!</f>
        <v/>
      </c>
      <c r="N48" s="627">
        <f>PARCERIA!N57+#REF!</f>
        <v/>
      </c>
      <c r="O48" s="628">
        <f>SUM(C48:N48)</f>
        <v/>
      </c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</row>
    <row r="49" ht="24.75" customHeight="1" s="673">
      <c r="A49" s="15" t="n"/>
      <c r="B49" s="629" t="inlineStr">
        <is>
          <t>RESULTADO</t>
        </is>
      </c>
      <c r="C49" s="630">
        <f>C47-C48</f>
        <v/>
      </c>
      <c r="D49" s="630">
        <f>D47-D48</f>
        <v/>
      </c>
      <c r="E49" s="630">
        <f>E47-E48</f>
        <v/>
      </c>
      <c r="F49" s="630">
        <f>F47-F48</f>
        <v/>
      </c>
      <c r="G49" s="630">
        <f>G47-G48</f>
        <v/>
      </c>
      <c r="H49" s="630">
        <f>H47-H48</f>
        <v/>
      </c>
      <c r="I49" s="630">
        <f>I47-I48</f>
        <v/>
      </c>
      <c r="J49" s="630">
        <f>J47-J48</f>
        <v/>
      </c>
      <c r="K49" s="630">
        <f>K47-K48</f>
        <v/>
      </c>
      <c r="L49" s="630">
        <f>L47-L48</f>
        <v/>
      </c>
      <c r="M49" s="630">
        <f>M47-M48</f>
        <v/>
      </c>
      <c r="N49" s="630">
        <f>N47-N48</f>
        <v/>
      </c>
      <c r="O49" s="631">
        <f>SUM(C49:N49)</f>
        <v/>
      </c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</row>
    <row r="50" ht="24.75" customHeight="1" s="673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</row>
    <row r="51" ht="24.75" customHeight="1" s="673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</row>
    <row r="52" ht="24.75" customHeight="1" s="673">
      <c r="A52" s="15">
        <f>A44+1</f>
        <v/>
      </c>
      <c r="B52" s="613">
        <f>RESULTADO!B34</f>
        <v/>
      </c>
      <c r="C52" s="614" t="n"/>
      <c r="D52" s="615" t="n"/>
      <c r="E52" s="616" t="n"/>
      <c r="F52" s="616" t="n"/>
      <c r="G52" s="616" t="n"/>
      <c r="H52" s="616" t="n"/>
      <c r="I52" s="616" t="n"/>
      <c r="J52" s="616" t="n"/>
      <c r="K52" s="616" t="n"/>
      <c r="L52" s="616" t="n"/>
      <c r="M52" s="616" t="n"/>
      <c r="N52" s="616" t="n"/>
      <c r="O52" s="616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</row>
    <row r="53" ht="24.75" customHeight="1" s="673">
      <c r="A53" s="15" t="n"/>
      <c r="B53" s="617" t="n"/>
      <c r="C53" s="618" t="n"/>
      <c r="D53" s="619" t="n"/>
      <c r="E53" s="616" t="n"/>
      <c r="F53" s="616" t="n"/>
      <c r="G53" s="616" t="n"/>
      <c r="H53" s="616" t="n"/>
      <c r="I53" s="616" t="n"/>
      <c r="J53" s="616" t="n"/>
      <c r="K53" s="616" t="n"/>
      <c r="L53" s="616" t="n"/>
      <c r="M53" s="616" t="n"/>
      <c r="N53" s="616" t="n"/>
      <c r="O53" s="616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</row>
    <row r="54" ht="24.75" customHeight="1" s="673">
      <c r="A54" s="15" t="n"/>
      <c r="B54" s="620">
        <f>B46</f>
        <v/>
      </c>
      <c r="C54" s="621" t="inlineStr">
        <is>
          <t>JANEIRO</t>
        </is>
      </c>
      <c r="D54" s="621" t="inlineStr">
        <is>
          <t>FEVEREIRO</t>
        </is>
      </c>
      <c r="E54" s="621" t="inlineStr">
        <is>
          <t>MARÇO</t>
        </is>
      </c>
      <c r="F54" s="621" t="inlineStr">
        <is>
          <t>ABRIL</t>
        </is>
      </c>
      <c r="G54" s="621" t="inlineStr">
        <is>
          <t>MAIO</t>
        </is>
      </c>
      <c r="H54" s="621" t="inlineStr">
        <is>
          <t>JUNHO</t>
        </is>
      </c>
      <c r="I54" s="621" t="inlineStr">
        <is>
          <t>JULHO</t>
        </is>
      </c>
      <c r="J54" s="621" t="inlineStr">
        <is>
          <t>AGOSTO</t>
        </is>
      </c>
      <c r="K54" s="621" t="inlineStr">
        <is>
          <t>SETEMBRO</t>
        </is>
      </c>
      <c r="L54" s="621" t="inlineStr">
        <is>
          <t>OUTUBRO</t>
        </is>
      </c>
      <c r="M54" s="621" t="inlineStr">
        <is>
          <t>NOVEMBRO</t>
        </is>
      </c>
      <c r="N54" s="621" t="inlineStr">
        <is>
          <t>DEZEMBRO</t>
        </is>
      </c>
      <c r="O54" s="622" t="inlineStr">
        <is>
          <t>TOTAL</t>
        </is>
      </c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</row>
    <row r="55" ht="24.75" customHeight="1" s="673">
      <c r="A55" s="15" t="n"/>
      <c r="B55" s="623" t="inlineStr">
        <is>
          <t>RECEITA</t>
        </is>
      </c>
      <c r="C55" s="624">
        <f>PARCERIA!C72+#REF!</f>
        <v/>
      </c>
      <c r="D55" s="624">
        <f>PARCERIA!D72+#REF!</f>
        <v/>
      </c>
      <c r="E55" s="624">
        <f>PARCERIA!E72+#REF!</f>
        <v/>
      </c>
      <c r="F55" s="624">
        <f>PARCERIA!F72+#REF!</f>
        <v/>
      </c>
      <c r="G55" s="624">
        <f>PARCERIA!G72+#REF!</f>
        <v/>
      </c>
      <c r="H55" s="624">
        <f>PARCERIA!H72+#REF!</f>
        <v/>
      </c>
      <c r="I55" s="624">
        <f>PARCERIA!I72+#REF!</f>
        <v/>
      </c>
      <c r="J55" s="624">
        <f>PARCERIA!J72+#REF!</f>
        <v/>
      </c>
      <c r="K55" s="624">
        <f>PARCERIA!K72+#REF!</f>
        <v/>
      </c>
      <c r="L55" s="624">
        <f>PARCERIA!L72+#REF!</f>
        <v/>
      </c>
      <c r="M55" s="624">
        <f>PARCERIA!M72+#REF!</f>
        <v/>
      </c>
      <c r="N55" s="624">
        <f>PARCERIA!N72+#REF!</f>
        <v/>
      </c>
      <c r="O55" s="625">
        <f>SUM(C55:N55)</f>
        <v/>
      </c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</row>
    <row r="56" ht="24.75" customHeight="1" s="673">
      <c r="A56" s="15" t="n"/>
      <c r="B56" s="626" t="inlineStr">
        <is>
          <t>DESPESAS</t>
        </is>
      </c>
      <c r="C56" s="627">
        <f>PARCERIA!C65+#REF!</f>
        <v/>
      </c>
      <c r="D56" s="627">
        <f>PARCERIA!D65+#REF!</f>
        <v/>
      </c>
      <c r="E56" s="627">
        <f>PARCERIA!E65+#REF!</f>
        <v/>
      </c>
      <c r="F56" s="627">
        <f>PARCERIA!F65+#REF!</f>
        <v/>
      </c>
      <c r="G56" s="627">
        <f>PARCERIA!G65+#REF!</f>
        <v/>
      </c>
      <c r="H56" s="627">
        <f>PARCERIA!H65+#REF!</f>
        <v/>
      </c>
      <c r="I56" s="627">
        <f>PARCERIA!I65+#REF!</f>
        <v/>
      </c>
      <c r="J56" s="627">
        <f>PARCERIA!J65+#REF!</f>
        <v/>
      </c>
      <c r="K56" s="627">
        <f>PARCERIA!K65+#REF!</f>
        <v/>
      </c>
      <c r="L56" s="627">
        <f>PARCERIA!L65+#REF!</f>
        <v/>
      </c>
      <c r="M56" s="627">
        <f>PARCERIA!M65+#REF!</f>
        <v/>
      </c>
      <c r="N56" s="627">
        <f>PARCERIA!N65+#REF!</f>
        <v/>
      </c>
      <c r="O56" s="628">
        <f>SUM(C56:N56)</f>
        <v/>
      </c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</row>
    <row r="57" ht="24.75" customHeight="1" s="673">
      <c r="A57" s="15" t="n"/>
      <c r="B57" s="629" t="inlineStr">
        <is>
          <t>RESULTADO</t>
        </is>
      </c>
      <c r="C57" s="630">
        <f>C55-C56</f>
        <v/>
      </c>
      <c r="D57" s="630">
        <f>D55-D56</f>
        <v/>
      </c>
      <c r="E57" s="630">
        <f>E55-E56</f>
        <v/>
      </c>
      <c r="F57" s="630">
        <f>F55-F56</f>
        <v/>
      </c>
      <c r="G57" s="630">
        <f>G55-G56</f>
        <v/>
      </c>
      <c r="H57" s="630">
        <f>H55-H56</f>
        <v/>
      </c>
      <c r="I57" s="630">
        <f>I55-I56</f>
        <v/>
      </c>
      <c r="J57" s="630">
        <f>J55-J56</f>
        <v/>
      </c>
      <c r="K57" s="630">
        <f>K55-K56</f>
        <v/>
      </c>
      <c r="L57" s="630">
        <f>L55-L56</f>
        <v/>
      </c>
      <c r="M57" s="630">
        <f>M55-M56</f>
        <v/>
      </c>
      <c r="N57" s="630">
        <f>N55-N56</f>
        <v/>
      </c>
      <c r="O57" s="631">
        <f>SUM(C57:N57)</f>
        <v/>
      </c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</row>
    <row r="58" ht="24.75" customHeight="1" s="673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</row>
    <row r="59" ht="24.75" customHeight="1" s="673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</row>
    <row r="60" ht="24.75" customHeight="1" s="673">
      <c r="A60" s="15">
        <f>A52+1</f>
        <v/>
      </c>
      <c r="B60" s="613" t="n"/>
      <c r="C60" s="614" t="n"/>
      <c r="D60" s="615" t="n"/>
      <c r="E60" s="616" t="n"/>
      <c r="F60" s="616" t="n"/>
      <c r="G60" s="616" t="n"/>
      <c r="H60" s="616" t="n"/>
      <c r="I60" s="616" t="n"/>
      <c r="J60" s="616" t="n"/>
      <c r="K60" s="616" t="n"/>
      <c r="L60" s="616" t="n"/>
      <c r="M60" s="616" t="n"/>
      <c r="N60" s="616" t="n"/>
      <c r="O60" s="616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</row>
    <row r="61" ht="24.75" customHeight="1" s="673">
      <c r="A61" s="15" t="n"/>
      <c r="B61" s="617" t="n"/>
      <c r="C61" s="618" t="n"/>
      <c r="D61" s="619" t="n"/>
      <c r="E61" s="616" t="n"/>
      <c r="F61" s="616" t="n"/>
      <c r="G61" s="616" t="n"/>
      <c r="H61" s="616" t="n"/>
      <c r="I61" s="616" t="n"/>
      <c r="J61" s="616" t="n"/>
      <c r="K61" s="616" t="n"/>
      <c r="L61" s="616" t="n"/>
      <c r="M61" s="616" t="n"/>
      <c r="N61" s="616" t="n"/>
      <c r="O61" s="616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</row>
    <row r="62" ht="24.75" customHeight="1" s="673">
      <c r="A62" s="15" t="n"/>
      <c r="B62" s="620" t="n"/>
      <c r="C62" s="621" t="inlineStr">
        <is>
          <t>JANEIRO</t>
        </is>
      </c>
      <c r="D62" s="621" t="inlineStr">
        <is>
          <t>FEVEREIRO</t>
        </is>
      </c>
      <c r="E62" s="621" t="inlineStr">
        <is>
          <t>MARÇO</t>
        </is>
      </c>
      <c r="F62" s="621" t="inlineStr">
        <is>
          <t>ABRIL</t>
        </is>
      </c>
      <c r="G62" s="621" t="inlineStr">
        <is>
          <t>MAIO</t>
        </is>
      </c>
      <c r="H62" s="621" t="inlineStr">
        <is>
          <t>JUNHO</t>
        </is>
      </c>
      <c r="I62" s="621" t="inlineStr">
        <is>
          <t>JULHO</t>
        </is>
      </c>
      <c r="J62" s="621" t="inlineStr">
        <is>
          <t>AGOSTO</t>
        </is>
      </c>
      <c r="K62" s="621" t="inlineStr">
        <is>
          <t>SETEMBRO</t>
        </is>
      </c>
      <c r="L62" s="621" t="inlineStr">
        <is>
          <t>OUTUBRO</t>
        </is>
      </c>
      <c r="M62" s="621" t="inlineStr">
        <is>
          <t>NOVEMBRO</t>
        </is>
      </c>
      <c r="N62" s="621" t="inlineStr">
        <is>
          <t>DEZEMBRO</t>
        </is>
      </c>
      <c r="O62" s="622" t="inlineStr">
        <is>
          <t>TOTAL</t>
        </is>
      </c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</row>
    <row r="63" ht="24.75" customHeight="1" s="673">
      <c r="A63" s="15" t="n"/>
      <c r="B63" s="623" t="inlineStr">
        <is>
          <t>RECEITA</t>
        </is>
      </c>
      <c r="C63" s="624">
        <f>PARCERIA!C72+#REF!</f>
        <v/>
      </c>
      <c r="D63" s="624">
        <f>PARCERIA!D72+#REF!</f>
        <v/>
      </c>
      <c r="E63" s="624">
        <f>PARCERIA!E72+#REF!</f>
        <v/>
      </c>
      <c r="F63" s="624">
        <f>PARCERIA!F72+#REF!</f>
        <v/>
      </c>
      <c r="G63" s="624">
        <f>PARCERIA!G72+#REF!</f>
        <v/>
      </c>
      <c r="H63" s="624">
        <f>PARCERIA!H72+#REF!</f>
        <v/>
      </c>
      <c r="I63" s="624">
        <f>PARCERIA!I72+#REF!</f>
        <v/>
      </c>
      <c r="J63" s="624">
        <f>PARCERIA!J72+#REF!</f>
        <v/>
      </c>
      <c r="K63" s="624">
        <f>PARCERIA!K72+#REF!</f>
        <v/>
      </c>
      <c r="L63" s="624">
        <f>PARCERIA!L72+#REF!</f>
        <v/>
      </c>
      <c r="M63" s="624">
        <f>PARCERIA!M72+#REF!</f>
        <v/>
      </c>
      <c r="N63" s="624">
        <f>PARCERIA!N72+#REF!</f>
        <v/>
      </c>
      <c r="O63" s="625">
        <f>SUM(C63:N63)</f>
        <v/>
      </c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</row>
    <row r="64" ht="24.75" customHeight="1" s="673">
      <c r="A64" s="15" t="n"/>
      <c r="B64" s="626" t="inlineStr">
        <is>
          <t>DESPESAS</t>
        </is>
      </c>
      <c r="C64" s="627">
        <f>PARCERIA!C73+#REF!</f>
        <v/>
      </c>
      <c r="D64" s="627">
        <f>PARCERIA!D73+#REF!</f>
        <v/>
      </c>
      <c r="E64" s="627">
        <f>PARCERIA!E73+#REF!</f>
        <v/>
      </c>
      <c r="F64" s="627">
        <f>PARCERIA!F73+#REF!</f>
        <v/>
      </c>
      <c r="G64" s="627">
        <f>PARCERIA!G73+#REF!</f>
        <v/>
      </c>
      <c r="H64" s="627">
        <f>PARCERIA!H73+#REF!</f>
        <v/>
      </c>
      <c r="I64" s="627">
        <f>PARCERIA!I73+#REF!</f>
        <v/>
      </c>
      <c r="J64" s="627">
        <f>PARCERIA!J73+#REF!</f>
        <v/>
      </c>
      <c r="K64" s="627">
        <f>PARCERIA!K73+#REF!</f>
        <v/>
      </c>
      <c r="L64" s="627">
        <f>PARCERIA!L73+#REF!</f>
        <v/>
      </c>
      <c r="M64" s="627">
        <f>PARCERIA!M73+#REF!</f>
        <v/>
      </c>
      <c r="N64" s="627">
        <f>PARCERIA!N73+#REF!</f>
        <v/>
      </c>
      <c r="O64" s="628">
        <f>SUM(C64:N64)</f>
        <v/>
      </c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</row>
    <row r="65" ht="24.75" customHeight="1" s="673">
      <c r="A65" s="15" t="n"/>
      <c r="B65" s="629" t="inlineStr">
        <is>
          <t>RESULTADO</t>
        </is>
      </c>
      <c r="C65" s="630">
        <f>C63-C64</f>
        <v/>
      </c>
      <c r="D65" s="630">
        <f>D63-D64</f>
        <v/>
      </c>
      <c r="E65" s="630">
        <f>E63-E64</f>
        <v/>
      </c>
      <c r="F65" s="630">
        <f>F63-F64</f>
        <v/>
      </c>
      <c r="G65" s="630">
        <f>G63-G64</f>
        <v/>
      </c>
      <c r="H65" s="630">
        <f>H63-H64</f>
        <v/>
      </c>
      <c r="I65" s="630">
        <f>I63-I64</f>
        <v/>
      </c>
      <c r="J65" s="630">
        <f>J63-J64</f>
        <v/>
      </c>
      <c r="K65" s="630">
        <f>K63-K64</f>
        <v/>
      </c>
      <c r="L65" s="630">
        <f>L63-L64</f>
        <v/>
      </c>
      <c r="M65" s="630">
        <f>M63-M64</f>
        <v/>
      </c>
      <c r="N65" s="630">
        <f>N63-N64</f>
        <v/>
      </c>
      <c r="O65" s="631">
        <f>SUM(C65:N65)</f>
        <v/>
      </c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</row>
    <row r="66" ht="24.75" customHeight="1" s="673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</row>
    <row r="67" ht="24.75" customHeight="1" s="673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</row>
    <row r="68" ht="24.75" customHeight="1" s="673">
      <c r="A68" s="15">
        <f>A60+1</f>
        <v/>
      </c>
      <c r="B68" s="613" t="n"/>
      <c r="C68" s="614" t="n"/>
      <c r="D68" s="615" t="n"/>
      <c r="E68" s="616" t="n"/>
      <c r="F68" s="616" t="n"/>
      <c r="G68" s="616" t="n"/>
      <c r="H68" s="616" t="n"/>
      <c r="I68" s="616" t="n"/>
      <c r="J68" s="616" t="n"/>
      <c r="K68" s="616" t="n"/>
      <c r="L68" s="616" t="n"/>
      <c r="M68" s="616" t="n"/>
      <c r="N68" s="616" t="n"/>
      <c r="O68" s="616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</row>
    <row r="69" ht="24.75" customHeight="1" s="673">
      <c r="A69" s="15" t="n"/>
      <c r="B69" s="617" t="n"/>
      <c r="C69" s="618" t="n"/>
      <c r="D69" s="619" t="n"/>
      <c r="E69" s="616" t="n"/>
      <c r="F69" s="616" t="n"/>
      <c r="G69" s="616" t="n"/>
      <c r="H69" s="616" t="n"/>
      <c r="I69" s="616" t="n"/>
      <c r="J69" s="616" t="n"/>
      <c r="K69" s="616" t="n"/>
      <c r="L69" s="616" t="n"/>
      <c r="M69" s="616" t="n"/>
      <c r="N69" s="616" t="n"/>
      <c r="O69" s="616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</row>
    <row r="70" ht="24.75" customHeight="1" s="673">
      <c r="A70" s="15" t="n"/>
      <c r="B70" s="620" t="n"/>
      <c r="C70" s="621" t="inlineStr">
        <is>
          <t>JANEIRO</t>
        </is>
      </c>
      <c r="D70" s="621" t="inlineStr">
        <is>
          <t>FEVEREIRO</t>
        </is>
      </c>
      <c r="E70" s="621" t="inlineStr">
        <is>
          <t>MARÇO</t>
        </is>
      </c>
      <c r="F70" s="621" t="inlineStr">
        <is>
          <t>ABRIL</t>
        </is>
      </c>
      <c r="G70" s="621" t="inlineStr">
        <is>
          <t>MAIO</t>
        </is>
      </c>
      <c r="H70" s="621" t="inlineStr">
        <is>
          <t>JUNHO</t>
        </is>
      </c>
      <c r="I70" s="621" t="inlineStr">
        <is>
          <t>JULHO</t>
        </is>
      </c>
      <c r="J70" s="621" t="inlineStr">
        <is>
          <t>AGOSTO</t>
        </is>
      </c>
      <c r="K70" s="621" t="inlineStr">
        <is>
          <t>SETEMBRO</t>
        </is>
      </c>
      <c r="L70" s="621" t="inlineStr">
        <is>
          <t>OUTUBRO</t>
        </is>
      </c>
      <c r="M70" s="621" t="inlineStr">
        <is>
          <t>NOVEMBRO</t>
        </is>
      </c>
      <c r="N70" s="621" t="inlineStr">
        <is>
          <t>DEZEMBRO</t>
        </is>
      </c>
      <c r="O70" s="622" t="inlineStr">
        <is>
          <t>TOTAL</t>
        </is>
      </c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</row>
    <row r="71" ht="24.75" customHeight="1" s="673">
      <c r="A71" s="15" t="n"/>
      <c r="B71" s="623" t="inlineStr">
        <is>
          <t>RECEITA</t>
        </is>
      </c>
      <c r="C71" s="624">
        <f>PARCERIA!C80+#REF!</f>
        <v/>
      </c>
      <c r="D71" s="624">
        <f>PARCERIA!D80+#REF!</f>
        <v/>
      </c>
      <c r="E71" s="624">
        <f>PARCERIA!E80+#REF!</f>
        <v/>
      </c>
      <c r="F71" s="624">
        <f>PARCERIA!F80+#REF!</f>
        <v/>
      </c>
      <c r="G71" s="624">
        <f>PARCERIA!G80+#REF!</f>
        <v/>
      </c>
      <c r="H71" s="624">
        <f>PARCERIA!H80+#REF!</f>
        <v/>
      </c>
      <c r="I71" s="624">
        <f>PARCERIA!I80+#REF!</f>
        <v/>
      </c>
      <c r="J71" s="624">
        <f>PARCERIA!J80+#REF!</f>
        <v/>
      </c>
      <c r="K71" s="624">
        <f>PARCERIA!K80+#REF!</f>
        <v/>
      </c>
      <c r="L71" s="624">
        <f>PARCERIA!L80+#REF!</f>
        <v/>
      </c>
      <c r="M71" s="624">
        <f>PARCERIA!M80+#REF!</f>
        <v/>
      </c>
      <c r="N71" s="624">
        <f>PARCERIA!N80+#REF!</f>
        <v/>
      </c>
      <c r="O71" s="625">
        <f>SUM(C71:N71)</f>
        <v/>
      </c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</row>
    <row r="72" ht="24.75" customHeight="1" s="673">
      <c r="A72" s="15" t="n"/>
      <c r="B72" s="626" t="inlineStr">
        <is>
          <t>DESPESAS</t>
        </is>
      </c>
      <c r="C72" s="627">
        <f>PARCERIA!C81+#REF!</f>
        <v/>
      </c>
      <c r="D72" s="627">
        <f>PARCERIA!D81+#REF!</f>
        <v/>
      </c>
      <c r="E72" s="627">
        <f>PARCERIA!E81+#REF!</f>
        <v/>
      </c>
      <c r="F72" s="627">
        <f>PARCERIA!F81+#REF!</f>
        <v/>
      </c>
      <c r="G72" s="627">
        <f>PARCERIA!G81+#REF!</f>
        <v/>
      </c>
      <c r="H72" s="627">
        <f>PARCERIA!H81+#REF!</f>
        <v/>
      </c>
      <c r="I72" s="627">
        <f>PARCERIA!I81+#REF!</f>
        <v/>
      </c>
      <c r="J72" s="627">
        <f>PARCERIA!J81+#REF!</f>
        <v/>
      </c>
      <c r="K72" s="627">
        <f>PARCERIA!K81+#REF!</f>
        <v/>
      </c>
      <c r="L72" s="627">
        <f>PARCERIA!L81+#REF!</f>
        <v/>
      </c>
      <c r="M72" s="627">
        <f>PARCERIA!M81+#REF!</f>
        <v/>
      </c>
      <c r="N72" s="627">
        <f>PARCERIA!N81+#REF!</f>
        <v/>
      </c>
      <c r="O72" s="628">
        <f>SUM(C72:N72)</f>
        <v/>
      </c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</row>
    <row r="73" ht="24.75" customHeight="1" s="673">
      <c r="A73" s="15" t="n"/>
      <c r="B73" s="629" t="inlineStr">
        <is>
          <t>RESULTADO</t>
        </is>
      </c>
      <c r="C73" s="630">
        <f>C71-C72</f>
        <v/>
      </c>
      <c r="D73" s="630">
        <f>D71-D72</f>
        <v/>
      </c>
      <c r="E73" s="630">
        <f>E71-E72</f>
        <v/>
      </c>
      <c r="F73" s="630">
        <f>F71-F72</f>
        <v/>
      </c>
      <c r="G73" s="630">
        <f>G71-G72</f>
        <v/>
      </c>
      <c r="H73" s="630">
        <f>H71-H72</f>
        <v/>
      </c>
      <c r="I73" s="630">
        <f>I71-I72</f>
        <v/>
      </c>
      <c r="J73" s="630">
        <f>J71-J72</f>
        <v/>
      </c>
      <c r="K73" s="630">
        <f>K71-K72</f>
        <v/>
      </c>
      <c r="L73" s="630">
        <f>L71-L72</f>
        <v/>
      </c>
      <c r="M73" s="630">
        <f>M71-M72</f>
        <v/>
      </c>
      <c r="N73" s="630">
        <f>N71-N72</f>
        <v/>
      </c>
      <c r="O73" s="631">
        <f>SUM(C73:N73)</f>
        <v/>
      </c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</row>
    <row r="74" ht="24.75" customHeight="1" s="673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</row>
    <row r="75" ht="24.75" customHeight="1" s="673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</row>
    <row r="76" ht="24.75" customHeight="1" s="673">
      <c r="A76" s="15">
        <f>A68+1</f>
        <v/>
      </c>
      <c r="B76" s="613" t="n"/>
      <c r="C76" s="614" t="n"/>
      <c r="D76" s="615" t="n"/>
      <c r="E76" s="616" t="n"/>
      <c r="F76" s="616" t="n"/>
      <c r="G76" s="616" t="n"/>
      <c r="H76" s="616" t="n"/>
      <c r="I76" s="616" t="n"/>
      <c r="J76" s="616" t="n"/>
      <c r="K76" s="616" t="n"/>
      <c r="L76" s="616" t="n"/>
      <c r="M76" s="616" t="n"/>
      <c r="N76" s="616" t="n"/>
      <c r="O76" s="616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</row>
    <row r="77" ht="24.75" customHeight="1" s="673">
      <c r="A77" s="15" t="n"/>
      <c r="B77" s="617" t="n"/>
      <c r="C77" s="618" t="n"/>
      <c r="D77" s="619" t="n"/>
      <c r="E77" s="616" t="n"/>
      <c r="F77" s="616" t="n"/>
      <c r="G77" s="616" t="n"/>
      <c r="H77" s="616" t="n"/>
      <c r="I77" s="616" t="n"/>
      <c r="J77" s="616" t="n"/>
      <c r="K77" s="616" t="n"/>
      <c r="L77" s="616" t="n"/>
      <c r="M77" s="616" t="n"/>
      <c r="N77" s="616" t="n"/>
      <c r="O77" s="616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</row>
    <row r="78" ht="24.75" customHeight="1" s="673">
      <c r="A78" s="15" t="n"/>
      <c r="B78" s="620" t="n"/>
      <c r="C78" s="621" t="inlineStr">
        <is>
          <t>JANEIRO</t>
        </is>
      </c>
      <c r="D78" s="621" t="inlineStr">
        <is>
          <t>FEVEREIRO</t>
        </is>
      </c>
      <c r="E78" s="621" t="inlineStr">
        <is>
          <t>MARÇO</t>
        </is>
      </c>
      <c r="F78" s="621" t="inlineStr">
        <is>
          <t>ABRIL</t>
        </is>
      </c>
      <c r="G78" s="621" t="inlineStr">
        <is>
          <t>MAIO</t>
        </is>
      </c>
      <c r="H78" s="621" t="inlineStr">
        <is>
          <t>JUNHO</t>
        </is>
      </c>
      <c r="I78" s="621" t="inlineStr">
        <is>
          <t>JULHO</t>
        </is>
      </c>
      <c r="J78" s="621" t="inlineStr">
        <is>
          <t>AGOSTO</t>
        </is>
      </c>
      <c r="K78" s="621" t="inlineStr">
        <is>
          <t>SETEMBRO</t>
        </is>
      </c>
      <c r="L78" s="621" t="inlineStr">
        <is>
          <t>OUTUBRO</t>
        </is>
      </c>
      <c r="M78" s="621" t="inlineStr">
        <is>
          <t>NOVEMBRO</t>
        </is>
      </c>
      <c r="N78" s="621" t="inlineStr">
        <is>
          <t>DEZEMBRO</t>
        </is>
      </c>
      <c r="O78" s="622" t="inlineStr">
        <is>
          <t>TOTAL</t>
        </is>
      </c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</row>
    <row r="79" ht="24.75" customHeight="1" s="673">
      <c r="A79" s="15" t="n"/>
      <c r="B79" s="623" t="inlineStr">
        <is>
          <t>RECEITA</t>
        </is>
      </c>
      <c r="C79" s="624">
        <f>#REF!+#REF!</f>
        <v/>
      </c>
      <c r="D79" s="624">
        <f>#REF!+#REF!</f>
        <v/>
      </c>
      <c r="E79" s="624">
        <f>#REF!+#REF!</f>
        <v/>
      </c>
      <c r="F79" s="624">
        <f>#REF!+#REF!</f>
        <v/>
      </c>
      <c r="G79" s="624">
        <f>#REF!+#REF!</f>
        <v/>
      </c>
      <c r="H79" s="624">
        <f>#REF!+#REF!</f>
        <v/>
      </c>
      <c r="I79" s="624">
        <f>#REF!+#REF!</f>
        <v/>
      </c>
      <c r="J79" s="624">
        <f>#REF!+#REF!</f>
        <v/>
      </c>
      <c r="K79" s="624">
        <f>#REF!+#REF!</f>
        <v/>
      </c>
      <c r="L79" s="624">
        <f>#REF!+#REF!</f>
        <v/>
      </c>
      <c r="M79" s="624">
        <f>#REF!+#REF!</f>
        <v/>
      </c>
      <c r="N79" s="624">
        <f>#REF!+#REF!</f>
        <v/>
      </c>
      <c r="O79" s="625">
        <f>SUM(C79:N79)</f>
        <v/>
      </c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</row>
    <row r="80" ht="24.75" customHeight="1" s="673">
      <c r="A80" s="15" t="n"/>
      <c r="B80" s="626" t="inlineStr">
        <is>
          <t>DESPESAS</t>
        </is>
      </c>
      <c r="C80" s="627">
        <f>#REF!+#REF!</f>
        <v/>
      </c>
      <c r="D80" s="627">
        <f>#REF!+#REF!</f>
        <v/>
      </c>
      <c r="E80" s="627">
        <f>#REF!+#REF!</f>
        <v/>
      </c>
      <c r="F80" s="627">
        <f>#REF!+#REF!</f>
        <v/>
      </c>
      <c r="G80" s="627">
        <f>#REF!+#REF!</f>
        <v/>
      </c>
      <c r="H80" s="627">
        <f>#REF!+#REF!</f>
        <v/>
      </c>
      <c r="I80" s="627">
        <f>#REF!+#REF!</f>
        <v/>
      </c>
      <c r="J80" s="627">
        <f>#REF!+#REF!</f>
        <v/>
      </c>
      <c r="K80" s="627">
        <f>#REF!+#REF!</f>
        <v/>
      </c>
      <c r="L80" s="627">
        <f>#REF!+#REF!</f>
        <v/>
      </c>
      <c r="M80" s="627">
        <f>#REF!+#REF!</f>
        <v/>
      </c>
      <c r="N80" s="627">
        <f>#REF!+#REF!</f>
        <v/>
      </c>
      <c r="O80" s="628">
        <f>SUM(C80:N80)</f>
        <v/>
      </c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</row>
    <row r="81" ht="24.75" customHeight="1" s="673">
      <c r="A81" s="15" t="n"/>
      <c r="B81" s="629" t="inlineStr">
        <is>
          <t>RESULTADO</t>
        </is>
      </c>
      <c r="C81" s="630">
        <f>C79-C80</f>
        <v/>
      </c>
      <c r="D81" s="630">
        <f>D79-D80</f>
        <v/>
      </c>
      <c r="E81" s="630">
        <f>E79-E80</f>
        <v/>
      </c>
      <c r="F81" s="630">
        <f>F79-F80</f>
        <v/>
      </c>
      <c r="G81" s="630">
        <f>G79-G80</f>
        <v/>
      </c>
      <c r="H81" s="630">
        <f>H79-H80</f>
        <v/>
      </c>
      <c r="I81" s="630">
        <f>I79-I80</f>
        <v/>
      </c>
      <c r="J81" s="630">
        <f>J79-J80</f>
        <v/>
      </c>
      <c r="K81" s="630">
        <f>K79-K80</f>
        <v/>
      </c>
      <c r="L81" s="630">
        <f>L79-L80</f>
        <v/>
      </c>
      <c r="M81" s="630">
        <f>M79-M80</f>
        <v/>
      </c>
      <c r="N81" s="630">
        <f>N79-N80</f>
        <v/>
      </c>
      <c r="O81" s="631">
        <f>SUM(C81:N81)</f>
        <v/>
      </c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</row>
    <row r="82" ht="24.75" customHeight="1" s="673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</row>
    <row r="83" ht="24.75" customHeight="1" s="67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</row>
    <row r="84" ht="24.75" customHeight="1" s="673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</row>
    <row r="85" ht="24.75" customHeight="1" s="673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</row>
    <row r="86" ht="24.75" customHeight="1" s="673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</row>
    <row r="87" ht="24.75" customHeight="1" s="673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</row>
    <row r="88" ht="24.75" customHeight="1" s="673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</row>
    <row r="89" ht="24.75" customHeight="1" s="673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</row>
    <row r="90" ht="24.75" customHeight="1" s="673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</row>
    <row r="91" ht="24.75" customHeight="1" s="673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</row>
    <row r="92" ht="24.75" customHeight="1" s="673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</row>
    <row r="93" ht="24.75" customHeight="1" s="67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</row>
    <row r="94" ht="24.75" customHeight="1" s="673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</row>
    <row r="95" ht="24.75" customHeight="1" s="673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</row>
    <row r="96" ht="24.75" customHeight="1" s="673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</row>
    <row r="97" ht="24.75" customHeight="1" s="673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</row>
    <row r="98" ht="24.75" customHeight="1" s="673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</row>
    <row r="99" ht="24.75" customHeight="1" s="673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</row>
    <row r="100" ht="24.75" customHeight="1" s="673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</row>
    <row r="101" ht="24.75" customHeight="1" s="673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</row>
    <row r="102" ht="24.75" customHeight="1" s="673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</row>
    <row r="103" ht="24.75" customHeight="1" s="67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</row>
    <row r="104" ht="24.75" customHeight="1" s="673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</row>
    <row r="105" ht="24.75" customHeight="1" s="673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</row>
    <row r="106" ht="24.75" customHeight="1" s="673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</row>
    <row r="107" ht="24.75" customHeight="1" s="673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</row>
    <row r="108" ht="24.75" customHeight="1" s="673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</row>
    <row r="109" ht="24.75" customHeight="1" s="673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</row>
    <row r="110" ht="24.75" customHeight="1" s="673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</row>
    <row r="111" ht="24.75" customHeight="1" s="673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</row>
    <row r="112" ht="24.75" customHeight="1" s="673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</row>
    <row r="113" ht="24.75" customHeight="1" s="67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</row>
    <row r="114" ht="24.75" customHeight="1" s="673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</row>
    <row r="115" ht="24.75" customHeight="1" s="673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</row>
    <row r="116" ht="24.75" customHeight="1" s="673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</row>
    <row r="117" ht="24.75" customHeight="1" s="673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</row>
    <row r="118" ht="24.75" customHeight="1" s="673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</row>
    <row r="119" ht="24.75" customHeight="1" s="673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</row>
    <row r="120" ht="24.75" customHeight="1" s="673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</row>
    <row r="121" ht="24.75" customHeight="1" s="673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</row>
    <row r="122" ht="24.75" customHeight="1" s="673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</row>
    <row r="123" ht="24.75" customHeight="1" s="67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</row>
    <row r="124" ht="24.75" customHeight="1" s="673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</row>
    <row r="125" ht="24.75" customHeight="1" s="673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</row>
    <row r="126" ht="24.75" customHeight="1" s="673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</row>
    <row r="127" ht="24.75" customHeight="1" s="673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</row>
    <row r="128" ht="24.75" customHeight="1" s="673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</row>
    <row r="129" ht="24.75" customHeight="1" s="673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</row>
    <row r="130" ht="24.75" customHeight="1" s="673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</row>
    <row r="131" ht="24.75" customHeight="1" s="673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</row>
    <row r="132" ht="24.75" customHeight="1" s="673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</row>
    <row r="133" ht="24.75" customHeight="1" s="67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</row>
    <row r="134" ht="24.75" customHeight="1" s="673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</row>
    <row r="135" ht="24.75" customHeight="1" s="673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</row>
    <row r="136" ht="24.75" customHeight="1" s="673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</row>
    <row r="137" ht="24.75" customHeight="1" s="673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</row>
    <row r="138" ht="24.75" customHeight="1" s="673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</row>
    <row r="139" ht="24.75" customHeight="1" s="673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</row>
    <row r="140" ht="24.75" customHeight="1" s="673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</row>
    <row r="141" ht="24.75" customHeight="1" s="673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</row>
    <row r="142" ht="24.75" customHeight="1" s="673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</row>
    <row r="143" ht="24.75" customHeight="1" s="67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</row>
    <row r="144" ht="24.75" customHeight="1" s="673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</row>
    <row r="145" ht="24.75" customHeight="1" s="673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</row>
    <row r="146" ht="24.75" customHeight="1" s="673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</row>
    <row r="147" ht="24.75" customHeight="1" s="673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</row>
    <row r="148" ht="24.75" customHeight="1" s="673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</row>
    <row r="149" ht="24.75" customHeight="1" s="673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</row>
    <row r="150" ht="24.75" customHeight="1" s="673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</row>
    <row r="151" ht="24.75" customHeight="1" s="673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</row>
    <row r="152" ht="24.75" customHeight="1" s="673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</row>
    <row r="153" ht="24.75" customHeight="1" s="67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</row>
    <row r="154" ht="24.75" customHeight="1" s="673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</row>
    <row r="155" ht="24.75" customHeight="1" s="673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</row>
    <row r="156" ht="24.75" customHeight="1" s="673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</row>
    <row r="157" ht="24.75" customHeight="1" s="673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</row>
    <row r="158" ht="24.75" customHeight="1" s="673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</row>
    <row r="159" ht="24.75" customHeight="1" s="673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</row>
    <row r="160" ht="24.75" customHeight="1" s="673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</row>
    <row r="161" ht="24.75" customHeight="1" s="673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</row>
    <row r="162" ht="24.75" customHeight="1" s="673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</row>
    <row r="163" ht="24.75" customHeight="1" s="67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</row>
    <row r="164" ht="24.75" customHeight="1" s="673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</row>
    <row r="165" ht="24.75" customHeight="1" s="673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</row>
    <row r="166" ht="24.75" customHeight="1" s="673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</row>
    <row r="167" ht="24.75" customHeight="1" s="673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</row>
    <row r="168" ht="24.75" customHeight="1" s="673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</row>
    <row r="169" ht="24.75" customHeight="1" s="673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</row>
    <row r="170" ht="24.75" customHeight="1" s="673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</row>
    <row r="171" ht="24.75" customHeight="1" s="673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</row>
    <row r="172" ht="24.75" customHeight="1" s="673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</row>
    <row r="173" ht="24.75" customHeight="1" s="6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</row>
    <row r="174" ht="24.75" customHeight="1" s="673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</row>
    <row r="175" ht="24.75" customHeight="1" s="673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</row>
    <row r="176" ht="24.75" customHeight="1" s="673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</row>
    <row r="177" ht="24.75" customHeight="1" s="673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</row>
    <row r="178" ht="24.75" customHeight="1" s="673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</row>
    <row r="179" ht="24.75" customHeight="1" s="673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</row>
    <row r="180" ht="24.75" customHeight="1" s="673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</row>
    <row r="181" ht="24.75" customHeight="1" s="673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</row>
    <row r="182" ht="24.75" customHeight="1" s="673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</row>
    <row r="183" ht="24.75" customHeight="1" s="67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</row>
    <row r="184" ht="24.75" customHeight="1" s="673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</row>
    <row r="185" ht="24.75" customHeight="1" s="673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</row>
    <row r="186" ht="24.75" customHeight="1" s="673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</row>
    <row r="187" ht="24.75" customHeight="1" s="673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</row>
    <row r="188" ht="24.75" customHeight="1" s="673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</row>
    <row r="189" ht="24.75" customHeight="1" s="673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</row>
    <row r="190" ht="24.75" customHeight="1" s="673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</row>
    <row r="191" ht="24.75" customHeight="1" s="673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</row>
    <row r="192" ht="24.75" customHeight="1" s="673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</row>
    <row r="193" ht="24.75" customHeight="1" s="67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</row>
    <row r="194" ht="24.75" customHeight="1" s="673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</row>
    <row r="195" ht="24.75" customHeight="1" s="673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</row>
    <row r="196" ht="24.75" customHeight="1" s="673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</row>
    <row r="197" ht="24.75" customHeight="1" s="673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</row>
    <row r="198" ht="24.75" customHeight="1" s="673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</row>
    <row r="199" ht="24.75" customHeight="1" s="673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</row>
    <row r="200" ht="24.75" customHeight="1" s="673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</row>
    <row r="201" ht="24.75" customHeight="1" s="673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</row>
    <row r="202" ht="24.75" customHeight="1" s="673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</row>
    <row r="203" ht="24.75" customHeight="1" s="67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</row>
    <row r="204" ht="24.75" customHeight="1" s="673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</row>
    <row r="205" ht="24.75" customHeight="1" s="673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</row>
    <row r="206" ht="24.75" customHeight="1" s="673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</row>
    <row r="207" ht="24.75" customHeight="1" s="673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</row>
    <row r="208" ht="24.75" customHeight="1" s="673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</row>
    <row r="209" ht="24.75" customHeight="1" s="673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</row>
    <row r="210" ht="24.75" customHeight="1" s="673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</row>
    <row r="211" ht="24.75" customHeight="1" s="673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</row>
    <row r="212" ht="24.75" customHeight="1" s="673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</row>
    <row r="213" ht="24.75" customHeight="1" s="67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</row>
    <row r="214" ht="24.75" customHeight="1" s="673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</row>
    <row r="215" ht="24.75" customHeight="1" s="673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</row>
    <row r="216" ht="24.75" customHeight="1" s="673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</row>
    <row r="217" ht="24.75" customHeight="1" s="673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</row>
    <row r="218" ht="24.75" customHeight="1" s="673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</row>
    <row r="219" ht="24.75" customHeight="1" s="673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</row>
    <row r="220" ht="24.75" customHeight="1" s="673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</row>
    <row r="221" ht="24.75" customHeight="1" s="673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</row>
    <row r="222" ht="24.75" customHeight="1" s="673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</row>
    <row r="223" ht="24.75" customHeight="1" s="67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</row>
    <row r="224" ht="24.75" customHeight="1" s="673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</row>
    <row r="225" ht="24.75" customHeight="1" s="673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</row>
    <row r="226" ht="24.75" customHeight="1" s="673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</row>
    <row r="227" ht="24.75" customHeight="1" s="673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</row>
    <row r="228" ht="24.75" customHeight="1" s="673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</row>
    <row r="229" ht="24.75" customHeight="1" s="673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</row>
    <row r="230" ht="24.75" customHeight="1" s="673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</row>
    <row r="231" ht="24.75" customHeight="1" s="673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</row>
    <row r="232" ht="24.75" customHeight="1" s="673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</row>
    <row r="233" ht="24.75" customHeight="1" s="67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</row>
    <row r="234" ht="24.75" customHeight="1" s="673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</row>
    <row r="235" ht="24.75" customHeight="1" s="673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</row>
    <row r="236" ht="24.75" customHeight="1" s="673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</row>
    <row r="237" ht="24.75" customHeight="1" s="673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</row>
    <row r="238" ht="24.75" customHeight="1" s="673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</row>
    <row r="239" ht="24.75" customHeight="1" s="673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</row>
    <row r="240" ht="24.75" customHeight="1" s="673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</row>
    <row r="241" ht="24.75" customHeight="1" s="673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</row>
    <row r="242" ht="24.75" customHeight="1" s="673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</row>
    <row r="243" ht="24.75" customHeight="1" s="67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</row>
    <row r="244" ht="24.75" customHeight="1" s="673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</row>
    <row r="245" ht="24.75" customHeight="1" s="673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</row>
    <row r="246" ht="24.75" customHeight="1" s="673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</row>
    <row r="247" ht="24.75" customHeight="1" s="673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</row>
    <row r="248" ht="24.75" customHeight="1" s="673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</row>
    <row r="249" ht="24.75" customHeight="1" s="673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</row>
    <row r="250" ht="24.75" customHeight="1" s="673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</row>
    <row r="251" ht="24.75" customHeight="1" s="673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</row>
    <row r="252" ht="24.75" customHeight="1" s="673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</row>
    <row r="253" ht="24.75" customHeight="1" s="67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</row>
    <row r="254" ht="24.75" customHeight="1" s="673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</row>
    <row r="255" ht="24.75" customHeight="1" s="673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</row>
    <row r="256" ht="24.75" customHeight="1" s="673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</row>
    <row r="257" ht="24.75" customHeight="1" s="673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</row>
    <row r="258" ht="24.75" customHeight="1" s="673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</row>
    <row r="259" ht="24.75" customHeight="1" s="673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</row>
    <row r="260" ht="24.75" customHeight="1" s="673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</row>
    <row r="261" ht="24.75" customHeight="1" s="673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</row>
    <row r="262" ht="24.75" customHeight="1" s="673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</row>
    <row r="263" ht="24.75" customHeight="1" s="67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</row>
    <row r="264" ht="24.75" customHeight="1" s="673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</row>
    <row r="265" ht="24.75" customHeight="1" s="673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</row>
    <row r="266" ht="24.75" customHeight="1" s="673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</row>
    <row r="267" ht="24.75" customHeight="1" s="673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</row>
    <row r="268" ht="24.75" customHeight="1" s="673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</row>
    <row r="269" ht="24.75" customHeight="1" s="673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</row>
    <row r="270" ht="24.75" customHeight="1" s="673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</row>
    <row r="271" ht="24.75" customHeight="1" s="673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</row>
    <row r="272" ht="24.75" customHeight="1" s="673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</row>
    <row r="273" ht="24.75" customHeight="1" s="6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</row>
    <row r="274" ht="24.75" customHeight="1" s="673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</row>
    <row r="275" ht="24.75" customHeight="1" s="673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</row>
    <row r="276" ht="24.75" customHeight="1" s="673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</row>
    <row r="277" ht="24.75" customHeight="1" s="673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</row>
    <row r="278" ht="24.75" customHeight="1" s="673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</row>
    <row r="279" ht="24.75" customHeight="1" s="673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</row>
    <row r="280" ht="24.75" customHeight="1" s="673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</row>
    <row r="281" ht="24.75" customHeight="1" s="673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printOptions horizontalCentered="1"/>
  <pageMargins left="0" right="0" top="1.062992125984252" bottom="0.5905511811023623" header="0" footer="0"/>
  <pageSetup orientation="landscape" paperSize="9"/>
  <headerFooter>
    <oddHeader/>
    <oddFooter>&amp;Cwww.safrasecifras.com.br  (53) 3227-1010&amp;R&amp;D &amp;T</oddFooter>
    <evenHeader/>
    <evenFooter/>
    <firstHeader/>
    <firstFooter/>
  </headerFooter>
  <rowBreaks count="1" manualBreakCount="1">
    <brk id="42" min="0" max="16383" man="1"/>
  </rowBreaks>
</worksheet>
</file>

<file path=xl/worksheets/sheet20.xml><?xml version="1.0" encoding="utf-8"?>
<worksheet xmlns="http://schemas.openxmlformats.org/spreadsheetml/2006/main">
  <sheetPr>
    <tabColor rgb="FFA9A7BB"/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3.88" customWidth="1" style="673" min="1" max="1"/>
    <col width="37" customWidth="1" style="673" min="2" max="2"/>
    <col width="15.88" customWidth="1" style="673" min="3" max="3"/>
    <col width="17.63" customWidth="1" style="673" min="4" max="4"/>
    <col width="17.13" customWidth="1" style="673" min="5" max="5"/>
    <col width="17" customWidth="1" style="673" min="6" max="6"/>
    <col width="8.380000000000001" customWidth="1" style="673" min="7" max="7"/>
    <col width="14.63" customWidth="1" style="673" min="8" max="8"/>
    <col width="14" customWidth="1" style="673" min="9" max="9"/>
    <col width="18" customWidth="1" style="673" min="10" max="10"/>
    <col width="5.13" customWidth="1" style="673" min="11" max="11"/>
    <col width="15" customWidth="1" style="673" min="12" max="13"/>
    <col width="13.88" customWidth="1" style="673" min="14" max="14"/>
    <col width="9.130000000000001" customWidth="1" style="673" min="15" max="26"/>
  </cols>
  <sheetData>
    <row r="1" ht="9.75" customHeight="1" s="673">
      <c r="A1" s="632" t="n"/>
      <c r="B1" s="632" t="n"/>
      <c r="C1" s="632" t="n"/>
      <c r="D1" s="632" t="n"/>
      <c r="E1" s="632" t="n"/>
      <c r="F1" s="632" t="n"/>
      <c r="G1" s="632" t="n"/>
      <c r="H1" s="632" t="n"/>
      <c r="I1" s="632" t="n"/>
      <c r="J1" s="632" t="n"/>
      <c r="K1" s="632" t="n"/>
      <c r="L1" s="632" t="n"/>
      <c r="M1" s="632" t="n"/>
      <c r="N1" s="632" t="n"/>
      <c r="O1" s="632" t="n"/>
      <c r="P1" s="632" t="n"/>
      <c r="Q1" s="632" t="n"/>
      <c r="R1" s="632" t="n"/>
      <c r="S1" s="632" t="n"/>
      <c r="T1" s="632" t="n"/>
      <c r="U1" s="632" t="n"/>
      <c r="V1" s="632" t="n"/>
      <c r="W1" s="632" t="n"/>
      <c r="X1" s="632" t="n"/>
      <c r="Y1" s="632" t="n"/>
      <c r="Z1" s="632" t="n"/>
    </row>
    <row r="2" ht="9.75" customHeight="1" s="673">
      <c r="A2" s="632" t="n"/>
      <c r="B2" s="632" t="n"/>
      <c r="C2" s="632" t="n"/>
      <c r="D2" s="632" t="n"/>
      <c r="E2" s="632" t="n"/>
      <c r="F2" s="632" t="n"/>
      <c r="G2" s="632" t="n"/>
      <c r="H2" s="632" t="n"/>
      <c r="I2" s="632" t="n"/>
      <c r="J2" s="632" t="n"/>
      <c r="K2" s="632" t="n"/>
      <c r="L2" s="632" t="n"/>
      <c r="M2" s="632" t="n"/>
      <c r="N2" s="632" t="n"/>
      <c r="O2" s="632" t="n"/>
      <c r="P2" s="632" t="n"/>
      <c r="Q2" s="632" t="n"/>
      <c r="R2" s="632" t="n"/>
      <c r="S2" s="632" t="n"/>
      <c r="T2" s="632" t="n"/>
      <c r="U2" s="632" t="n"/>
      <c r="V2" s="632" t="n"/>
      <c r="W2" s="632" t="n"/>
      <c r="X2" s="632" t="n"/>
      <c r="Y2" s="632" t="n"/>
      <c r="Z2" s="632" t="n"/>
    </row>
    <row r="3" ht="9.75" customHeight="1" s="673">
      <c r="A3" s="632" t="n"/>
      <c r="B3" s="632" t="n"/>
      <c r="C3" s="632" t="n"/>
      <c r="D3" s="632" t="n"/>
      <c r="E3" s="632" t="n"/>
      <c r="F3" s="632" t="n"/>
      <c r="G3" s="632" t="n"/>
      <c r="H3" s="632" t="n"/>
      <c r="I3" s="632" t="n"/>
      <c r="J3" s="632" t="n"/>
      <c r="K3" s="632" t="n"/>
      <c r="L3" s="632" t="n"/>
      <c r="M3" s="632" t="n"/>
      <c r="N3" s="632" t="n"/>
      <c r="O3" s="632" t="n"/>
      <c r="P3" s="632" t="n"/>
      <c r="Q3" s="632" t="n"/>
      <c r="R3" s="632" t="n"/>
      <c r="S3" s="632" t="n"/>
      <c r="T3" s="632" t="n"/>
      <c r="U3" s="632" t="n"/>
      <c r="V3" s="632" t="n"/>
      <c r="W3" s="632" t="n"/>
      <c r="X3" s="632" t="n"/>
      <c r="Y3" s="632" t="n"/>
      <c r="Z3" s="632" t="n"/>
    </row>
    <row r="4" ht="12.75" customHeight="1" s="673">
      <c r="A4" s="632" t="n"/>
      <c r="B4" s="633">
        <f>RECEITAS!B13</f>
        <v/>
      </c>
      <c r="D4" s="634" t="n"/>
      <c r="E4" s="634" t="n"/>
      <c r="F4" s="634" t="n"/>
      <c r="G4" s="634" t="n"/>
      <c r="H4" s="634" t="n"/>
      <c r="I4" s="634" t="n"/>
      <c r="J4" s="634" t="n"/>
      <c r="K4" s="632" t="n"/>
      <c r="L4" s="632" t="n"/>
      <c r="M4" s="632" t="n"/>
      <c r="N4" s="632" t="n"/>
      <c r="O4" s="632" t="n"/>
      <c r="P4" s="632" t="n"/>
      <c r="Q4" s="632" t="n"/>
      <c r="R4" s="632" t="n"/>
      <c r="S4" s="632" t="n"/>
      <c r="T4" s="632" t="n"/>
      <c r="U4" s="632" t="n"/>
      <c r="V4" s="632" t="n"/>
      <c r="W4" s="632" t="n"/>
      <c r="X4" s="632" t="n"/>
      <c r="Y4" s="632" t="n"/>
      <c r="Z4" s="632" t="n"/>
    </row>
    <row r="5" ht="7.5" customHeight="1" s="673">
      <c r="A5" s="632" t="n"/>
      <c r="B5" s="493" t="n"/>
      <c r="C5" s="493" t="n"/>
      <c r="D5" s="493" t="n"/>
      <c r="E5" s="493" t="n"/>
      <c r="F5" s="493" t="n"/>
      <c r="G5" s="493" t="n"/>
      <c r="H5" s="493" t="n"/>
      <c r="I5" s="493" t="n"/>
      <c r="J5" s="493" t="n"/>
      <c r="K5" s="632" t="n"/>
      <c r="L5" s="632" t="n"/>
      <c r="M5" s="632" t="n"/>
      <c r="N5" s="632" t="n"/>
      <c r="O5" s="632" t="n"/>
      <c r="P5" s="632" t="n"/>
      <c r="Q5" s="632" t="n"/>
      <c r="R5" s="632" t="n"/>
      <c r="S5" s="632" t="n"/>
      <c r="T5" s="632" t="n"/>
      <c r="U5" s="632" t="n"/>
      <c r="V5" s="632" t="n"/>
      <c r="W5" s="632" t="n"/>
      <c r="X5" s="632" t="n"/>
      <c r="Y5" s="632" t="n"/>
      <c r="Z5" s="632" t="n"/>
    </row>
    <row r="6" ht="12.75" customHeight="1" s="673">
      <c r="A6" s="632" t="n"/>
      <c r="B6" s="732" t="inlineStr">
        <is>
          <t>SIMULAÇÃO</t>
        </is>
      </c>
      <c r="C6" s="733" t="n"/>
      <c r="D6" s="635" t="n"/>
      <c r="E6" s="635" t="n"/>
      <c r="F6" s="635" t="n"/>
      <c r="G6" s="635" t="n"/>
      <c r="H6" s="635" t="n"/>
      <c r="I6" s="635" t="n"/>
      <c r="J6" s="635" t="n"/>
      <c r="K6" s="632" t="n"/>
      <c r="L6" s="632" t="n"/>
      <c r="M6" s="632" t="n"/>
      <c r="N6" s="632" t="n"/>
      <c r="O6" s="632" t="n"/>
      <c r="P6" s="632" t="n"/>
      <c r="Q6" s="632" t="n"/>
      <c r="R6" s="632" t="n"/>
      <c r="S6" s="632" t="n"/>
      <c r="T6" s="632" t="n"/>
      <c r="U6" s="632" t="n"/>
      <c r="V6" s="632" t="n"/>
      <c r="W6" s="632" t="n"/>
      <c r="X6" s="632" t="n"/>
      <c r="Y6" s="632" t="n"/>
      <c r="Z6" s="632" t="n"/>
    </row>
    <row r="7" ht="7.5" customHeight="1" s="673">
      <c r="A7" s="632" t="n"/>
      <c r="B7" s="496" t="n"/>
      <c r="C7" s="497" t="n"/>
      <c r="D7" s="636" t="n"/>
      <c r="E7" s="636" t="n"/>
      <c r="F7" s="636" t="n"/>
      <c r="G7" s="636" t="n"/>
      <c r="H7" s="636" t="n"/>
      <c r="I7" s="636" t="n"/>
      <c r="J7" s="636" t="n"/>
      <c r="K7" s="632" t="n"/>
      <c r="L7" s="632" t="n"/>
      <c r="M7" s="632" t="n"/>
      <c r="N7" s="632" t="n"/>
      <c r="O7" s="632" t="n"/>
      <c r="P7" s="632" t="n"/>
      <c r="Q7" s="632" t="n"/>
      <c r="R7" s="632" t="n"/>
      <c r="S7" s="632" t="n"/>
      <c r="T7" s="632" t="n"/>
      <c r="U7" s="632" t="n"/>
      <c r="V7" s="632" t="n"/>
      <c r="W7" s="632" t="n"/>
      <c r="X7" s="632" t="n"/>
      <c r="Y7" s="632" t="n"/>
      <c r="Z7" s="632" t="n"/>
    </row>
    <row r="8" ht="12.75" customHeight="1" s="673">
      <c r="A8" s="632" t="n"/>
      <c r="B8" s="637" t="inlineStr">
        <is>
          <t>Quantidade de meses analisados</t>
        </is>
      </c>
      <c r="C8" s="638" t="n">
        <v>3</v>
      </c>
      <c r="D8" s="639" t="n"/>
      <c r="E8" s="639" t="n"/>
      <c r="F8" s="636" t="n"/>
      <c r="G8" s="636" t="n"/>
      <c r="H8" s="636" t="n"/>
      <c r="I8" s="636" t="n"/>
      <c r="J8" s="636" t="n"/>
      <c r="K8" s="632" t="n"/>
      <c r="L8" s="632" t="n"/>
      <c r="M8" s="632" t="n"/>
      <c r="N8" s="632" t="n"/>
      <c r="O8" s="632" t="n"/>
      <c r="P8" s="632" t="n"/>
      <c r="Q8" s="632" t="n"/>
      <c r="R8" s="632" t="n"/>
      <c r="S8" s="632" t="n"/>
      <c r="T8" s="632" t="n"/>
      <c r="U8" s="632" t="n"/>
      <c r="V8" s="632" t="n"/>
      <c r="W8" s="632" t="n"/>
      <c r="X8" s="632" t="n"/>
      <c r="Y8" s="632" t="n"/>
      <c r="Z8" s="632" t="n"/>
    </row>
    <row r="9" ht="12.75" customHeight="1" s="673">
      <c r="A9" s="632" t="n"/>
      <c r="B9" s="637" t="inlineStr">
        <is>
          <t>Total faturado (s/ PIS e Cofins)</t>
        </is>
      </c>
      <c r="C9" s="640" t="n"/>
      <c r="D9" s="641" t="n"/>
      <c r="E9" s="641" t="n"/>
      <c r="F9" s="641" t="n"/>
      <c r="G9" s="641" t="n"/>
      <c r="H9" s="641" t="n"/>
      <c r="I9" s="641" t="n"/>
      <c r="J9" s="641" t="n"/>
      <c r="K9" s="632" t="n"/>
      <c r="L9" s="632" t="n"/>
      <c r="M9" s="632" t="n"/>
      <c r="N9" s="632" t="n"/>
      <c r="O9" s="632" t="n"/>
      <c r="P9" s="632" t="n"/>
      <c r="Q9" s="632" t="n"/>
      <c r="R9" s="632" t="n"/>
      <c r="S9" s="632" t="n"/>
      <c r="T9" s="632" t="n"/>
      <c r="U9" s="632" t="n"/>
      <c r="V9" s="632" t="n"/>
      <c r="W9" s="632" t="n"/>
      <c r="X9" s="632" t="n"/>
      <c r="Y9" s="632" t="n"/>
      <c r="Z9" s="632" t="n"/>
    </row>
    <row r="10" ht="12.75" customHeight="1" s="673">
      <c r="A10" s="632" t="n"/>
      <c r="B10" s="637" t="inlineStr">
        <is>
          <t>Total faturado (c/ PIS e Cofins)</t>
        </is>
      </c>
      <c r="C10" s="640" t="n">
        <v>0</v>
      </c>
      <c r="D10" s="632" t="n"/>
      <c r="E10" s="642" t="n"/>
      <c r="F10" s="642" t="n"/>
      <c r="G10" s="642" t="n"/>
      <c r="H10" s="642" t="n"/>
      <c r="I10" s="642" t="n"/>
      <c r="J10" s="632" t="n"/>
      <c r="K10" s="632" t="n"/>
      <c r="L10" s="632" t="n"/>
      <c r="M10" s="632" t="n"/>
      <c r="N10" s="632" t="n"/>
      <c r="O10" s="632" t="n"/>
      <c r="P10" s="632" t="n"/>
      <c r="Q10" s="632" t="n"/>
      <c r="R10" s="632" t="n"/>
      <c r="S10" s="632" t="n"/>
      <c r="T10" s="632" t="n"/>
      <c r="U10" s="632" t="n"/>
      <c r="V10" s="632" t="n"/>
      <c r="W10" s="632" t="n"/>
      <c r="X10" s="632" t="n"/>
      <c r="Y10" s="632" t="n"/>
      <c r="Z10" s="632" t="n"/>
    </row>
    <row r="11" ht="12.75" customHeight="1" s="673">
      <c r="A11" s="632" t="n"/>
      <c r="B11" s="637" t="inlineStr">
        <is>
          <t>Receitas com Aluguéis</t>
        </is>
      </c>
      <c r="C11" s="640" t="n"/>
      <c r="D11" s="643" t="n"/>
      <c r="E11" s="643" t="n"/>
      <c r="F11" s="643" t="n"/>
      <c r="G11" s="635" t="n"/>
      <c r="H11" s="635" t="n"/>
      <c r="I11" s="632" t="n"/>
      <c r="J11" s="635" t="n"/>
      <c r="K11" s="632" t="n"/>
      <c r="L11" s="632" t="n"/>
      <c r="M11" s="632" t="n"/>
      <c r="N11" s="632" t="n"/>
      <c r="O11" s="632" t="n"/>
      <c r="P11" s="632" t="n"/>
      <c r="Q11" s="632" t="n"/>
      <c r="R11" s="632" t="n"/>
      <c r="S11" s="632" t="n"/>
      <c r="T11" s="632" t="n"/>
      <c r="U11" s="632" t="n"/>
      <c r="V11" s="632" t="n"/>
      <c r="W11" s="632" t="n"/>
      <c r="X11" s="632" t="n"/>
      <c r="Y11" s="632" t="n"/>
      <c r="Z11" s="632" t="n"/>
    </row>
    <row r="12" ht="12.75" customHeight="1" s="673">
      <c r="A12" s="632" t="n"/>
      <c r="B12" s="637" t="inlineStr">
        <is>
          <t>Receitas Financeiras</t>
        </is>
      </c>
      <c r="C12" s="640" t="n"/>
      <c r="D12" s="644" t="n"/>
      <c r="E12" s="644" t="n"/>
      <c r="F12" s="644" t="n"/>
      <c r="G12" s="635" t="n"/>
      <c r="H12" s="635" t="n"/>
      <c r="I12" s="632" t="n"/>
      <c r="J12" s="635" t="n"/>
      <c r="K12" s="632" t="n"/>
      <c r="L12" s="632" t="n"/>
      <c r="M12" s="632" t="n"/>
      <c r="N12" s="632" t="n"/>
      <c r="O12" s="632" t="n"/>
      <c r="P12" s="632" t="n"/>
      <c r="Q12" s="632" t="n"/>
      <c r="R12" s="632" t="n"/>
      <c r="S12" s="632" t="n"/>
      <c r="T12" s="632" t="n"/>
      <c r="U12" s="632" t="n"/>
      <c r="V12" s="632" t="n"/>
      <c r="W12" s="632" t="n"/>
      <c r="X12" s="632" t="n"/>
      <c r="Y12" s="632" t="n"/>
      <c r="Z12" s="632" t="n"/>
    </row>
    <row r="13" ht="12.75" customHeight="1" s="673">
      <c r="A13" s="632" t="n"/>
      <c r="B13" s="637" t="inlineStr">
        <is>
          <t>Receitas Não Operacionais</t>
        </is>
      </c>
      <c r="C13" s="640" t="n"/>
      <c r="D13" s="645" t="n"/>
      <c r="E13" s="632" t="n"/>
      <c r="F13" s="632" t="n"/>
      <c r="G13" s="646" t="n"/>
      <c r="H13" s="632" t="n"/>
      <c r="I13" s="646" t="n"/>
      <c r="J13" s="632" t="n"/>
      <c r="K13" s="647" t="n"/>
      <c r="L13" s="647" t="n"/>
      <c r="M13" s="647" t="n"/>
      <c r="N13" s="632" t="n"/>
      <c r="O13" s="632" t="n"/>
      <c r="P13" s="632" t="n"/>
      <c r="Q13" s="632" t="n"/>
      <c r="R13" s="632" t="n"/>
      <c r="S13" s="632" t="n"/>
      <c r="T13" s="632" t="n"/>
      <c r="U13" s="632" t="n"/>
      <c r="V13" s="632" t="n"/>
      <c r="W13" s="632" t="n"/>
      <c r="X13" s="632" t="n"/>
      <c r="Y13" s="632" t="n"/>
      <c r="Z13" s="632" t="n"/>
    </row>
    <row r="14" ht="12.75" customHeight="1" s="673">
      <c r="A14" s="632" t="n"/>
      <c r="B14" s="648" t="inlineStr">
        <is>
          <t>Base de Cálculo IR</t>
        </is>
      </c>
      <c r="C14" s="640">
        <f>((C9+C10)*0.08)+(C11*0.32)+C12+C13</f>
        <v/>
      </c>
      <c r="D14" s="635" t="n"/>
      <c r="E14" s="649" t="n"/>
      <c r="F14" s="649" t="n"/>
      <c r="G14" s="632" t="n"/>
      <c r="H14" s="650" t="n"/>
      <c r="I14" s="650" t="n"/>
      <c r="J14" s="651" t="n"/>
      <c r="K14" s="632" t="n"/>
      <c r="L14" s="647" t="n"/>
      <c r="M14" s="647" t="n"/>
      <c r="N14" s="632" t="n"/>
      <c r="O14" s="632" t="n"/>
      <c r="P14" s="632" t="n"/>
      <c r="Q14" s="632" t="n"/>
      <c r="R14" s="632" t="n"/>
      <c r="S14" s="632" t="n"/>
      <c r="T14" s="632" t="n"/>
      <c r="U14" s="632" t="n"/>
      <c r="V14" s="632" t="n"/>
      <c r="W14" s="632" t="n"/>
      <c r="X14" s="632" t="n"/>
      <c r="Y14" s="632" t="n"/>
      <c r="Z14" s="632" t="n"/>
    </row>
    <row r="15" ht="12.75" customHeight="1" s="673">
      <c r="A15" s="632" t="n"/>
      <c r="B15" s="648" t="inlineStr">
        <is>
          <t>Base de Cálculo CSLL</t>
        </is>
      </c>
      <c r="C15" s="640">
        <f>((C9+C10)*0.12)+(C11*0.32)+C12+C13</f>
        <v/>
      </c>
      <c r="D15" s="651" t="n"/>
      <c r="E15" s="651" t="n"/>
      <c r="F15" s="651" t="n"/>
      <c r="G15" s="632" t="n"/>
      <c r="H15" s="650" t="n"/>
      <c r="I15" s="650" t="n"/>
      <c r="J15" s="651" t="n"/>
      <c r="K15" s="632" t="n"/>
      <c r="L15" s="652" t="n"/>
      <c r="M15" s="653" t="n"/>
      <c r="N15" s="632" t="n"/>
      <c r="O15" s="632" t="n"/>
      <c r="P15" s="632" t="n"/>
      <c r="Q15" s="632" t="n"/>
      <c r="R15" s="632" t="n"/>
      <c r="S15" s="632" t="n"/>
      <c r="T15" s="632" t="n"/>
      <c r="U15" s="632" t="n"/>
      <c r="V15" s="632" t="n"/>
      <c r="W15" s="632" t="n"/>
      <c r="X15" s="632" t="n"/>
      <c r="Y15" s="632" t="n"/>
      <c r="Z15" s="632" t="n"/>
    </row>
    <row r="16" ht="12.75" customHeight="1" s="673">
      <c r="A16" s="632" t="n"/>
      <c r="B16" s="648" t="inlineStr">
        <is>
          <t>IR - 15% (1,20%)</t>
        </is>
      </c>
      <c r="C16" s="640">
        <f>C14*0.15</f>
        <v/>
      </c>
      <c r="D16" s="651" t="n"/>
      <c r="E16" s="651" t="n"/>
      <c r="F16" s="651" t="n"/>
      <c r="G16" s="632" t="n"/>
      <c r="H16" s="654" t="n"/>
      <c r="I16" s="654" t="n"/>
      <c r="J16" s="651" t="n"/>
      <c r="K16" s="632" t="n"/>
      <c r="L16" s="652" t="n"/>
      <c r="M16" s="652" t="n"/>
      <c r="N16" s="632" t="n"/>
      <c r="O16" s="655" t="n"/>
      <c r="P16" s="655" t="n"/>
      <c r="Q16" s="632" t="n"/>
      <c r="R16" s="632" t="n"/>
      <c r="S16" s="632" t="n"/>
      <c r="T16" s="632" t="n"/>
      <c r="U16" s="632" t="n"/>
      <c r="V16" s="632" t="n"/>
      <c r="W16" s="632" t="n"/>
      <c r="X16" s="632" t="n"/>
      <c r="Y16" s="632" t="n"/>
      <c r="Z16" s="632" t="n"/>
    </row>
    <row r="17" ht="12.75" customHeight="1" s="673">
      <c r="A17" s="632" t="n"/>
      <c r="B17" s="648" t="inlineStr">
        <is>
          <t>IR Adicional - 10% (0,8%)</t>
        </is>
      </c>
      <c r="C17" s="640">
        <f>IF(C14&gt;C8*20000,(C14-C8*20000)*0.1,0)</f>
        <v/>
      </c>
      <c r="D17" s="651" t="n"/>
      <c r="E17" s="651" t="n"/>
      <c r="F17" s="651" t="n"/>
      <c r="G17" s="632" t="n"/>
      <c r="H17" s="654" t="n"/>
      <c r="I17" s="654" t="n"/>
      <c r="J17" s="651" t="n"/>
      <c r="K17" s="632" t="n"/>
      <c r="L17" s="652" t="n"/>
      <c r="M17" s="652" t="n"/>
      <c r="N17" s="632" t="n"/>
      <c r="O17" s="632" t="n"/>
      <c r="P17" s="632" t="n"/>
      <c r="Q17" s="632" t="n"/>
      <c r="R17" s="632" t="n"/>
      <c r="S17" s="632" t="n"/>
      <c r="T17" s="632" t="n"/>
      <c r="U17" s="632" t="n"/>
      <c r="V17" s="632" t="n"/>
      <c r="W17" s="632" t="n"/>
      <c r="X17" s="632" t="n"/>
      <c r="Y17" s="632" t="n"/>
      <c r="Z17" s="632" t="n"/>
    </row>
    <row r="18" ht="12.75" customHeight="1" s="673">
      <c r="A18" s="632" t="n"/>
      <c r="B18" s="648" t="inlineStr">
        <is>
          <t>CSLL - 9% (1,08%)</t>
        </is>
      </c>
      <c r="C18" s="640">
        <f>C15*0.09</f>
        <v/>
      </c>
      <c r="D18" s="651" t="n"/>
      <c r="E18" s="651" t="n"/>
      <c r="F18" s="651" t="n"/>
      <c r="G18" s="632" t="n"/>
      <c r="H18" s="654" t="n"/>
      <c r="I18" s="654" t="n"/>
      <c r="J18" s="651" t="n"/>
      <c r="K18" s="632" t="n"/>
      <c r="L18" s="656" t="n"/>
      <c r="M18" s="656" t="n"/>
      <c r="N18" s="632" t="n"/>
      <c r="O18" s="632" t="n"/>
      <c r="P18" s="632" t="n"/>
      <c r="Q18" s="632" t="n"/>
      <c r="R18" s="632" t="n"/>
      <c r="S18" s="632" t="n"/>
      <c r="T18" s="632" t="n"/>
      <c r="U18" s="632" t="n"/>
      <c r="V18" s="632" t="n"/>
      <c r="W18" s="632" t="n"/>
      <c r="X18" s="632" t="n"/>
      <c r="Y18" s="632" t="n"/>
      <c r="Z18" s="632" t="n"/>
    </row>
    <row r="19" ht="12.75" customHeight="1" s="673">
      <c r="A19" s="632" t="n"/>
      <c r="B19" s="648" t="inlineStr">
        <is>
          <t>Funrural - 2,05%</t>
        </is>
      </c>
      <c r="C19" s="640">
        <f>(C9+C10)*2.05/100</f>
        <v/>
      </c>
      <c r="D19" s="632" t="inlineStr">
        <is>
          <t xml:space="preserve">se for faturamento -&gt; 2,05% </t>
        </is>
      </c>
      <c r="E19" s="651" t="n"/>
      <c r="F19" s="651" t="inlineStr">
        <is>
          <t>se for folha -&gt; 0%</t>
        </is>
      </c>
      <c r="G19" s="632" t="n"/>
      <c r="H19" s="654" t="n"/>
      <c r="I19" s="654" t="n"/>
      <c r="J19" s="651" t="n"/>
      <c r="K19" s="632" t="n"/>
      <c r="L19" s="632" t="n"/>
      <c r="M19" s="632" t="n"/>
      <c r="N19" s="632" t="n"/>
      <c r="O19" s="632" t="n"/>
      <c r="P19" s="632" t="n"/>
      <c r="Q19" s="632" t="n"/>
      <c r="R19" s="632" t="n"/>
      <c r="S19" s="632" t="n"/>
      <c r="T19" s="632" t="n"/>
      <c r="U19" s="632" t="n"/>
      <c r="V19" s="632" t="n"/>
      <c r="W19" s="632" t="n"/>
      <c r="X19" s="632" t="n"/>
      <c r="Y19" s="632" t="n"/>
      <c r="Z19" s="632" t="n"/>
    </row>
    <row r="20" ht="12.75" customHeight="1" s="673">
      <c r="A20" s="632" t="n"/>
      <c r="B20" s="648" t="inlineStr">
        <is>
          <t>PIS</t>
        </is>
      </c>
      <c r="C20" s="640">
        <f>(C10+C11)*0.65/100</f>
        <v/>
      </c>
      <c r="D20" s="632" t="n"/>
      <c r="E20" s="632" t="n"/>
      <c r="F20" s="632" t="n"/>
      <c r="G20" s="632" t="n"/>
      <c r="H20" s="635" t="n"/>
      <c r="I20" s="635" t="n"/>
      <c r="J20" s="635" t="n"/>
      <c r="K20" s="632" t="n"/>
      <c r="L20" s="632" t="n"/>
      <c r="M20" s="632" t="n"/>
      <c r="N20" s="632" t="n"/>
      <c r="O20" s="632" t="n"/>
      <c r="P20" s="632" t="n"/>
      <c r="Q20" s="632" t="n"/>
      <c r="R20" s="632" t="n"/>
      <c r="S20" s="632" t="n"/>
      <c r="T20" s="632" t="n"/>
      <c r="U20" s="632" t="n"/>
      <c r="V20" s="632" t="n"/>
      <c r="W20" s="632" t="n"/>
      <c r="X20" s="632" t="n"/>
      <c r="Y20" s="632" t="n"/>
      <c r="Z20" s="632" t="n"/>
    </row>
    <row r="21" ht="12.75" customHeight="1" s="673">
      <c r="A21" s="632" t="n"/>
      <c r="B21" s="648" t="inlineStr">
        <is>
          <t>Cofins</t>
        </is>
      </c>
      <c r="C21" s="640">
        <f>(C10+C11)*3/100</f>
        <v/>
      </c>
      <c r="D21" s="632" t="n"/>
      <c r="E21" s="632" t="n"/>
      <c r="F21" s="632" t="n"/>
      <c r="G21" s="632" t="n"/>
      <c r="H21" s="632" t="n"/>
      <c r="I21" s="632" t="n"/>
      <c r="J21" s="632" t="n"/>
      <c r="K21" s="632" t="n"/>
      <c r="L21" s="632" t="n"/>
      <c r="M21" s="632" t="n"/>
      <c r="N21" s="632" t="n"/>
      <c r="O21" s="632" t="n"/>
      <c r="P21" s="632" t="n"/>
      <c r="Q21" s="632" t="n"/>
      <c r="R21" s="632" t="n"/>
      <c r="S21" s="632" t="n"/>
      <c r="T21" s="632" t="n"/>
      <c r="U21" s="632" t="n"/>
      <c r="V21" s="632" t="n"/>
      <c r="W21" s="632" t="n"/>
      <c r="X21" s="632" t="n"/>
      <c r="Y21" s="632" t="n"/>
      <c r="Z21" s="632" t="n"/>
    </row>
    <row r="22" ht="7.5" customHeight="1" s="673">
      <c r="A22" s="632" t="n"/>
      <c r="B22" s="648" t="n"/>
      <c r="C22" s="640" t="n"/>
      <c r="D22" s="645" t="n"/>
      <c r="E22" s="635" t="n"/>
      <c r="F22" s="635" t="n"/>
      <c r="G22" s="646" t="n"/>
      <c r="H22" s="632" t="n"/>
      <c r="I22" s="646" t="n"/>
      <c r="J22" s="632" t="n"/>
      <c r="K22" s="632" t="n"/>
      <c r="L22" s="632" t="n"/>
      <c r="M22" s="632" t="n"/>
      <c r="N22" s="632" t="n"/>
      <c r="O22" s="632" t="n"/>
      <c r="P22" s="632" t="n"/>
      <c r="Q22" s="632" t="n"/>
      <c r="R22" s="632" t="n"/>
      <c r="S22" s="632" t="n"/>
      <c r="T22" s="632" t="n"/>
      <c r="U22" s="632" t="n"/>
      <c r="V22" s="632" t="n"/>
      <c r="W22" s="632" t="n"/>
      <c r="X22" s="632" t="n"/>
      <c r="Y22" s="632" t="n"/>
      <c r="Z22" s="632" t="n"/>
    </row>
    <row r="23" ht="12.75" customHeight="1" s="673">
      <c r="A23" s="632" t="n"/>
      <c r="B23" s="648" t="inlineStr">
        <is>
          <t>Diferença de Funrural - 0,55%</t>
        </is>
      </c>
      <c r="C23" s="640">
        <f>(C9+C10)*0.55/100</f>
        <v/>
      </c>
      <c r="D23" s="635" t="n"/>
      <c r="E23" s="649" t="n"/>
      <c r="F23" s="649" t="n"/>
      <c r="G23" s="632" t="n"/>
      <c r="H23" s="650" t="n"/>
      <c r="I23" s="650" t="n"/>
      <c r="J23" s="651" t="n"/>
      <c r="K23" s="632" t="n"/>
      <c r="L23" s="647" t="n"/>
      <c r="M23" s="647" t="n"/>
      <c r="N23" s="632" t="n"/>
      <c r="O23" s="632" t="n"/>
      <c r="P23" s="632" t="n"/>
      <c r="Q23" s="632" t="n"/>
      <c r="R23" s="632" t="n"/>
      <c r="S23" s="632" t="n"/>
      <c r="T23" s="632" t="n"/>
      <c r="U23" s="632" t="n"/>
      <c r="V23" s="632" t="n"/>
      <c r="W23" s="632" t="n"/>
      <c r="X23" s="632" t="n"/>
      <c r="Y23" s="632" t="n"/>
      <c r="Z23" s="632" t="n"/>
    </row>
    <row r="24" ht="7.5" customHeight="1" s="673">
      <c r="A24" s="632" t="n"/>
      <c r="B24" s="498" t="n"/>
      <c r="C24" s="499" t="n"/>
      <c r="D24" s="651" t="n"/>
      <c r="E24" s="651" t="n"/>
      <c r="F24" s="651" t="n"/>
      <c r="G24" s="632" t="n"/>
      <c r="H24" s="650" t="n"/>
      <c r="I24" s="650" t="n"/>
      <c r="J24" s="651" t="n"/>
      <c r="K24" s="632" t="n"/>
      <c r="L24" s="652" t="n"/>
      <c r="M24" s="653" t="n"/>
      <c r="N24" s="632" t="n"/>
      <c r="O24" s="632" t="n"/>
      <c r="P24" s="632" t="n"/>
      <c r="Q24" s="632" t="n"/>
      <c r="R24" s="632" t="n"/>
      <c r="S24" s="632" t="n"/>
      <c r="T24" s="632" t="n"/>
      <c r="U24" s="632" t="n"/>
      <c r="V24" s="632" t="n"/>
      <c r="W24" s="632" t="n"/>
      <c r="X24" s="632" t="n"/>
      <c r="Y24" s="632" t="n"/>
      <c r="Z24" s="632" t="n"/>
    </row>
    <row r="25" ht="12.75" customHeight="1" s="673">
      <c r="A25" s="632" t="n"/>
      <c r="B25" s="657" t="inlineStr">
        <is>
          <t>Total tributos PJ</t>
        </is>
      </c>
      <c r="C25" s="658">
        <f>IF(C8=0,"ERRO",SUM(C16:C21))</f>
        <v/>
      </c>
      <c r="D25" s="651" t="n"/>
      <c r="E25" s="651" t="n"/>
      <c r="F25" s="651" t="n"/>
      <c r="G25" s="632" t="n"/>
      <c r="H25" s="650" t="n"/>
      <c r="I25" s="650" t="n"/>
      <c r="J25" s="651" t="n"/>
      <c r="K25" s="632" t="n"/>
      <c r="L25" s="652" t="n"/>
      <c r="M25" s="653" t="n"/>
      <c r="N25" s="632" t="n"/>
      <c r="O25" s="632" t="n"/>
      <c r="P25" s="632" t="n"/>
      <c r="Q25" s="632" t="n"/>
      <c r="R25" s="632" t="n"/>
      <c r="S25" s="632" t="n"/>
      <c r="T25" s="632" t="n"/>
      <c r="U25" s="632" t="n"/>
      <c r="V25" s="632" t="n"/>
      <c r="W25" s="632" t="n"/>
      <c r="X25" s="632" t="n"/>
      <c r="Y25" s="632" t="n"/>
      <c r="Z25" s="632" t="n"/>
    </row>
    <row r="26" ht="12.75" customHeight="1" s="673">
      <c r="A26" s="632" t="n"/>
      <c r="B26" s="657" t="inlineStr">
        <is>
          <t>Tributos PJ + Dif. Funrural</t>
        </is>
      </c>
      <c r="C26" s="658">
        <f>IF(C8=0,"ERRO",SUM(C16:C18,C20,C21,C23))</f>
        <v/>
      </c>
      <c r="D26" s="651" t="n"/>
      <c r="E26" s="651" t="n"/>
      <c r="F26" s="651" t="n"/>
      <c r="G26" s="632" t="n"/>
      <c r="H26" s="654" t="n"/>
      <c r="I26" s="654" t="n"/>
      <c r="J26" s="651" t="n"/>
      <c r="K26" s="632" t="n"/>
      <c r="L26" s="652" t="n"/>
      <c r="M26" s="652" t="n"/>
      <c r="N26" s="632" t="n"/>
      <c r="O26" s="632" t="n"/>
      <c r="P26" s="632" t="n"/>
      <c r="Q26" s="632" t="n"/>
      <c r="R26" s="632" t="n"/>
      <c r="S26" s="632" t="n"/>
      <c r="T26" s="632" t="n"/>
      <c r="U26" s="632" t="n"/>
      <c r="V26" s="632" t="n"/>
      <c r="W26" s="632" t="n"/>
      <c r="X26" s="632" t="n"/>
      <c r="Y26" s="632" t="n"/>
      <c r="Z26" s="632" t="n"/>
    </row>
    <row r="27" ht="12.75" customHeight="1" s="673">
      <c r="A27" s="632" t="n"/>
      <c r="B27" s="659" t="n"/>
      <c r="C27" s="632" t="n"/>
      <c r="D27" s="651" t="n"/>
      <c r="E27" s="651" t="n"/>
      <c r="F27" s="651" t="n"/>
      <c r="G27" s="632" t="n"/>
      <c r="H27" s="654" t="n"/>
      <c r="I27" s="654" t="n"/>
      <c r="J27" s="651" t="n"/>
      <c r="K27" s="632" t="n"/>
      <c r="L27" s="652" t="n"/>
      <c r="M27" s="652" t="n"/>
      <c r="N27" s="632" t="n"/>
      <c r="O27" s="632" t="n"/>
      <c r="P27" s="632" t="n"/>
      <c r="Q27" s="632" t="n"/>
      <c r="R27" s="632" t="n"/>
      <c r="S27" s="632" t="n"/>
      <c r="T27" s="632" t="n"/>
      <c r="U27" s="632" t="n"/>
      <c r="V27" s="632" t="n"/>
      <c r="W27" s="632" t="n"/>
      <c r="X27" s="632" t="n"/>
      <c r="Y27" s="632" t="n"/>
      <c r="Z27" s="632" t="n"/>
    </row>
    <row r="28" ht="12.75" customHeight="1" s="673">
      <c r="A28" s="632" t="n"/>
      <c r="B28" s="660" t="n"/>
      <c r="C28" s="660" t="n"/>
      <c r="D28" s="651" t="n"/>
      <c r="E28" s="651" t="n"/>
      <c r="F28" s="651" t="n"/>
      <c r="G28" s="632" t="n"/>
      <c r="H28" s="654" t="n"/>
      <c r="I28" s="654" t="n"/>
      <c r="J28" s="651" t="n"/>
      <c r="K28" s="632" t="n"/>
      <c r="L28" s="656" t="n"/>
      <c r="M28" s="656" t="n"/>
      <c r="N28" s="632" t="n"/>
      <c r="O28" s="632" t="n"/>
      <c r="P28" s="632" t="n"/>
      <c r="Q28" s="632" t="n"/>
      <c r="R28" s="632" t="n"/>
      <c r="S28" s="632" t="n"/>
      <c r="T28" s="632" t="n"/>
      <c r="U28" s="632" t="n"/>
      <c r="V28" s="632" t="n"/>
      <c r="W28" s="632" t="n"/>
      <c r="X28" s="632" t="n"/>
      <c r="Y28" s="632" t="n"/>
      <c r="Z28" s="632" t="n"/>
    </row>
    <row r="29" ht="12.75" customHeight="1" s="673">
      <c r="A29" s="632" t="n"/>
      <c r="B29" s="654" t="n"/>
      <c r="C29" s="654" t="n"/>
      <c r="D29" s="632" t="n"/>
      <c r="E29" s="651" t="n"/>
      <c r="F29" s="651" t="n"/>
      <c r="G29" s="632" t="n"/>
      <c r="H29" s="654" t="n"/>
      <c r="I29" s="654" t="n"/>
      <c r="J29" s="651" t="n"/>
      <c r="K29" s="632" t="n"/>
      <c r="L29" s="632" t="n"/>
      <c r="M29" s="632" t="n"/>
      <c r="N29" s="632" t="n"/>
      <c r="O29" s="632" t="n"/>
      <c r="P29" s="632" t="n"/>
      <c r="Q29" s="632" t="n"/>
      <c r="R29" s="632" t="n"/>
      <c r="S29" s="632" t="n"/>
      <c r="T29" s="632" t="n"/>
      <c r="U29" s="632" t="n"/>
      <c r="V29" s="632" t="n"/>
      <c r="W29" s="632" t="n"/>
      <c r="X29" s="632" t="n"/>
      <c r="Y29" s="632" t="n"/>
      <c r="Z29" s="632" t="n"/>
    </row>
    <row r="30" ht="12.75" customHeight="1" s="673">
      <c r="A30" s="632" t="n"/>
      <c r="B30" s="654" t="n"/>
      <c r="C30" s="654" t="n"/>
      <c r="D30" s="654" t="n"/>
      <c r="E30" s="661" t="n"/>
      <c r="F30" s="632" t="n"/>
      <c r="G30" s="662" t="n"/>
      <c r="H30" s="635" t="n"/>
      <c r="I30" s="632" t="n"/>
      <c r="J30" s="635" t="n"/>
      <c r="K30" s="635" t="n"/>
      <c r="L30" s="632" t="n"/>
      <c r="M30" s="632" t="n"/>
      <c r="N30" s="632" t="n"/>
      <c r="O30" s="632" t="n"/>
      <c r="P30" s="632" t="n"/>
      <c r="Q30" s="632" t="n"/>
      <c r="R30" s="632" t="n"/>
      <c r="S30" s="632" t="n"/>
      <c r="T30" s="632" t="n"/>
      <c r="U30" s="632" t="n"/>
      <c r="V30" s="632" t="n"/>
      <c r="W30" s="632" t="n"/>
      <c r="X30" s="632" t="n"/>
      <c r="Y30" s="632" t="n"/>
      <c r="Z30" s="632" t="n"/>
    </row>
    <row r="31" ht="12.75" customHeight="1" s="673">
      <c r="A31" s="632" t="n"/>
      <c r="B31" s="663" t="n"/>
      <c r="C31" s="654" t="n"/>
      <c r="D31" s="654" t="n"/>
      <c r="E31" s="661" t="n"/>
      <c r="F31" s="632" t="n"/>
      <c r="G31" s="662" t="n"/>
      <c r="H31" s="662" t="n"/>
      <c r="I31" s="632" t="n"/>
      <c r="J31" s="664" t="n"/>
      <c r="K31" s="632" t="n"/>
      <c r="L31" s="632" t="n"/>
      <c r="M31" s="632" t="n"/>
      <c r="N31" s="632" t="n"/>
      <c r="O31" s="632" t="n"/>
      <c r="P31" s="632" t="n"/>
      <c r="Q31" s="632" t="n"/>
      <c r="R31" s="632" t="n"/>
      <c r="S31" s="632" t="n"/>
      <c r="T31" s="632" t="n"/>
      <c r="U31" s="632" t="n"/>
      <c r="V31" s="632" t="n"/>
      <c r="W31" s="632" t="n"/>
      <c r="X31" s="632" t="n"/>
      <c r="Y31" s="632" t="n"/>
      <c r="Z31" s="632" t="n"/>
    </row>
    <row r="32" ht="12.75" customHeight="1" s="673">
      <c r="A32" s="632" t="n"/>
      <c r="B32" s="665" t="n"/>
      <c r="C32" s="645" t="n"/>
      <c r="D32" s="645" t="n"/>
      <c r="E32" s="635" t="n"/>
      <c r="F32" s="635" t="n"/>
      <c r="G32" s="646" t="n"/>
      <c r="H32" s="632" t="n"/>
      <c r="I32" s="646" t="n"/>
      <c r="J32" s="632" t="n"/>
      <c r="K32" s="632" t="n"/>
      <c r="L32" s="632" t="n"/>
      <c r="M32" s="632" t="n"/>
      <c r="N32" s="632" t="n"/>
      <c r="O32" s="632" t="n"/>
      <c r="P32" s="632" t="n"/>
      <c r="Q32" s="632" t="n"/>
      <c r="R32" s="632" t="n"/>
      <c r="S32" s="632" t="n"/>
      <c r="T32" s="632" t="n"/>
      <c r="U32" s="632" t="n"/>
      <c r="V32" s="632" t="n"/>
      <c r="W32" s="632" t="n"/>
      <c r="X32" s="632" t="n"/>
      <c r="Y32" s="632" t="n"/>
      <c r="Z32" s="632" t="n"/>
    </row>
    <row r="33" ht="12.75" customHeight="1" s="673">
      <c r="A33" s="632" t="n"/>
      <c r="B33" s="666" t="n"/>
      <c r="C33" s="635" t="n"/>
      <c r="D33" s="635" t="n"/>
      <c r="E33" s="649" t="n"/>
      <c r="F33" s="649" t="n"/>
      <c r="G33" s="632" t="n"/>
      <c r="H33" s="650" t="n"/>
      <c r="I33" s="650" t="n"/>
      <c r="J33" s="651" t="n"/>
      <c r="K33" s="632" t="n"/>
      <c r="L33" s="647" t="n"/>
      <c r="M33" s="647" t="n"/>
      <c r="N33" s="632" t="n"/>
      <c r="O33" s="632" t="n"/>
      <c r="P33" s="632" t="n"/>
      <c r="Q33" s="632" t="n"/>
      <c r="R33" s="632" t="n"/>
      <c r="S33" s="632" t="n"/>
      <c r="T33" s="632" t="n"/>
      <c r="U33" s="632" t="n"/>
      <c r="V33" s="632" t="n"/>
      <c r="W33" s="632" t="n"/>
      <c r="X33" s="632" t="n"/>
      <c r="Y33" s="632" t="n"/>
      <c r="Z33" s="632" t="n"/>
    </row>
    <row r="34" ht="12.75" customHeight="1" s="673">
      <c r="A34" s="632" t="n"/>
      <c r="B34" s="659" t="n"/>
      <c r="C34" s="667" t="n"/>
      <c r="D34" s="651" t="n"/>
      <c r="E34" s="651" t="n"/>
      <c r="F34" s="651" t="n"/>
      <c r="G34" s="632" t="n"/>
      <c r="H34" s="650" t="n"/>
      <c r="I34" s="650" t="n"/>
      <c r="J34" s="651" t="n"/>
      <c r="K34" s="632" t="n"/>
      <c r="L34" s="652" t="n"/>
      <c r="M34" s="653" t="n"/>
      <c r="N34" s="632" t="n"/>
      <c r="O34" s="632" t="n"/>
      <c r="P34" s="632" t="n"/>
      <c r="Q34" s="632" t="n"/>
      <c r="R34" s="632" t="n"/>
      <c r="S34" s="632" t="n"/>
      <c r="T34" s="632" t="n"/>
      <c r="U34" s="632" t="n"/>
      <c r="V34" s="632" t="n"/>
      <c r="W34" s="632" t="n"/>
      <c r="X34" s="632" t="n"/>
      <c r="Y34" s="632" t="n"/>
      <c r="Z34" s="632" t="n"/>
    </row>
    <row r="35" ht="12.75" customHeight="1" s="673">
      <c r="A35" s="632" t="n"/>
      <c r="B35" s="659" t="n"/>
      <c r="C35" s="667" t="n"/>
      <c r="D35" s="651" t="n"/>
      <c r="E35" s="651" t="n"/>
      <c r="F35" s="651" t="n"/>
      <c r="G35" s="632" t="n"/>
      <c r="H35" s="654" t="n"/>
      <c r="I35" s="654" t="n"/>
      <c r="J35" s="651" t="n"/>
      <c r="K35" s="632" t="n"/>
      <c r="L35" s="652" t="n"/>
      <c r="M35" s="652" t="n"/>
      <c r="N35" s="632" t="n"/>
      <c r="O35" s="632" t="n"/>
      <c r="P35" s="632" t="n"/>
      <c r="Q35" s="632" t="n"/>
      <c r="R35" s="632" t="n"/>
      <c r="S35" s="632" t="n"/>
      <c r="T35" s="632" t="n"/>
      <c r="U35" s="632" t="n"/>
      <c r="V35" s="632" t="n"/>
      <c r="W35" s="632" t="n"/>
      <c r="X35" s="632" t="n"/>
      <c r="Y35" s="632" t="n"/>
      <c r="Z35" s="632" t="n"/>
    </row>
    <row r="36" ht="12.75" customHeight="1" s="673">
      <c r="A36" s="632" t="n"/>
      <c r="B36" s="659" t="n"/>
      <c r="C36" s="632" t="n"/>
      <c r="D36" s="651" t="n"/>
      <c r="E36" s="651" t="n"/>
      <c r="F36" s="651" t="n"/>
      <c r="G36" s="632" t="n"/>
      <c r="H36" s="654" t="n"/>
      <c r="I36" s="654" t="n"/>
      <c r="J36" s="651" t="n"/>
      <c r="K36" s="632" t="n"/>
      <c r="L36" s="652" t="n"/>
      <c r="M36" s="652" t="n"/>
      <c r="N36" s="632" t="n"/>
      <c r="O36" s="632" t="n"/>
      <c r="P36" s="632" t="n"/>
      <c r="Q36" s="632" t="n"/>
      <c r="R36" s="632" t="n"/>
      <c r="S36" s="632" t="n"/>
      <c r="T36" s="632" t="n"/>
      <c r="U36" s="632" t="n"/>
      <c r="V36" s="632" t="n"/>
      <c r="W36" s="632" t="n"/>
      <c r="X36" s="632" t="n"/>
      <c r="Y36" s="632" t="n"/>
      <c r="Z36" s="632" t="n"/>
    </row>
    <row r="37" ht="12.75" customHeight="1" s="673">
      <c r="A37" s="632" t="n"/>
      <c r="B37" s="660" t="n"/>
      <c r="C37" s="660" t="n"/>
      <c r="D37" s="651" t="n"/>
      <c r="E37" s="651" t="n"/>
      <c r="F37" s="651" t="n"/>
      <c r="G37" s="632" t="n"/>
      <c r="H37" s="654" t="n"/>
      <c r="I37" s="654" t="n"/>
      <c r="J37" s="651" t="n"/>
      <c r="K37" s="632" t="n"/>
      <c r="L37" s="656" t="n"/>
      <c r="M37" s="656" t="n"/>
      <c r="N37" s="632" t="n"/>
      <c r="O37" s="632" t="n"/>
      <c r="P37" s="632" t="n"/>
      <c r="Q37" s="632" t="n"/>
      <c r="R37" s="632" t="n"/>
      <c r="S37" s="632" t="n"/>
      <c r="T37" s="632" t="n"/>
      <c r="U37" s="632" t="n"/>
      <c r="V37" s="632" t="n"/>
      <c r="W37" s="632" t="n"/>
      <c r="X37" s="632" t="n"/>
      <c r="Y37" s="632" t="n"/>
      <c r="Z37" s="632" t="n"/>
    </row>
    <row r="38" ht="12.75" customHeight="1" s="673">
      <c r="A38" s="632" t="n"/>
      <c r="B38" s="654" t="n"/>
      <c r="C38" s="654" t="n"/>
      <c r="D38" s="632" t="n"/>
      <c r="E38" s="651" t="n"/>
      <c r="F38" s="651" t="n"/>
      <c r="G38" s="632" t="n"/>
      <c r="H38" s="654" t="n"/>
      <c r="I38" s="654" t="n"/>
      <c r="J38" s="651" t="n"/>
      <c r="K38" s="632" t="n"/>
      <c r="L38" s="632" t="n"/>
      <c r="M38" s="632" t="n"/>
      <c r="N38" s="632" t="n"/>
      <c r="O38" s="632" t="n"/>
      <c r="P38" s="632" t="n"/>
      <c r="Q38" s="632" t="n"/>
      <c r="R38" s="632" t="n"/>
      <c r="S38" s="632" t="n"/>
      <c r="T38" s="632" t="n"/>
      <c r="U38" s="632" t="n"/>
      <c r="V38" s="632" t="n"/>
      <c r="W38" s="632" t="n"/>
      <c r="X38" s="632" t="n"/>
      <c r="Y38" s="632" t="n"/>
      <c r="Z38" s="632" t="n"/>
    </row>
    <row r="39" ht="12.75" customHeight="1" s="673">
      <c r="A39" s="632" t="n"/>
      <c r="B39" s="632" t="n"/>
      <c r="C39" s="632" t="n"/>
      <c r="D39" s="632" t="n"/>
      <c r="E39" s="632" t="n"/>
      <c r="F39" s="632" t="n"/>
      <c r="G39" s="632" t="n"/>
      <c r="H39" s="635" t="n"/>
      <c r="I39" s="635" t="n"/>
      <c r="J39" s="635" t="n"/>
      <c r="K39" s="632" t="n"/>
      <c r="L39" s="632" t="n"/>
      <c r="M39" s="632" t="n"/>
      <c r="N39" s="632" t="n"/>
      <c r="O39" s="632" t="n"/>
      <c r="P39" s="632" t="n"/>
      <c r="Q39" s="632" t="n"/>
      <c r="R39" s="632" t="n"/>
      <c r="S39" s="632" t="n"/>
      <c r="T39" s="632" t="n"/>
      <c r="U39" s="632" t="n"/>
      <c r="V39" s="632" t="n"/>
      <c r="W39" s="632" t="n"/>
      <c r="X39" s="632" t="n"/>
      <c r="Y39" s="632" t="n"/>
      <c r="Z39" s="632" t="n"/>
    </row>
    <row r="40" ht="12.75" customHeight="1" s="673">
      <c r="A40" s="632" t="n"/>
      <c r="B40" s="632" t="n"/>
      <c r="C40" s="632" t="n"/>
      <c r="D40" s="632" t="n"/>
      <c r="E40" s="632" t="n"/>
      <c r="F40" s="632" t="n"/>
      <c r="G40" s="632" t="n"/>
      <c r="H40" s="632" t="n"/>
      <c r="I40" s="632" t="n"/>
      <c r="J40" s="632" t="n"/>
      <c r="K40" s="632" t="n"/>
      <c r="L40" s="632" t="n"/>
      <c r="M40" s="632" t="n"/>
      <c r="N40" s="632" t="n"/>
      <c r="O40" s="632" t="n"/>
      <c r="P40" s="632" t="n"/>
      <c r="Q40" s="632" t="n"/>
      <c r="R40" s="632" t="n"/>
      <c r="S40" s="632" t="n"/>
      <c r="T40" s="632" t="n"/>
      <c r="U40" s="632" t="n"/>
      <c r="V40" s="632" t="n"/>
      <c r="W40" s="632" t="n"/>
      <c r="X40" s="632" t="n"/>
      <c r="Y40" s="632" t="n"/>
      <c r="Z40" s="632" t="n"/>
    </row>
    <row r="41" hidden="1" ht="15" customHeight="1" s="673">
      <c r="A41" s="632" t="n"/>
      <c r="B41" s="665" t="n"/>
      <c r="C41" s="645" t="n"/>
      <c r="D41" s="645" t="n"/>
      <c r="E41" s="635" t="n"/>
      <c r="F41" s="635" t="n"/>
      <c r="G41" s="646" t="n"/>
      <c r="H41" s="632" t="n"/>
      <c r="I41" s="646" t="n"/>
      <c r="J41" s="632" t="n"/>
      <c r="K41" s="632" t="n"/>
      <c r="L41" s="632" t="n"/>
      <c r="M41" s="632" t="n"/>
      <c r="N41" s="632" t="n"/>
      <c r="O41" s="632" t="n"/>
      <c r="P41" s="632" t="n"/>
      <c r="Q41" s="632" t="n"/>
      <c r="R41" s="632" t="n"/>
      <c r="S41" s="632" t="n"/>
      <c r="T41" s="632" t="n"/>
      <c r="U41" s="632" t="n"/>
      <c r="V41" s="632" t="n"/>
      <c r="W41" s="632" t="n"/>
      <c r="X41" s="632" t="n"/>
      <c r="Y41" s="632" t="n"/>
      <c r="Z41" s="632" t="n"/>
    </row>
    <row r="42" hidden="1" ht="13.5" customHeight="1" s="673">
      <c r="A42" s="632" t="n"/>
      <c r="B42" s="666" t="n"/>
      <c r="C42" s="635" t="n"/>
      <c r="D42" s="635" t="n"/>
      <c r="E42" s="649" t="n"/>
      <c r="F42" s="649" t="n"/>
      <c r="G42" s="632" t="n"/>
      <c r="H42" s="650" t="n"/>
      <c r="I42" s="650" t="n"/>
      <c r="J42" s="651" t="n"/>
      <c r="K42" s="632" t="n"/>
      <c r="L42" s="647" t="n"/>
      <c r="M42" s="647" t="n"/>
      <c r="N42" s="632" t="n"/>
      <c r="O42" s="632" t="n"/>
      <c r="P42" s="632" t="n"/>
      <c r="Q42" s="632" t="n"/>
      <c r="R42" s="632" t="n"/>
      <c r="S42" s="632" t="n"/>
      <c r="T42" s="632" t="n"/>
      <c r="U42" s="632" t="n"/>
      <c r="V42" s="632" t="n"/>
      <c r="W42" s="632" t="n"/>
      <c r="X42" s="632" t="n"/>
      <c r="Y42" s="632" t="n"/>
      <c r="Z42" s="632" t="n"/>
    </row>
    <row r="43" hidden="1" ht="12.75" customHeight="1" s="673">
      <c r="A43" s="632" t="n"/>
      <c r="B43" s="659" t="n"/>
      <c r="C43" s="667" t="n"/>
      <c r="D43" s="651" t="n"/>
      <c r="E43" s="651" t="n"/>
      <c r="F43" s="651" t="n"/>
      <c r="G43" s="632" t="n"/>
      <c r="H43" s="650" t="n"/>
      <c r="I43" s="650" t="n"/>
      <c r="J43" s="651" t="n"/>
      <c r="K43" s="632" t="n"/>
      <c r="L43" s="652" t="n"/>
      <c r="M43" s="653" t="n"/>
      <c r="N43" s="632" t="n"/>
      <c r="O43" s="632" t="n"/>
      <c r="P43" s="632" t="n"/>
      <c r="Q43" s="632" t="n"/>
      <c r="R43" s="632" t="n"/>
      <c r="S43" s="632" t="n"/>
      <c r="T43" s="632" t="n"/>
      <c r="U43" s="632" t="n"/>
      <c r="V43" s="632" t="n"/>
      <c r="W43" s="632" t="n"/>
      <c r="X43" s="632" t="n"/>
      <c r="Y43" s="632" t="n"/>
      <c r="Z43" s="632" t="n"/>
    </row>
    <row r="44" hidden="1" ht="12.75" customHeight="1" s="673">
      <c r="A44" s="632" t="n"/>
      <c r="B44" s="659" t="n"/>
      <c r="C44" s="667" t="n"/>
      <c r="D44" s="651" t="n"/>
      <c r="E44" s="651" t="n"/>
      <c r="F44" s="651" t="n"/>
      <c r="G44" s="632" t="n"/>
      <c r="H44" s="654" t="n"/>
      <c r="I44" s="654" t="n"/>
      <c r="J44" s="651" t="n"/>
      <c r="K44" s="632" t="n"/>
      <c r="L44" s="652" t="n"/>
      <c r="M44" s="652" t="n"/>
      <c r="N44" s="632" t="n"/>
      <c r="O44" s="632" t="n"/>
      <c r="P44" s="632" t="n"/>
      <c r="Q44" s="632" t="n"/>
      <c r="R44" s="632" t="n"/>
      <c r="S44" s="632" t="n"/>
      <c r="T44" s="632" t="n"/>
      <c r="U44" s="632" t="n"/>
      <c r="V44" s="632" t="n"/>
      <c r="W44" s="632" t="n"/>
      <c r="X44" s="632" t="n"/>
      <c r="Y44" s="632" t="n"/>
      <c r="Z44" s="632" t="n"/>
    </row>
    <row r="45" hidden="1" ht="12.75" customHeight="1" s="673">
      <c r="A45" s="632" t="n"/>
      <c r="B45" s="659" t="n"/>
      <c r="C45" s="632" t="n"/>
      <c r="D45" s="651" t="n"/>
      <c r="E45" s="651" t="n"/>
      <c r="F45" s="651" t="n"/>
      <c r="G45" s="632" t="n"/>
      <c r="H45" s="654" t="n"/>
      <c r="I45" s="654" t="n"/>
      <c r="J45" s="651" t="n"/>
      <c r="K45" s="632" t="n"/>
      <c r="L45" s="652" t="n"/>
      <c r="M45" s="652" t="n"/>
      <c r="N45" s="632" t="n"/>
      <c r="O45" s="632" t="n"/>
      <c r="P45" s="632" t="n"/>
      <c r="Q45" s="632" t="n"/>
      <c r="R45" s="632" t="n"/>
      <c r="S45" s="632" t="n"/>
      <c r="T45" s="632" t="n"/>
      <c r="U45" s="632" t="n"/>
      <c r="V45" s="632" t="n"/>
      <c r="W45" s="632" t="n"/>
      <c r="X45" s="632" t="n"/>
      <c r="Y45" s="632" t="n"/>
      <c r="Z45" s="632" t="n"/>
    </row>
    <row r="46" hidden="1" ht="13.5" customHeight="1" s="673">
      <c r="A46" s="632" t="n"/>
      <c r="B46" s="660" t="n"/>
      <c r="C46" s="660" t="n"/>
      <c r="D46" s="651" t="n"/>
      <c r="E46" s="651" t="n"/>
      <c r="F46" s="651" t="n"/>
      <c r="G46" s="632" t="n"/>
      <c r="H46" s="654" t="n"/>
      <c r="I46" s="654" t="n"/>
      <c r="J46" s="651" t="n"/>
      <c r="K46" s="632" t="n"/>
      <c r="L46" s="656" t="n"/>
      <c r="M46" s="656" t="n"/>
      <c r="N46" s="632" t="n"/>
      <c r="O46" s="632" t="n"/>
      <c r="P46" s="632" t="n"/>
      <c r="Q46" s="632" t="n"/>
      <c r="R46" s="632" t="n"/>
      <c r="S46" s="632" t="n"/>
      <c r="T46" s="632" t="n"/>
      <c r="U46" s="632" t="n"/>
      <c r="V46" s="632" t="n"/>
      <c r="W46" s="632" t="n"/>
      <c r="X46" s="632" t="n"/>
      <c r="Y46" s="632" t="n"/>
      <c r="Z46" s="632" t="n"/>
    </row>
    <row r="47" hidden="1" ht="13.5" customHeight="1" s="673">
      <c r="A47" s="632" t="n"/>
      <c r="B47" s="654" t="n"/>
      <c r="C47" s="654" t="n"/>
      <c r="D47" s="632" t="n"/>
      <c r="E47" s="651" t="n"/>
      <c r="F47" s="651" t="n"/>
      <c r="G47" s="632" t="n"/>
      <c r="H47" s="654" t="n"/>
      <c r="I47" s="654" t="n"/>
      <c r="J47" s="651" t="n"/>
      <c r="K47" s="632" t="n"/>
      <c r="L47" s="632" t="n"/>
      <c r="M47" s="632" t="n"/>
      <c r="N47" s="632" t="n"/>
      <c r="O47" s="632" t="n"/>
      <c r="P47" s="632" t="n"/>
      <c r="Q47" s="632" t="n"/>
      <c r="R47" s="632" t="n"/>
      <c r="S47" s="632" t="n"/>
      <c r="T47" s="632" t="n"/>
      <c r="U47" s="632" t="n"/>
      <c r="V47" s="632" t="n"/>
      <c r="W47" s="632" t="n"/>
      <c r="X47" s="632" t="n"/>
      <c r="Y47" s="632" t="n"/>
      <c r="Z47" s="632" t="n"/>
    </row>
    <row r="48" hidden="1" ht="12.75" customHeight="1" s="673">
      <c r="A48" s="632" t="n"/>
      <c r="B48" s="632" t="n"/>
      <c r="C48" s="632" t="n"/>
      <c r="D48" s="632" t="n"/>
      <c r="E48" s="632" t="n"/>
      <c r="F48" s="632" t="n"/>
      <c r="G48" s="632" t="n"/>
      <c r="H48" s="635" t="n"/>
      <c r="I48" s="635" t="n"/>
      <c r="J48" s="635" t="n"/>
      <c r="K48" s="632" t="n"/>
      <c r="L48" s="632" t="n"/>
      <c r="M48" s="632" t="n"/>
      <c r="N48" s="632" t="n"/>
      <c r="O48" s="632" t="n"/>
      <c r="P48" s="632" t="n"/>
      <c r="Q48" s="632" t="n"/>
      <c r="R48" s="632" t="n"/>
      <c r="S48" s="632" t="n"/>
      <c r="T48" s="632" t="n"/>
      <c r="U48" s="632" t="n"/>
      <c r="V48" s="632" t="n"/>
      <c r="W48" s="632" t="n"/>
      <c r="X48" s="632" t="n"/>
      <c r="Y48" s="632" t="n"/>
      <c r="Z48" s="632" t="n"/>
    </row>
    <row r="49" hidden="1" ht="12.75" customHeight="1" s="673">
      <c r="A49" s="632" t="n"/>
      <c r="B49" s="632" t="n"/>
      <c r="C49" s="632" t="n"/>
      <c r="D49" s="632" t="n"/>
      <c r="E49" s="632" t="n"/>
      <c r="F49" s="632" t="n"/>
      <c r="G49" s="632" t="n"/>
      <c r="H49" s="632" t="n"/>
      <c r="I49" s="632" t="n"/>
      <c r="J49" s="632" t="n"/>
      <c r="K49" s="632" t="n"/>
      <c r="L49" s="632" t="n"/>
      <c r="M49" s="632" t="n"/>
      <c r="N49" s="632" t="n"/>
      <c r="O49" s="632" t="n"/>
      <c r="P49" s="632" t="n"/>
      <c r="Q49" s="632" t="n"/>
      <c r="R49" s="632" t="n"/>
      <c r="S49" s="632" t="n"/>
      <c r="T49" s="632" t="n"/>
      <c r="U49" s="632" t="n"/>
      <c r="V49" s="632" t="n"/>
      <c r="W49" s="632" t="n"/>
      <c r="X49" s="632" t="n"/>
      <c r="Y49" s="632" t="n"/>
      <c r="Z49" s="632" t="n"/>
    </row>
    <row r="50" hidden="1" ht="15" customHeight="1" s="673">
      <c r="A50" s="632" t="n"/>
      <c r="B50" s="665" t="n"/>
      <c r="C50" s="645" t="n"/>
      <c r="D50" s="645" t="n"/>
      <c r="E50" s="635" t="n"/>
      <c r="F50" s="635" t="n"/>
      <c r="G50" s="646" t="n"/>
      <c r="H50" s="632" t="n"/>
      <c r="I50" s="646" t="n"/>
      <c r="J50" s="632" t="n"/>
      <c r="K50" s="632" t="n"/>
      <c r="L50" s="632" t="n"/>
      <c r="M50" s="632" t="n"/>
      <c r="N50" s="632" t="n"/>
      <c r="O50" s="632" t="n"/>
      <c r="P50" s="632" t="n"/>
      <c r="Q50" s="632" t="n"/>
      <c r="R50" s="632" t="n"/>
      <c r="S50" s="632" t="n"/>
      <c r="T50" s="632" t="n"/>
      <c r="U50" s="632" t="n"/>
      <c r="V50" s="632" t="n"/>
      <c r="W50" s="632" t="n"/>
      <c r="X50" s="632" t="n"/>
      <c r="Y50" s="632" t="n"/>
      <c r="Z50" s="632" t="n"/>
    </row>
    <row r="51" hidden="1" ht="13.5" customHeight="1" s="673">
      <c r="A51" s="632" t="n"/>
      <c r="B51" s="666" t="n"/>
      <c r="C51" s="635" t="n"/>
      <c r="D51" s="635" t="n"/>
      <c r="E51" s="649" t="n"/>
      <c r="F51" s="649" t="n"/>
      <c r="G51" s="632" t="n"/>
      <c r="H51" s="650" t="n"/>
      <c r="I51" s="650" t="n"/>
      <c r="J51" s="651" t="n"/>
      <c r="K51" s="632" t="n"/>
      <c r="L51" s="647" t="n"/>
      <c r="M51" s="647" t="n"/>
      <c r="N51" s="632" t="n"/>
      <c r="O51" s="632" t="n"/>
      <c r="P51" s="632" t="n"/>
      <c r="Q51" s="632" t="n"/>
      <c r="R51" s="632" t="n"/>
      <c r="S51" s="632" t="n"/>
      <c r="T51" s="632" t="n"/>
      <c r="U51" s="632" t="n"/>
      <c r="V51" s="632" t="n"/>
      <c r="W51" s="632" t="n"/>
      <c r="X51" s="632" t="n"/>
      <c r="Y51" s="632" t="n"/>
      <c r="Z51" s="632" t="n"/>
    </row>
    <row r="52" hidden="1" ht="12.75" customHeight="1" s="673">
      <c r="A52" s="632" t="n"/>
      <c r="B52" s="659" t="n"/>
      <c r="C52" s="667" t="n"/>
      <c r="D52" s="651" t="n"/>
      <c r="E52" s="651" t="n"/>
      <c r="F52" s="651" t="n"/>
      <c r="G52" s="632" t="n"/>
      <c r="H52" s="650" t="n"/>
      <c r="I52" s="650" t="n"/>
      <c r="J52" s="651" t="n"/>
      <c r="K52" s="632" t="n"/>
      <c r="L52" s="652" t="n"/>
      <c r="M52" s="653" t="n"/>
      <c r="N52" s="632" t="n"/>
      <c r="O52" s="632" t="n"/>
      <c r="P52" s="632" t="n"/>
      <c r="Q52" s="632" t="n"/>
      <c r="R52" s="632" t="n"/>
      <c r="S52" s="632" t="n"/>
      <c r="T52" s="632" t="n"/>
      <c r="U52" s="632" t="n"/>
      <c r="V52" s="632" t="n"/>
      <c r="W52" s="632" t="n"/>
      <c r="X52" s="632" t="n"/>
      <c r="Y52" s="632" t="n"/>
      <c r="Z52" s="632" t="n"/>
    </row>
    <row r="53" hidden="1" ht="12.75" customHeight="1" s="673">
      <c r="A53" s="632" t="n"/>
      <c r="B53" s="659" t="n"/>
      <c r="C53" s="667" t="n"/>
      <c r="D53" s="651" t="n"/>
      <c r="E53" s="651" t="n"/>
      <c r="F53" s="651" t="n"/>
      <c r="G53" s="632" t="n"/>
      <c r="H53" s="654" t="n"/>
      <c r="I53" s="654" t="n"/>
      <c r="J53" s="651" t="n"/>
      <c r="K53" s="632" t="n"/>
      <c r="L53" s="652" t="n"/>
      <c r="M53" s="652" t="n"/>
      <c r="N53" s="632" t="n"/>
      <c r="O53" s="632" t="n"/>
      <c r="P53" s="632" t="n"/>
      <c r="Q53" s="632" t="n"/>
      <c r="R53" s="632" t="n"/>
      <c r="S53" s="632" t="n"/>
      <c r="T53" s="632" t="n"/>
      <c r="U53" s="632" t="n"/>
      <c r="V53" s="632" t="n"/>
      <c r="W53" s="632" t="n"/>
      <c r="X53" s="632" t="n"/>
      <c r="Y53" s="632" t="n"/>
      <c r="Z53" s="632" t="n"/>
    </row>
    <row r="54" hidden="1" ht="12.75" customHeight="1" s="673">
      <c r="A54" s="632" t="n"/>
      <c r="B54" s="659" t="n"/>
      <c r="C54" s="632" t="n"/>
      <c r="D54" s="651" t="n"/>
      <c r="E54" s="651" t="n"/>
      <c r="F54" s="651" t="n"/>
      <c r="G54" s="632" t="n"/>
      <c r="H54" s="654" t="n"/>
      <c r="I54" s="654" t="n"/>
      <c r="J54" s="651" t="n"/>
      <c r="K54" s="632" t="n"/>
      <c r="L54" s="652" t="n"/>
      <c r="M54" s="652" t="n"/>
      <c r="N54" s="632" t="n"/>
      <c r="O54" s="632" t="n"/>
      <c r="P54" s="632" t="n"/>
      <c r="Q54" s="632" t="n"/>
      <c r="R54" s="632" t="n"/>
      <c r="S54" s="632" t="n"/>
      <c r="T54" s="632" t="n"/>
      <c r="U54" s="632" t="n"/>
      <c r="V54" s="632" t="n"/>
      <c r="W54" s="632" t="n"/>
      <c r="X54" s="632" t="n"/>
      <c r="Y54" s="632" t="n"/>
      <c r="Z54" s="632" t="n"/>
    </row>
    <row r="55" hidden="1" ht="13.5" customHeight="1" s="673">
      <c r="A55" s="632" t="n"/>
      <c r="B55" s="660" t="n"/>
      <c r="C55" s="660" t="n"/>
      <c r="D55" s="651" t="n"/>
      <c r="E55" s="651" t="n"/>
      <c r="F55" s="651" t="n"/>
      <c r="G55" s="632" t="n"/>
      <c r="H55" s="654" t="n"/>
      <c r="I55" s="654" t="n"/>
      <c r="J55" s="651" t="n"/>
      <c r="K55" s="632" t="n"/>
      <c r="L55" s="656" t="n"/>
      <c r="M55" s="656" t="n"/>
      <c r="N55" s="632" t="n"/>
      <c r="O55" s="632" t="n"/>
      <c r="P55" s="632" t="n"/>
      <c r="Q55" s="632" t="n"/>
      <c r="R55" s="632" t="n"/>
      <c r="S55" s="632" t="n"/>
      <c r="T55" s="632" t="n"/>
      <c r="U55" s="632" t="n"/>
      <c r="V55" s="632" t="n"/>
      <c r="W55" s="632" t="n"/>
      <c r="X55" s="632" t="n"/>
      <c r="Y55" s="632" t="n"/>
      <c r="Z55" s="632" t="n"/>
    </row>
    <row r="56" hidden="1" ht="13.5" customHeight="1" s="673">
      <c r="A56" s="632" t="n"/>
      <c r="B56" s="654" t="n"/>
      <c r="C56" s="654" t="n"/>
      <c r="D56" s="632" t="n"/>
      <c r="E56" s="651" t="n"/>
      <c r="F56" s="651" t="n"/>
      <c r="G56" s="632" t="n"/>
      <c r="H56" s="654" t="n"/>
      <c r="I56" s="654" t="n"/>
      <c r="J56" s="651" t="n"/>
      <c r="K56" s="632" t="n"/>
      <c r="L56" s="632" t="n"/>
      <c r="M56" s="632" t="n"/>
      <c r="N56" s="632" t="n"/>
      <c r="O56" s="632" t="n"/>
      <c r="P56" s="632" t="n"/>
      <c r="Q56" s="632" t="n"/>
      <c r="R56" s="632" t="n"/>
      <c r="S56" s="632" t="n"/>
      <c r="T56" s="632" t="n"/>
      <c r="U56" s="632" t="n"/>
      <c r="V56" s="632" t="n"/>
      <c r="W56" s="632" t="n"/>
      <c r="X56" s="632" t="n"/>
      <c r="Y56" s="632" t="n"/>
      <c r="Z56" s="632" t="n"/>
    </row>
    <row r="57" hidden="1" ht="12.75" customHeight="1" s="673">
      <c r="A57" s="632" t="n"/>
      <c r="B57" s="632" t="n"/>
      <c r="C57" s="632" t="n"/>
      <c r="D57" s="632" t="n"/>
      <c r="E57" s="632" t="n"/>
      <c r="F57" s="632" t="n"/>
      <c r="G57" s="632" t="n"/>
      <c r="H57" s="635" t="n"/>
      <c r="I57" s="635" t="n"/>
      <c r="J57" s="635" t="n"/>
      <c r="K57" s="632" t="n"/>
      <c r="L57" s="632" t="n"/>
      <c r="M57" s="632" t="n"/>
      <c r="N57" s="632" t="n"/>
      <c r="O57" s="632" t="n"/>
      <c r="P57" s="632" t="n"/>
      <c r="Q57" s="632" t="n"/>
      <c r="R57" s="632" t="n"/>
      <c r="S57" s="632" t="n"/>
      <c r="T57" s="632" t="n"/>
      <c r="U57" s="632" t="n"/>
      <c r="V57" s="632" t="n"/>
      <c r="W57" s="632" t="n"/>
      <c r="X57" s="632" t="n"/>
      <c r="Y57" s="632" t="n"/>
      <c r="Z57" s="632" t="n"/>
    </row>
    <row r="58" ht="17.25" customHeight="1" s="673">
      <c r="A58" s="632" t="n"/>
      <c r="B58" s="632" t="n"/>
      <c r="C58" s="632" t="n"/>
      <c r="D58" s="632" t="n"/>
      <c r="E58" s="632" t="n"/>
      <c r="F58" s="632" t="n"/>
      <c r="G58" s="666" t="n"/>
      <c r="H58" s="666" t="n"/>
      <c r="I58" s="666" t="n"/>
      <c r="J58" s="666" t="n"/>
      <c r="K58" s="632" t="n"/>
      <c r="L58" s="632" t="n"/>
      <c r="M58" s="632" t="n"/>
      <c r="N58" s="632" t="n"/>
      <c r="O58" s="632" t="n"/>
      <c r="P58" s="632" t="n"/>
      <c r="Q58" s="632" t="n"/>
      <c r="R58" s="632" t="n"/>
      <c r="S58" s="632" t="n"/>
      <c r="T58" s="632" t="n"/>
      <c r="U58" s="632" t="n"/>
      <c r="V58" s="632" t="n"/>
      <c r="W58" s="632" t="n"/>
      <c r="X58" s="632" t="n"/>
      <c r="Y58" s="632" t="n"/>
      <c r="Z58" s="632" t="n"/>
    </row>
    <row r="59" ht="12.75" customHeight="1" s="673">
      <c r="A59" s="632" t="n"/>
      <c r="B59" s="632" t="n"/>
      <c r="C59" s="632" t="n"/>
      <c r="D59" s="635" t="n"/>
      <c r="E59" s="635" t="n"/>
      <c r="F59" s="635" t="n"/>
      <c r="G59" s="635" t="n"/>
      <c r="H59" s="644" t="n"/>
      <c r="I59" s="666" t="n"/>
      <c r="J59" s="632" t="n"/>
      <c r="K59" s="632" t="n"/>
      <c r="L59" s="632" t="n"/>
      <c r="M59" s="632" t="n"/>
      <c r="N59" s="632" t="n"/>
      <c r="O59" s="632" t="n"/>
      <c r="P59" s="632" t="n"/>
      <c r="Q59" s="632" t="n"/>
      <c r="R59" s="632" t="n"/>
      <c r="S59" s="632" t="n"/>
      <c r="T59" s="632" t="n"/>
      <c r="U59" s="632" t="n"/>
      <c r="V59" s="632" t="n"/>
      <c r="W59" s="632" t="n"/>
      <c r="X59" s="632" t="n"/>
      <c r="Y59" s="632" t="n"/>
      <c r="Z59" s="632" t="n"/>
    </row>
    <row r="60" ht="12.75" customHeight="1" s="673">
      <c r="A60" s="632" t="n"/>
      <c r="B60" s="632" t="n"/>
      <c r="C60" s="632" t="n"/>
      <c r="D60" s="668" t="n"/>
      <c r="E60" s="668" t="n"/>
      <c r="F60" s="668" t="n"/>
      <c r="G60" s="668" t="n"/>
      <c r="H60" s="668" t="n"/>
      <c r="I60" s="632" t="n"/>
      <c r="J60" s="632" t="n"/>
      <c r="K60" s="632" t="n"/>
      <c r="L60" s="632" t="n"/>
      <c r="M60" s="632" t="n"/>
      <c r="N60" s="632" t="n"/>
      <c r="O60" s="632" t="n"/>
      <c r="P60" s="632" t="n"/>
      <c r="Q60" s="632" t="n"/>
      <c r="R60" s="632" t="n"/>
      <c r="S60" s="632" t="n"/>
      <c r="T60" s="632" t="n"/>
      <c r="U60" s="632" t="n"/>
      <c r="V60" s="632" t="n"/>
      <c r="W60" s="632" t="n"/>
      <c r="X60" s="632" t="n"/>
      <c r="Y60" s="632" t="n"/>
      <c r="Z60" s="632" t="n"/>
    </row>
    <row r="61" ht="12.75" customHeight="1" s="673">
      <c r="A61" s="632" t="n"/>
      <c r="B61" s="632" t="n"/>
      <c r="C61" s="632" t="n"/>
      <c r="D61" s="669" t="n"/>
      <c r="E61" s="669" t="n"/>
      <c r="F61" s="669" t="n"/>
      <c r="G61" s="655" t="n"/>
      <c r="H61" s="655" t="n"/>
      <c r="I61" s="632" t="n"/>
      <c r="J61" s="632" t="n"/>
      <c r="K61" s="632" t="n"/>
      <c r="L61" s="632" t="n"/>
      <c r="M61" s="632" t="n"/>
      <c r="N61" s="632" t="n"/>
      <c r="O61" s="632" t="n"/>
      <c r="P61" s="632" t="n"/>
      <c r="Q61" s="632" t="n"/>
      <c r="R61" s="632" t="n"/>
      <c r="S61" s="632" t="n"/>
      <c r="T61" s="632" t="n"/>
      <c r="U61" s="632" t="n"/>
      <c r="V61" s="632" t="n"/>
      <c r="W61" s="632" t="n"/>
      <c r="X61" s="632" t="n"/>
      <c r="Y61" s="632" t="n"/>
      <c r="Z61" s="632" t="n"/>
    </row>
    <row r="62" ht="12.75" customHeight="1" s="673">
      <c r="A62" s="632" t="n"/>
      <c r="B62" s="632" t="n"/>
      <c r="C62" s="632" t="n"/>
      <c r="D62" s="669" t="n"/>
      <c r="E62" s="669" t="n"/>
      <c r="F62" s="669" t="n"/>
      <c r="G62" s="655" t="n"/>
      <c r="H62" s="655" t="n"/>
      <c r="I62" s="632" t="n"/>
      <c r="J62" s="632" t="n"/>
      <c r="K62" s="632" t="n"/>
      <c r="L62" s="632" t="n"/>
      <c r="M62" s="632" t="n"/>
      <c r="N62" s="632" t="n"/>
      <c r="O62" s="632" t="n"/>
      <c r="P62" s="632" t="n"/>
      <c r="Q62" s="632" t="n"/>
      <c r="R62" s="632" t="n"/>
      <c r="S62" s="632" t="n"/>
      <c r="T62" s="632" t="n"/>
      <c r="U62" s="632" t="n"/>
      <c r="V62" s="632" t="n"/>
      <c r="W62" s="632" t="n"/>
      <c r="X62" s="632" t="n"/>
      <c r="Y62" s="632" t="n"/>
      <c r="Z62" s="632" t="n"/>
    </row>
    <row r="63" ht="12.75" customHeight="1" s="673">
      <c r="A63" s="632" t="n"/>
      <c r="B63" s="632" t="n"/>
      <c r="C63" s="632" t="n"/>
      <c r="D63" s="669" t="n"/>
      <c r="E63" s="669" t="n"/>
      <c r="F63" s="669" t="n"/>
      <c r="G63" s="655" t="n"/>
      <c r="H63" s="655" t="n"/>
      <c r="I63" s="632" t="n"/>
      <c r="J63" s="632" t="n"/>
      <c r="K63" s="632" t="n"/>
      <c r="L63" s="632" t="n"/>
      <c r="M63" s="632" t="n"/>
      <c r="N63" s="632" t="n"/>
      <c r="O63" s="632" t="n"/>
      <c r="P63" s="632" t="n"/>
      <c r="Q63" s="632" t="n"/>
      <c r="R63" s="632" t="n"/>
      <c r="S63" s="632" t="n"/>
      <c r="T63" s="632" t="n"/>
      <c r="U63" s="632" t="n"/>
      <c r="V63" s="632" t="n"/>
      <c r="W63" s="632" t="n"/>
      <c r="X63" s="632" t="n"/>
      <c r="Y63" s="632" t="n"/>
      <c r="Z63" s="632" t="n"/>
    </row>
    <row r="64" ht="12.75" customHeight="1" s="673">
      <c r="A64" s="632" t="n"/>
      <c r="B64" s="632" t="n"/>
      <c r="C64" s="632" t="n"/>
      <c r="D64" s="669" t="n"/>
      <c r="E64" s="669" t="n"/>
      <c r="F64" s="669" t="n"/>
      <c r="G64" s="655" t="n"/>
      <c r="H64" s="655" t="n"/>
      <c r="I64" s="632" t="n"/>
      <c r="J64" s="632" t="n"/>
      <c r="K64" s="632" t="n"/>
      <c r="L64" s="632" t="n"/>
      <c r="M64" s="632" t="n"/>
      <c r="N64" s="632" t="n"/>
      <c r="O64" s="632" t="n"/>
      <c r="P64" s="632" t="n"/>
      <c r="Q64" s="632" t="n"/>
      <c r="R64" s="632" t="n"/>
      <c r="S64" s="632" t="n"/>
      <c r="T64" s="632" t="n"/>
      <c r="U64" s="632" t="n"/>
      <c r="V64" s="632" t="n"/>
      <c r="W64" s="632" t="n"/>
      <c r="X64" s="632" t="n"/>
      <c r="Y64" s="632" t="n"/>
      <c r="Z64" s="632" t="n"/>
    </row>
    <row r="65" hidden="1" ht="12.75" customHeight="1" s="673">
      <c r="A65" s="632" t="n"/>
      <c r="B65" s="632" t="n"/>
      <c r="C65" s="632" t="n"/>
      <c r="D65" s="669" t="n"/>
      <c r="E65" s="669" t="n"/>
      <c r="F65" s="669" t="n"/>
      <c r="G65" s="655" t="n"/>
      <c r="H65" s="655" t="n"/>
      <c r="I65" s="632" t="n"/>
      <c r="J65" s="632" t="n"/>
      <c r="K65" s="632" t="n"/>
      <c r="L65" s="632" t="n"/>
      <c r="M65" s="632" t="n"/>
      <c r="N65" s="632" t="n"/>
      <c r="O65" s="632" t="n"/>
      <c r="P65" s="632" t="n"/>
      <c r="Q65" s="632" t="n"/>
      <c r="R65" s="632" t="n"/>
      <c r="S65" s="632" t="n"/>
      <c r="T65" s="632" t="n"/>
      <c r="U65" s="632" t="n"/>
      <c r="V65" s="632" t="n"/>
      <c r="W65" s="632" t="n"/>
      <c r="X65" s="632" t="n"/>
      <c r="Y65" s="632" t="n"/>
      <c r="Z65" s="632" t="n"/>
    </row>
    <row r="66" hidden="1" ht="12.75" customHeight="1" s="673">
      <c r="A66" s="632" t="n"/>
      <c r="B66" s="632" t="n"/>
      <c r="C66" s="632" t="n"/>
      <c r="D66" s="669" t="n"/>
      <c r="E66" s="669" t="n"/>
      <c r="F66" s="669" t="n"/>
      <c r="G66" s="655" t="n"/>
      <c r="H66" s="655" t="n"/>
      <c r="I66" s="632" t="n"/>
      <c r="J66" s="632" t="n"/>
      <c r="K66" s="632" t="n"/>
      <c r="L66" s="632" t="n"/>
      <c r="M66" s="632" t="n"/>
      <c r="N66" s="632" t="n"/>
      <c r="O66" s="632" t="n"/>
      <c r="P66" s="632" t="n"/>
      <c r="Q66" s="632" t="n"/>
      <c r="R66" s="632" t="n"/>
      <c r="S66" s="632" t="n"/>
      <c r="T66" s="632" t="n"/>
      <c r="U66" s="632" t="n"/>
      <c r="V66" s="632" t="n"/>
      <c r="W66" s="632" t="n"/>
      <c r="X66" s="632" t="n"/>
      <c r="Y66" s="632" t="n"/>
      <c r="Z66" s="632" t="n"/>
    </row>
    <row r="67" ht="5.25" customHeight="1" s="673">
      <c r="A67" s="632" t="n"/>
      <c r="B67" s="632" t="n"/>
      <c r="C67" s="632" t="n"/>
      <c r="D67" s="670" t="n"/>
      <c r="E67" s="670" t="n"/>
      <c r="F67" s="670" t="n"/>
      <c r="G67" s="671" t="n"/>
      <c r="H67" s="671" t="n"/>
      <c r="I67" s="632" t="n"/>
      <c r="J67" s="632" t="n"/>
      <c r="K67" s="632" t="n"/>
      <c r="L67" s="632" t="n"/>
      <c r="M67" s="632" t="n"/>
      <c r="N67" s="632" t="n"/>
      <c r="O67" s="632" t="n"/>
      <c r="P67" s="632" t="n"/>
      <c r="Q67" s="632" t="n"/>
      <c r="R67" s="632" t="n"/>
      <c r="S67" s="632" t="n"/>
      <c r="T67" s="632" t="n"/>
      <c r="U67" s="632" t="n"/>
      <c r="V67" s="632" t="n"/>
      <c r="W67" s="632" t="n"/>
      <c r="X67" s="632" t="n"/>
      <c r="Y67" s="632" t="n"/>
      <c r="Z67" s="632" t="n"/>
    </row>
    <row r="68" ht="12.75" customHeight="1" s="673">
      <c r="A68" s="632" t="n"/>
      <c r="B68" s="632" t="n"/>
      <c r="C68" s="632" t="n"/>
      <c r="D68" s="668" t="n"/>
      <c r="E68" s="668" t="n"/>
      <c r="F68" s="668" t="n"/>
      <c r="G68" s="672" t="n"/>
      <c r="H68" s="672" t="n"/>
      <c r="I68" s="632" t="n"/>
      <c r="J68" s="632" t="n"/>
      <c r="K68" s="632" t="n"/>
      <c r="L68" s="632" t="n"/>
      <c r="M68" s="632" t="n"/>
      <c r="N68" s="632" t="n"/>
      <c r="O68" s="632" t="n"/>
      <c r="P68" s="632" t="n"/>
      <c r="Q68" s="632" t="n"/>
      <c r="R68" s="632" t="n"/>
      <c r="S68" s="632" t="n"/>
      <c r="T68" s="632" t="n"/>
      <c r="U68" s="632" t="n"/>
      <c r="V68" s="632" t="n"/>
      <c r="W68" s="632" t="n"/>
      <c r="X68" s="632" t="n"/>
      <c r="Y68" s="632" t="n"/>
      <c r="Z68" s="632" t="n"/>
    </row>
    <row r="69" ht="12.75" customHeight="1" s="673">
      <c r="A69" s="632" t="n"/>
      <c r="B69" s="632" t="n"/>
      <c r="C69" s="632" t="n"/>
      <c r="D69" s="632" t="n"/>
      <c r="E69" s="632" t="n"/>
      <c r="F69" s="632" t="n"/>
      <c r="G69" s="632" t="n"/>
      <c r="H69" s="632" t="n"/>
      <c r="I69" s="632" t="n"/>
      <c r="J69" s="632" t="n"/>
      <c r="K69" s="632" t="n"/>
      <c r="L69" s="632" t="n"/>
      <c r="M69" s="632" t="n"/>
      <c r="N69" s="632" t="n"/>
      <c r="O69" s="632" t="n"/>
      <c r="P69" s="632" t="n"/>
      <c r="Q69" s="632" t="n"/>
      <c r="R69" s="632" t="n"/>
      <c r="S69" s="632" t="n"/>
      <c r="T69" s="632" t="n"/>
      <c r="U69" s="632" t="n"/>
      <c r="V69" s="632" t="n"/>
      <c r="W69" s="632" t="n"/>
      <c r="X69" s="632" t="n"/>
      <c r="Y69" s="632" t="n"/>
      <c r="Z69" s="632" t="n"/>
    </row>
    <row r="70" ht="12.75" customHeight="1" s="673">
      <c r="A70" s="632" t="n"/>
      <c r="B70" s="632" t="n"/>
      <c r="C70" s="632" t="n"/>
      <c r="D70" s="632" t="n"/>
      <c r="E70" s="632" t="n"/>
      <c r="F70" s="632" t="n"/>
      <c r="G70" s="632" t="n"/>
      <c r="H70" s="632" t="n"/>
      <c r="I70" s="632" t="n"/>
      <c r="J70" s="632" t="n"/>
      <c r="K70" s="632" t="n"/>
      <c r="L70" s="632" t="n"/>
      <c r="M70" s="632" t="n"/>
      <c r="N70" s="632" t="n"/>
      <c r="O70" s="632" t="n"/>
      <c r="P70" s="632" t="n"/>
      <c r="Q70" s="632" t="n"/>
      <c r="R70" s="632" t="n"/>
      <c r="S70" s="632" t="n"/>
      <c r="T70" s="632" t="n"/>
      <c r="U70" s="632" t="n"/>
      <c r="V70" s="632" t="n"/>
      <c r="W70" s="632" t="n"/>
      <c r="X70" s="632" t="n"/>
      <c r="Y70" s="632" t="n"/>
      <c r="Z70" s="632" t="n"/>
    </row>
    <row r="71" ht="12.75" customHeight="1" s="673">
      <c r="A71" s="632" t="n"/>
      <c r="B71" s="632" t="n"/>
      <c r="C71" s="632" t="n"/>
      <c r="D71" s="632" t="n"/>
      <c r="E71" s="632" t="n"/>
      <c r="F71" s="632" t="n"/>
      <c r="G71" s="632" t="n"/>
      <c r="H71" s="632" t="n"/>
      <c r="I71" s="632" t="n"/>
      <c r="J71" s="632" t="n"/>
      <c r="K71" s="632" t="n"/>
      <c r="L71" s="632" t="n"/>
      <c r="M71" s="632" t="n"/>
      <c r="N71" s="632" t="n"/>
      <c r="O71" s="632" t="n"/>
      <c r="P71" s="632" t="n"/>
      <c r="Q71" s="632" t="n"/>
      <c r="R71" s="632" t="n"/>
      <c r="S71" s="632" t="n"/>
      <c r="T71" s="632" t="n"/>
      <c r="U71" s="632" t="n"/>
      <c r="V71" s="632" t="n"/>
      <c r="W71" s="632" t="n"/>
      <c r="X71" s="632" t="n"/>
      <c r="Y71" s="632" t="n"/>
      <c r="Z71" s="632" t="n"/>
    </row>
    <row r="72" ht="12.75" customHeight="1" s="673">
      <c r="A72" s="632" t="n"/>
      <c r="B72" s="632" t="n"/>
      <c r="C72" s="632" t="n"/>
      <c r="D72" s="632" t="n"/>
      <c r="E72" s="632" t="n"/>
      <c r="F72" s="632" t="n"/>
      <c r="G72" s="632" t="n"/>
      <c r="H72" s="632" t="n"/>
      <c r="I72" s="632" t="n"/>
      <c r="J72" s="632" t="n"/>
      <c r="K72" s="632" t="n"/>
      <c r="L72" s="632" t="n"/>
      <c r="M72" s="632" t="n"/>
      <c r="N72" s="632" t="n"/>
      <c r="O72" s="632" t="n"/>
      <c r="P72" s="632" t="n"/>
      <c r="Q72" s="632" t="n"/>
      <c r="R72" s="632" t="n"/>
      <c r="S72" s="632" t="n"/>
      <c r="T72" s="632" t="n"/>
      <c r="U72" s="632" t="n"/>
      <c r="V72" s="632" t="n"/>
      <c r="W72" s="632" t="n"/>
      <c r="X72" s="632" t="n"/>
      <c r="Y72" s="632" t="n"/>
      <c r="Z72" s="632" t="n"/>
    </row>
    <row r="73" ht="12.75" customHeight="1" s="673">
      <c r="A73" s="632" t="n"/>
      <c r="B73" s="632" t="n"/>
      <c r="C73" s="632" t="n"/>
      <c r="D73" s="632" t="n"/>
      <c r="E73" s="632" t="n"/>
      <c r="F73" s="632" t="n"/>
      <c r="G73" s="632" t="n"/>
      <c r="H73" s="632" t="n"/>
      <c r="I73" s="632" t="n"/>
      <c r="J73" s="632" t="n"/>
      <c r="K73" s="632" t="n"/>
      <c r="L73" s="632" t="n"/>
      <c r="M73" s="632" t="n"/>
      <c r="N73" s="632" t="n"/>
      <c r="O73" s="632" t="n"/>
      <c r="P73" s="632" t="n"/>
      <c r="Q73" s="632" t="n"/>
      <c r="R73" s="632" t="n"/>
      <c r="S73" s="632" t="n"/>
      <c r="T73" s="632" t="n"/>
      <c r="U73" s="632" t="n"/>
      <c r="V73" s="632" t="n"/>
      <c r="W73" s="632" t="n"/>
      <c r="X73" s="632" t="n"/>
      <c r="Y73" s="632" t="n"/>
      <c r="Z73" s="632" t="n"/>
    </row>
    <row r="74" ht="12.75" customHeight="1" s="673">
      <c r="A74" s="632" t="n"/>
      <c r="B74" s="632" t="n"/>
      <c r="C74" s="632" t="n"/>
      <c r="D74" s="632" t="n"/>
      <c r="E74" s="632" t="n"/>
      <c r="F74" s="632" t="n"/>
      <c r="G74" s="632" t="n"/>
      <c r="H74" s="632" t="n"/>
      <c r="I74" s="632" t="n"/>
      <c r="J74" s="632" t="n"/>
      <c r="K74" s="632" t="n"/>
      <c r="L74" s="632" t="n"/>
      <c r="M74" s="632" t="n"/>
      <c r="N74" s="632" t="n"/>
      <c r="O74" s="632" t="n"/>
      <c r="P74" s="632" t="n"/>
      <c r="Q74" s="632" t="n"/>
      <c r="R74" s="632" t="n"/>
      <c r="S74" s="632" t="n"/>
      <c r="T74" s="632" t="n"/>
      <c r="U74" s="632" t="n"/>
      <c r="V74" s="632" t="n"/>
      <c r="W74" s="632" t="n"/>
      <c r="X74" s="632" t="n"/>
      <c r="Y74" s="632" t="n"/>
      <c r="Z74" s="632" t="n"/>
    </row>
    <row r="75" ht="12.75" customHeight="1" s="673">
      <c r="A75" s="632" t="n"/>
      <c r="B75" s="632" t="n"/>
      <c r="C75" s="632" t="n"/>
      <c r="D75" s="632" t="n"/>
      <c r="E75" s="632" t="n"/>
      <c r="F75" s="632" t="n"/>
      <c r="G75" s="632" t="n"/>
      <c r="H75" s="632" t="n"/>
      <c r="I75" s="632" t="n"/>
      <c r="J75" s="632" t="n"/>
      <c r="K75" s="632" t="n"/>
      <c r="L75" s="632" t="n"/>
      <c r="M75" s="632" t="n"/>
      <c r="N75" s="632" t="n"/>
      <c r="O75" s="632" t="n"/>
      <c r="P75" s="632" t="n"/>
      <c r="Q75" s="632" t="n"/>
      <c r="R75" s="632" t="n"/>
      <c r="S75" s="632" t="n"/>
      <c r="T75" s="632" t="n"/>
      <c r="U75" s="632" t="n"/>
      <c r="V75" s="632" t="n"/>
      <c r="W75" s="632" t="n"/>
      <c r="X75" s="632" t="n"/>
      <c r="Y75" s="632" t="n"/>
      <c r="Z75" s="632" t="n"/>
    </row>
    <row r="76" ht="12.75" customHeight="1" s="673">
      <c r="A76" s="632" t="n"/>
      <c r="B76" s="632" t="n"/>
      <c r="C76" s="632" t="n"/>
      <c r="D76" s="632" t="n"/>
      <c r="E76" s="632" t="n"/>
      <c r="F76" s="632" t="n"/>
      <c r="G76" s="632" t="n"/>
      <c r="H76" s="632" t="n"/>
      <c r="I76" s="632" t="n"/>
      <c r="J76" s="632" t="n"/>
      <c r="K76" s="632" t="n"/>
      <c r="L76" s="632" t="n"/>
      <c r="M76" s="632" t="n"/>
      <c r="N76" s="632" t="n"/>
      <c r="O76" s="632" t="n"/>
      <c r="P76" s="632" t="n"/>
      <c r="Q76" s="632" t="n"/>
      <c r="R76" s="632" t="n"/>
      <c r="S76" s="632" t="n"/>
      <c r="T76" s="632" t="n"/>
      <c r="U76" s="632" t="n"/>
      <c r="V76" s="632" t="n"/>
      <c r="W76" s="632" t="n"/>
      <c r="X76" s="632" t="n"/>
      <c r="Y76" s="632" t="n"/>
      <c r="Z76" s="632" t="n"/>
    </row>
    <row r="77" ht="12.75" customHeight="1" s="673">
      <c r="A77" s="632" t="n"/>
      <c r="B77" s="632" t="n"/>
      <c r="C77" s="632" t="n"/>
      <c r="D77" s="632" t="n"/>
      <c r="E77" s="632" t="n"/>
      <c r="F77" s="632" t="n"/>
      <c r="G77" s="632" t="n"/>
      <c r="H77" s="632" t="n"/>
      <c r="I77" s="632" t="n"/>
      <c r="J77" s="632" t="n"/>
      <c r="K77" s="632" t="n"/>
      <c r="L77" s="632" t="n"/>
      <c r="M77" s="632" t="n"/>
      <c r="N77" s="632" t="n"/>
      <c r="O77" s="632" t="n"/>
      <c r="P77" s="632" t="n"/>
      <c r="Q77" s="632" t="n"/>
      <c r="R77" s="632" t="n"/>
      <c r="S77" s="632" t="n"/>
      <c r="T77" s="632" t="n"/>
      <c r="U77" s="632" t="n"/>
      <c r="V77" s="632" t="n"/>
      <c r="W77" s="632" t="n"/>
      <c r="X77" s="632" t="n"/>
      <c r="Y77" s="632" t="n"/>
      <c r="Z77" s="632" t="n"/>
    </row>
    <row r="78" ht="12.75" customHeight="1" s="673">
      <c r="A78" s="632" t="n"/>
      <c r="B78" s="632" t="n"/>
      <c r="C78" s="632" t="n"/>
      <c r="D78" s="632" t="n"/>
      <c r="E78" s="632" t="n"/>
      <c r="F78" s="632" t="n"/>
      <c r="G78" s="632" t="n"/>
      <c r="H78" s="632" t="n"/>
      <c r="I78" s="632" t="n"/>
      <c r="J78" s="632" t="n"/>
      <c r="K78" s="632" t="n"/>
      <c r="L78" s="632" t="n"/>
      <c r="M78" s="632" t="n"/>
      <c r="N78" s="632" t="n"/>
      <c r="O78" s="632" t="n"/>
      <c r="P78" s="632" t="n"/>
      <c r="Q78" s="632" t="n"/>
      <c r="R78" s="632" t="n"/>
      <c r="S78" s="632" t="n"/>
      <c r="T78" s="632" t="n"/>
      <c r="U78" s="632" t="n"/>
      <c r="V78" s="632" t="n"/>
      <c r="W78" s="632" t="n"/>
      <c r="X78" s="632" t="n"/>
      <c r="Y78" s="632" t="n"/>
      <c r="Z78" s="632" t="n"/>
    </row>
    <row r="79" ht="12.75" customHeight="1" s="673">
      <c r="A79" s="632" t="n"/>
      <c r="B79" s="632" t="n"/>
      <c r="C79" s="632" t="n"/>
      <c r="D79" s="632" t="n"/>
      <c r="E79" s="632" t="n"/>
      <c r="F79" s="632" t="n"/>
      <c r="G79" s="632" t="n"/>
      <c r="H79" s="632" t="n"/>
      <c r="I79" s="632" t="n"/>
      <c r="J79" s="632" t="n"/>
      <c r="K79" s="632" t="n"/>
      <c r="L79" s="632" t="n"/>
      <c r="M79" s="632" t="n"/>
      <c r="N79" s="632" t="n"/>
      <c r="O79" s="632" t="n"/>
      <c r="P79" s="632" t="n"/>
      <c r="Q79" s="632" t="n"/>
      <c r="R79" s="632" t="n"/>
      <c r="S79" s="632" t="n"/>
      <c r="T79" s="632" t="n"/>
      <c r="U79" s="632" t="n"/>
      <c r="V79" s="632" t="n"/>
      <c r="W79" s="632" t="n"/>
      <c r="X79" s="632" t="n"/>
      <c r="Y79" s="632" t="n"/>
      <c r="Z79" s="632" t="n"/>
    </row>
    <row r="80" ht="12.75" customHeight="1" s="673">
      <c r="A80" s="632" t="n"/>
      <c r="B80" s="632" t="n"/>
      <c r="C80" s="632" t="n"/>
      <c r="D80" s="632" t="n"/>
      <c r="E80" s="632" t="n"/>
      <c r="F80" s="632" t="n"/>
      <c r="G80" s="632" t="n"/>
      <c r="H80" s="632" t="n"/>
      <c r="I80" s="632" t="n"/>
      <c r="J80" s="632" t="n"/>
      <c r="K80" s="632" t="n"/>
      <c r="L80" s="632" t="n"/>
      <c r="M80" s="632" t="n"/>
      <c r="N80" s="632" t="n"/>
      <c r="O80" s="632" t="n"/>
      <c r="P80" s="632" t="n"/>
      <c r="Q80" s="632" t="n"/>
      <c r="R80" s="632" t="n"/>
      <c r="S80" s="632" t="n"/>
      <c r="T80" s="632" t="n"/>
      <c r="U80" s="632" t="n"/>
      <c r="V80" s="632" t="n"/>
      <c r="W80" s="632" t="n"/>
      <c r="X80" s="632" t="n"/>
      <c r="Y80" s="632" t="n"/>
      <c r="Z80" s="632" t="n"/>
    </row>
    <row r="81" ht="12.75" customHeight="1" s="673">
      <c r="A81" s="632" t="n"/>
      <c r="B81" s="632" t="n"/>
      <c r="C81" s="632" t="n"/>
      <c r="D81" s="632" t="n"/>
      <c r="E81" s="632" t="n"/>
      <c r="F81" s="632" t="n"/>
      <c r="G81" s="632" t="n"/>
      <c r="H81" s="632" t="n"/>
      <c r="I81" s="632" t="n"/>
      <c r="J81" s="632" t="n"/>
      <c r="K81" s="632" t="n"/>
      <c r="L81" s="632" t="n"/>
      <c r="M81" s="632" t="n"/>
      <c r="N81" s="632" t="n"/>
      <c r="O81" s="632" t="n"/>
      <c r="P81" s="632" t="n"/>
      <c r="Q81" s="632" t="n"/>
      <c r="R81" s="632" t="n"/>
      <c r="S81" s="632" t="n"/>
      <c r="T81" s="632" t="n"/>
      <c r="U81" s="632" t="n"/>
      <c r="V81" s="632" t="n"/>
      <c r="W81" s="632" t="n"/>
      <c r="X81" s="632" t="n"/>
      <c r="Y81" s="632" t="n"/>
      <c r="Z81" s="632" t="n"/>
    </row>
    <row r="82" ht="12.75" customHeight="1" s="673">
      <c r="A82" s="632" t="n"/>
      <c r="B82" s="632" t="n"/>
      <c r="C82" s="632" t="n"/>
      <c r="D82" s="632" t="n"/>
      <c r="E82" s="632" t="n"/>
      <c r="F82" s="632" t="n"/>
      <c r="G82" s="632" t="n"/>
      <c r="H82" s="632" t="n"/>
      <c r="I82" s="632" t="n"/>
      <c r="J82" s="632" t="n"/>
      <c r="K82" s="632" t="n"/>
      <c r="L82" s="632" t="n"/>
      <c r="M82" s="632" t="n"/>
      <c r="N82" s="632" t="n"/>
      <c r="O82" s="632" t="n"/>
      <c r="P82" s="632" t="n"/>
      <c r="Q82" s="632" t="n"/>
      <c r="R82" s="632" t="n"/>
      <c r="S82" s="632" t="n"/>
      <c r="T82" s="632" t="n"/>
      <c r="U82" s="632" t="n"/>
      <c r="V82" s="632" t="n"/>
      <c r="W82" s="632" t="n"/>
      <c r="X82" s="632" t="n"/>
      <c r="Y82" s="632" t="n"/>
      <c r="Z82" s="632" t="n"/>
    </row>
    <row r="83" ht="12.75" customHeight="1" s="673">
      <c r="A83" s="632" t="n"/>
      <c r="B83" s="632" t="n"/>
      <c r="C83" s="632" t="n"/>
      <c r="D83" s="632" t="n"/>
      <c r="E83" s="632" t="n"/>
      <c r="F83" s="632" t="n"/>
      <c r="G83" s="632" t="n"/>
      <c r="H83" s="632" t="n"/>
      <c r="I83" s="632" t="n"/>
      <c r="J83" s="632" t="n"/>
      <c r="K83" s="632" t="n"/>
      <c r="L83" s="632" t="n"/>
      <c r="M83" s="632" t="n"/>
      <c r="N83" s="632" t="n"/>
      <c r="O83" s="632" t="n"/>
      <c r="P83" s="632" t="n"/>
      <c r="Q83" s="632" t="n"/>
      <c r="R83" s="632" t="n"/>
      <c r="S83" s="632" t="n"/>
      <c r="T83" s="632" t="n"/>
      <c r="U83" s="632" t="n"/>
      <c r="V83" s="632" t="n"/>
      <c r="W83" s="632" t="n"/>
      <c r="X83" s="632" t="n"/>
      <c r="Y83" s="632" t="n"/>
      <c r="Z83" s="632" t="n"/>
    </row>
    <row r="84" ht="12.75" customHeight="1" s="673">
      <c r="A84" s="632" t="n"/>
      <c r="B84" s="632" t="n"/>
      <c r="C84" s="632" t="n"/>
      <c r="D84" s="632" t="n"/>
      <c r="E84" s="632" t="n"/>
      <c r="F84" s="632" t="n"/>
      <c r="G84" s="632" t="n"/>
      <c r="H84" s="632" t="n"/>
      <c r="I84" s="632" t="n"/>
      <c r="J84" s="632" t="n"/>
      <c r="K84" s="632" t="n"/>
      <c r="L84" s="632" t="n"/>
      <c r="M84" s="632" t="n"/>
      <c r="N84" s="632" t="n"/>
      <c r="O84" s="632" t="n"/>
      <c r="P84" s="632" t="n"/>
      <c r="Q84" s="632" t="n"/>
      <c r="R84" s="632" t="n"/>
      <c r="S84" s="632" t="n"/>
      <c r="T84" s="632" t="n"/>
      <c r="U84" s="632" t="n"/>
      <c r="V84" s="632" t="n"/>
      <c r="W84" s="632" t="n"/>
      <c r="X84" s="632" t="n"/>
      <c r="Y84" s="632" t="n"/>
      <c r="Z84" s="632" t="n"/>
    </row>
    <row r="85" ht="12.75" customHeight="1" s="673">
      <c r="A85" s="632" t="n"/>
      <c r="B85" s="632" t="n"/>
      <c r="C85" s="632" t="n"/>
      <c r="D85" s="632" t="n"/>
      <c r="E85" s="632" t="n"/>
      <c r="F85" s="632" t="n"/>
      <c r="G85" s="632" t="n"/>
      <c r="H85" s="632" t="n"/>
      <c r="I85" s="632" t="n"/>
      <c r="J85" s="632" t="n"/>
      <c r="K85" s="632" t="n"/>
      <c r="L85" s="632" t="n"/>
      <c r="M85" s="632" t="n"/>
      <c r="N85" s="632" t="n"/>
      <c r="O85" s="632" t="n"/>
      <c r="P85" s="632" t="n"/>
      <c r="Q85" s="632" t="n"/>
      <c r="R85" s="632" t="n"/>
      <c r="S85" s="632" t="n"/>
      <c r="T85" s="632" t="n"/>
      <c r="U85" s="632" t="n"/>
      <c r="V85" s="632" t="n"/>
      <c r="W85" s="632" t="n"/>
      <c r="X85" s="632" t="n"/>
      <c r="Y85" s="632" t="n"/>
      <c r="Z85" s="632" t="n"/>
    </row>
    <row r="86" ht="12.75" customHeight="1" s="673">
      <c r="A86" s="632" t="n"/>
      <c r="B86" s="632" t="n"/>
      <c r="C86" s="632" t="n"/>
      <c r="D86" s="632" t="n"/>
      <c r="E86" s="632" t="n"/>
      <c r="F86" s="632" t="n"/>
      <c r="G86" s="632" t="n"/>
      <c r="H86" s="632" t="n"/>
      <c r="I86" s="632" t="n"/>
      <c r="J86" s="632" t="n"/>
      <c r="K86" s="632" t="n"/>
      <c r="L86" s="632" t="n"/>
      <c r="M86" s="632" t="n"/>
      <c r="N86" s="632" t="n"/>
      <c r="O86" s="632" t="n"/>
      <c r="P86" s="632" t="n"/>
      <c r="Q86" s="632" t="n"/>
      <c r="R86" s="632" t="n"/>
      <c r="S86" s="632" t="n"/>
      <c r="T86" s="632" t="n"/>
      <c r="U86" s="632" t="n"/>
      <c r="V86" s="632" t="n"/>
      <c r="W86" s="632" t="n"/>
      <c r="X86" s="632" t="n"/>
      <c r="Y86" s="632" t="n"/>
      <c r="Z86" s="632" t="n"/>
    </row>
    <row r="87" ht="12.75" customHeight="1" s="673">
      <c r="A87" s="632" t="n"/>
      <c r="B87" s="632" t="n"/>
      <c r="C87" s="632" t="n"/>
      <c r="D87" s="632" t="n"/>
      <c r="E87" s="632" t="n"/>
      <c r="F87" s="632" t="n"/>
      <c r="G87" s="632" t="n"/>
      <c r="H87" s="632" t="n"/>
      <c r="I87" s="632" t="n"/>
      <c r="J87" s="632" t="n"/>
      <c r="K87" s="632" t="n"/>
      <c r="L87" s="632" t="n"/>
      <c r="M87" s="632" t="n"/>
      <c r="N87" s="632" t="n"/>
      <c r="O87" s="632" t="n"/>
      <c r="P87" s="632" t="n"/>
      <c r="Q87" s="632" t="n"/>
      <c r="R87" s="632" t="n"/>
      <c r="S87" s="632" t="n"/>
      <c r="T87" s="632" t="n"/>
      <c r="U87" s="632" t="n"/>
      <c r="V87" s="632" t="n"/>
      <c r="W87" s="632" t="n"/>
      <c r="X87" s="632" t="n"/>
      <c r="Y87" s="632" t="n"/>
      <c r="Z87" s="632" t="n"/>
    </row>
    <row r="88" ht="12.75" customHeight="1" s="673">
      <c r="A88" s="632" t="n"/>
      <c r="B88" s="632" t="n"/>
      <c r="C88" s="632" t="n"/>
      <c r="D88" s="632" t="n"/>
      <c r="E88" s="632" t="n"/>
      <c r="F88" s="632" t="n"/>
      <c r="G88" s="632" t="n"/>
      <c r="H88" s="632" t="n"/>
      <c r="I88" s="632" t="n"/>
      <c r="J88" s="632" t="n"/>
      <c r="K88" s="632" t="n"/>
      <c r="L88" s="632" t="n"/>
      <c r="M88" s="632" t="n"/>
      <c r="N88" s="632" t="n"/>
      <c r="O88" s="632" t="n"/>
      <c r="P88" s="632" t="n"/>
      <c r="Q88" s="632" t="n"/>
      <c r="R88" s="632" t="n"/>
      <c r="S88" s="632" t="n"/>
      <c r="T88" s="632" t="n"/>
      <c r="U88" s="632" t="n"/>
      <c r="V88" s="632" t="n"/>
      <c r="W88" s="632" t="n"/>
      <c r="X88" s="632" t="n"/>
      <c r="Y88" s="632" t="n"/>
      <c r="Z88" s="632" t="n"/>
    </row>
    <row r="89" ht="12.75" customHeight="1" s="673">
      <c r="A89" s="632" t="n"/>
      <c r="B89" s="632" t="n"/>
      <c r="C89" s="632" t="n"/>
      <c r="D89" s="632" t="n"/>
      <c r="E89" s="632" t="n"/>
      <c r="F89" s="632" t="n"/>
      <c r="G89" s="632" t="n"/>
      <c r="H89" s="632" t="n"/>
      <c r="I89" s="632" t="n"/>
      <c r="J89" s="632" t="n"/>
      <c r="K89" s="632" t="n"/>
      <c r="L89" s="632" t="n"/>
      <c r="M89" s="632" t="n"/>
      <c r="N89" s="632" t="n"/>
      <c r="O89" s="632" t="n"/>
      <c r="P89" s="632" t="n"/>
      <c r="Q89" s="632" t="n"/>
      <c r="R89" s="632" t="n"/>
      <c r="S89" s="632" t="n"/>
      <c r="T89" s="632" t="n"/>
      <c r="U89" s="632" t="n"/>
      <c r="V89" s="632" t="n"/>
      <c r="W89" s="632" t="n"/>
      <c r="X89" s="632" t="n"/>
      <c r="Y89" s="632" t="n"/>
      <c r="Z89" s="632" t="n"/>
    </row>
    <row r="90" ht="12.75" customHeight="1" s="673">
      <c r="A90" s="632" t="n"/>
      <c r="B90" s="632" t="n"/>
      <c r="C90" s="632" t="n"/>
      <c r="D90" s="632" t="n"/>
      <c r="E90" s="632" t="n"/>
      <c r="F90" s="632" t="n"/>
      <c r="G90" s="632" t="n"/>
      <c r="H90" s="632" t="n"/>
      <c r="I90" s="632" t="n"/>
      <c r="J90" s="632" t="n"/>
      <c r="K90" s="632" t="n"/>
      <c r="L90" s="632" t="n"/>
      <c r="M90" s="632" t="n"/>
      <c r="N90" s="632" t="n"/>
      <c r="O90" s="632" t="n"/>
      <c r="P90" s="632" t="n"/>
      <c r="Q90" s="632" t="n"/>
      <c r="R90" s="632" t="n"/>
      <c r="S90" s="632" t="n"/>
      <c r="T90" s="632" t="n"/>
      <c r="U90" s="632" t="n"/>
      <c r="V90" s="632" t="n"/>
      <c r="W90" s="632" t="n"/>
      <c r="X90" s="632" t="n"/>
      <c r="Y90" s="632" t="n"/>
      <c r="Z90" s="632" t="n"/>
    </row>
    <row r="91" ht="12.75" customHeight="1" s="673">
      <c r="A91" s="632" t="n"/>
      <c r="B91" s="632" t="n"/>
      <c r="C91" s="632" t="n"/>
      <c r="D91" s="632" t="n"/>
      <c r="E91" s="632" t="n"/>
      <c r="F91" s="632" t="n"/>
      <c r="G91" s="632" t="n"/>
      <c r="H91" s="632" t="n"/>
      <c r="I91" s="632" t="n"/>
      <c r="J91" s="632" t="n"/>
      <c r="K91" s="632" t="n"/>
      <c r="L91" s="632" t="n"/>
      <c r="M91" s="632" t="n"/>
      <c r="N91" s="632" t="n"/>
      <c r="O91" s="632" t="n"/>
      <c r="P91" s="632" t="n"/>
      <c r="Q91" s="632" t="n"/>
      <c r="R91" s="632" t="n"/>
      <c r="S91" s="632" t="n"/>
      <c r="T91" s="632" t="n"/>
      <c r="U91" s="632" t="n"/>
      <c r="V91" s="632" t="n"/>
      <c r="W91" s="632" t="n"/>
      <c r="X91" s="632" t="n"/>
      <c r="Y91" s="632" t="n"/>
      <c r="Z91" s="632" t="n"/>
    </row>
    <row r="92" ht="12.75" customHeight="1" s="673">
      <c r="A92" s="632" t="n"/>
      <c r="B92" s="632" t="n"/>
      <c r="C92" s="632" t="n"/>
      <c r="D92" s="632" t="n"/>
      <c r="E92" s="632" t="n"/>
      <c r="F92" s="632" t="n"/>
      <c r="G92" s="632" t="n"/>
      <c r="H92" s="632" t="n"/>
      <c r="I92" s="632" t="n"/>
      <c r="J92" s="632" t="n"/>
      <c r="K92" s="632" t="n"/>
      <c r="L92" s="632" t="n"/>
      <c r="M92" s="632" t="n"/>
      <c r="N92" s="632" t="n"/>
      <c r="O92" s="632" t="n"/>
      <c r="P92" s="632" t="n"/>
      <c r="Q92" s="632" t="n"/>
      <c r="R92" s="632" t="n"/>
      <c r="S92" s="632" t="n"/>
      <c r="T92" s="632" t="n"/>
      <c r="U92" s="632" t="n"/>
      <c r="V92" s="632" t="n"/>
      <c r="W92" s="632" t="n"/>
      <c r="X92" s="632" t="n"/>
      <c r="Y92" s="632" t="n"/>
      <c r="Z92" s="632" t="n"/>
    </row>
    <row r="93" ht="12.75" customHeight="1" s="673">
      <c r="A93" s="632" t="n"/>
      <c r="B93" s="632" t="n"/>
      <c r="C93" s="632" t="n"/>
      <c r="D93" s="632" t="n"/>
      <c r="E93" s="632" t="n"/>
      <c r="F93" s="632" t="n"/>
      <c r="G93" s="632" t="n"/>
      <c r="H93" s="632" t="n"/>
      <c r="I93" s="632" t="n"/>
      <c r="J93" s="632" t="n"/>
      <c r="K93" s="632" t="n"/>
      <c r="L93" s="632" t="n"/>
      <c r="M93" s="632" t="n"/>
      <c r="N93" s="632" t="n"/>
      <c r="O93" s="632" t="n"/>
      <c r="P93" s="632" t="n"/>
      <c r="Q93" s="632" t="n"/>
      <c r="R93" s="632" t="n"/>
      <c r="S93" s="632" t="n"/>
      <c r="T93" s="632" t="n"/>
      <c r="U93" s="632" t="n"/>
      <c r="V93" s="632" t="n"/>
      <c r="W93" s="632" t="n"/>
      <c r="X93" s="632" t="n"/>
      <c r="Y93" s="632" t="n"/>
      <c r="Z93" s="632" t="n"/>
    </row>
    <row r="94" ht="12.75" customHeight="1" s="673">
      <c r="A94" s="632" t="n"/>
      <c r="B94" s="632" t="n"/>
      <c r="C94" s="632" t="n"/>
      <c r="D94" s="632" t="n"/>
      <c r="E94" s="632" t="n"/>
      <c r="F94" s="632" t="n"/>
      <c r="G94" s="632" t="n"/>
      <c r="H94" s="632" t="n"/>
      <c r="I94" s="632" t="n"/>
      <c r="J94" s="632" t="n"/>
      <c r="K94" s="632" t="n"/>
      <c r="L94" s="632" t="n"/>
      <c r="M94" s="632" t="n"/>
      <c r="N94" s="632" t="n"/>
      <c r="O94" s="632" t="n"/>
      <c r="P94" s="632" t="n"/>
      <c r="Q94" s="632" t="n"/>
      <c r="R94" s="632" t="n"/>
      <c r="S94" s="632" t="n"/>
      <c r="T94" s="632" t="n"/>
      <c r="U94" s="632" t="n"/>
      <c r="V94" s="632" t="n"/>
      <c r="W94" s="632" t="n"/>
      <c r="X94" s="632" t="n"/>
      <c r="Y94" s="632" t="n"/>
      <c r="Z94" s="632" t="n"/>
    </row>
    <row r="95" ht="12.75" customHeight="1" s="673">
      <c r="A95" s="632" t="n"/>
      <c r="B95" s="632" t="n"/>
      <c r="C95" s="632" t="n"/>
      <c r="D95" s="632" t="n"/>
      <c r="E95" s="632" t="n"/>
      <c r="F95" s="632" t="n"/>
      <c r="G95" s="632" t="n"/>
      <c r="H95" s="632" t="n"/>
      <c r="I95" s="632" t="n"/>
      <c r="J95" s="632" t="n"/>
      <c r="K95" s="632" t="n"/>
      <c r="L95" s="632" t="n"/>
      <c r="M95" s="632" t="n"/>
      <c r="N95" s="632" t="n"/>
      <c r="O95" s="632" t="n"/>
      <c r="P95" s="632" t="n"/>
      <c r="Q95" s="632" t="n"/>
      <c r="R95" s="632" t="n"/>
      <c r="S95" s="632" t="n"/>
      <c r="T95" s="632" t="n"/>
      <c r="U95" s="632" t="n"/>
      <c r="V95" s="632" t="n"/>
      <c r="W95" s="632" t="n"/>
      <c r="X95" s="632" t="n"/>
      <c r="Y95" s="632" t="n"/>
      <c r="Z95" s="632" t="n"/>
    </row>
    <row r="96" ht="12.75" customHeight="1" s="673">
      <c r="A96" s="632" t="n"/>
      <c r="B96" s="632" t="n"/>
      <c r="C96" s="632" t="n"/>
      <c r="D96" s="632" t="n"/>
      <c r="E96" s="632" t="n"/>
      <c r="F96" s="632" t="n"/>
      <c r="G96" s="632" t="n"/>
      <c r="H96" s="632" t="n"/>
      <c r="I96" s="632" t="n"/>
      <c r="J96" s="632" t="n"/>
      <c r="K96" s="632" t="n"/>
      <c r="L96" s="632" t="n"/>
      <c r="M96" s="632" t="n"/>
      <c r="N96" s="632" t="n"/>
      <c r="O96" s="632" t="n"/>
      <c r="P96" s="632" t="n"/>
      <c r="Q96" s="632" t="n"/>
      <c r="R96" s="632" t="n"/>
      <c r="S96" s="632" t="n"/>
      <c r="T96" s="632" t="n"/>
      <c r="U96" s="632" t="n"/>
      <c r="V96" s="632" t="n"/>
      <c r="W96" s="632" t="n"/>
      <c r="X96" s="632" t="n"/>
      <c r="Y96" s="632" t="n"/>
      <c r="Z96" s="632" t="n"/>
    </row>
    <row r="97" ht="12.75" customHeight="1" s="673">
      <c r="A97" s="632" t="n"/>
      <c r="B97" s="632" t="n"/>
      <c r="C97" s="632" t="n"/>
      <c r="D97" s="632" t="n"/>
      <c r="E97" s="632" t="n"/>
      <c r="F97" s="632" t="n"/>
      <c r="G97" s="632" t="n"/>
      <c r="H97" s="632" t="n"/>
      <c r="I97" s="632" t="n"/>
      <c r="J97" s="632" t="n"/>
      <c r="K97" s="632" t="n"/>
      <c r="L97" s="632" t="n"/>
      <c r="M97" s="632" t="n"/>
      <c r="N97" s="632" t="n"/>
      <c r="O97" s="632" t="n"/>
      <c r="P97" s="632" t="n"/>
      <c r="Q97" s="632" t="n"/>
      <c r="R97" s="632" t="n"/>
      <c r="S97" s="632" t="n"/>
      <c r="T97" s="632" t="n"/>
      <c r="U97" s="632" t="n"/>
      <c r="V97" s="632" t="n"/>
      <c r="W97" s="632" t="n"/>
      <c r="X97" s="632" t="n"/>
      <c r="Y97" s="632" t="n"/>
      <c r="Z97" s="632" t="n"/>
    </row>
    <row r="98" ht="12.75" customHeight="1" s="673">
      <c r="A98" s="632" t="n"/>
      <c r="B98" s="632" t="n"/>
      <c r="C98" s="632" t="n"/>
      <c r="D98" s="632" t="n"/>
      <c r="E98" s="632" t="n"/>
      <c r="F98" s="632" t="n"/>
      <c r="G98" s="632" t="n"/>
      <c r="H98" s="632" t="n"/>
      <c r="I98" s="632" t="n"/>
      <c r="J98" s="632" t="n"/>
      <c r="K98" s="632" t="n"/>
      <c r="L98" s="632" t="n"/>
      <c r="M98" s="632" t="n"/>
      <c r="N98" s="632" t="n"/>
      <c r="O98" s="632" t="n"/>
      <c r="P98" s="632" t="n"/>
      <c r="Q98" s="632" t="n"/>
      <c r="R98" s="632" t="n"/>
      <c r="S98" s="632" t="n"/>
      <c r="T98" s="632" t="n"/>
      <c r="U98" s="632" t="n"/>
      <c r="V98" s="632" t="n"/>
      <c r="W98" s="632" t="n"/>
      <c r="X98" s="632" t="n"/>
      <c r="Y98" s="632" t="n"/>
      <c r="Z98" s="632" t="n"/>
    </row>
    <row r="99" ht="12.75" customHeight="1" s="673">
      <c r="A99" s="632" t="n"/>
      <c r="B99" s="632" t="n"/>
      <c r="C99" s="632" t="n"/>
      <c r="D99" s="632" t="n"/>
      <c r="E99" s="632" t="n"/>
      <c r="F99" s="632" t="n"/>
      <c r="G99" s="632" t="n"/>
      <c r="H99" s="632" t="n"/>
      <c r="I99" s="632" t="n"/>
      <c r="J99" s="632" t="n"/>
      <c r="K99" s="632" t="n"/>
      <c r="L99" s="632" t="n"/>
      <c r="M99" s="632" t="n"/>
      <c r="N99" s="632" t="n"/>
      <c r="O99" s="632" t="n"/>
      <c r="P99" s="632" t="n"/>
      <c r="Q99" s="632" t="n"/>
      <c r="R99" s="632" t="n"/>
      <c r="S99" s="632" t="n"/>
      <c r="T99" s="632" t="n"/>
      <c r="U99" s="632" t="n"/>
      <c r="V99" s="632" t="n"/>
      <c r="W99" s="632" t="n"/>
      <c r="X99" s="632" t="n"/>
      <c r="Y99" s="632" t="n"/>
      <c r="Z99" s="632" t="n"/>
    </row>
    <row r="100" ht="12.75" customHeight="1" s="673">
      <c r="A100" s="632" t="n"/>
      <c r="B100" s="632" t="n"/>
      <c r="C100" s="632" t="n"/>
      <c r="D100" s="632" t="n"/>
      <c r="E100" s="632" t="n"/>
      <c r="F100" s="632" t="n"/>
      <c r="G100" s="632" t="n"/>
      <c r="H100" s="632" t="n"/>
      <c r="I100" s="632" t="n"/>
      <c r="J100" s="632" t="n"/>
      <c r="K100" s="632" t="n"/>
      <c r="L100" s="632" t="n"/>
      <c r="M100" s="632" t="n"/>
      <c r="N100" s="632" t="n"/>
      <c r="O100" s="632" t="n"/>
      <c r="P100" s="632" t="n"/>
      <c r="Q100" s="632" t="n"/>
      <c r="R100" s="632" t="n"/>
      <c r="S100" s="632" t="n"/>
      <c r="T100" s="632" t="n"/>
      <c r="U100" s="632" t="n"/>
      <c r="V100" s="632" t="n"/>
      <c r="W100" s="632" t="n"/>
      <c r="X100" s="632" t="n"/>
      <c r="Y100" s="632" t="n"/>
      <c r="Z100" s="632" t="n"/>
    </row>
    <row r="101" ht="12.75" customHeight="1" s="673">
      <c r="A101" s="632" t="n"/>
      <c r="B101" s="632" t="n"/>
      <c r="C101" s="632" t="n"/>
      <c r="D101" s="632" t="n"/>
      <c r="E101" s="632" t="n"/>
      <c r="F101" s="632" t="n"/>
      <c r="G101" s="632" t="n"/>
      <c r="H101" s="632" t="n"/>
      <c r="I101" s="632" t="n"/>
      <c r="J101" s="632" t="n"/>
      <c r="K101" s="632" t="n"/>
      <c r="L101" s="632" t="n"/>
      <c r="M101" s="632" t="n"/>
      <c r="N101" s="632" t="n"/>
      <c r="O101" s="632" t="n"/>
      <c r="P101" s="632" t="n"/>
      <c r="Q101" s="632" t="n"/>
      <c r="R101" s="632" t="n"/>
      <c r="S101" s="632" t="n"/>
      <c r="T101" s="632" t="n"/>
      <c r="U101" s="632" t="n"/>
      <c r="V101" s="632" t="n"/>
      <c r="W101" s="632" t="n"/>
      <c r="X101" s="632" t="n"/>
      <c r="Y101" s="632" t="n"/>
      <c r="Z101" s="632" t="n"/>
    </row>
    <row r="102" ht="12.75" customHeight="1" s="673">
      <c r="A102" s="632" t="n"/>
      <c r="B102" s="632" t="n"/>
      <c r="C102" s="632" t="n"/>
      <c r="D102" s="632" t="n"/>
      <c r="E102" s="632" t="n"/>
      <c r="F102" s="632" t="n"/>
      <c r="G102" s="632" t="n"/>
      <c r="H102" s="632" t="n"/>
      <c r="I102" s="632" t="n"/>
      <c r="J102" s="632" t="n"/>
      <c r="K102" s="632" t="n"/>
      <c r="L102" s="632" t="n"/>
      <c r="M102" s="632" t="n"/>
      <c r="N102" s="632" t="n"/>
      <c r="O102" s="632" t="n"/>
      <c r="P102" s="632" t="n"/>
      <c r="Q102" s="632" t="n"/>
      <c r="R102" s="632" t="n"/>
      <c r="S102" s="632" t="n"/>
      <c r="T102" s="632" t="n"/>
      <c r="U102" s="632" t="n"/>
      <c r="V102" s="632" t="n"/>
      <c r="W102" s="632" t="n"/>
      <c r="X102" s="632" t="n"/>
      <c r="Y102" s="632" t="n"/>
      <c r="Z102" s="632" t="n"/>
    </row>
    <row r="103" ht="12.75" customHeight="1" s="673">
      <c r="A103" s="632" t="n"/>
      <c r="B103" s="632" t="n"/>
      <c r="C103" s="632" t="n"/>
      <c r="D103" s="632" t="n"/>
      <c r="E103" s="632" t="n"/>
      <c r="F103" s="632" t="n"/>
      <c r="G103" s="632" t="n"/>
      <c r="H103" s="632" t="n"/>
      <c r="I103" s="632" t="n"/>
      <c r="J103" s="632" t="n"/>
      <c r="K103" s="632" t="n"/>
      <c r="L103" s="632" t="n"/>
      <c r="M103" s="632" t="n"/>
      <c r="N103" s="632" t="n"/>
      <c r="O103" s="632" t="n"/>
      <c r="P103" s="632" t="n"/>
      <c r="Q103" s="632" t="n"/>
      <c r="R103" s="632" t="n"/>
      <c r="S103" s="632" t="n"/>
      <c r="T103" s="632" t="n"/>
      <c r="U103" s="632" t="n"/>
      <c r="V103" s="632" t="n"/>
      <c r="W103" s="632" t="n"/>
      <c r="X103" s="632" t="n"/>
      <c r="Y103" s="632" t="n"/>
      <c r="Z103" s="632" t="n"/>
    </row>
    <row r="104" ht="12.75" customHeight="1" s="673">
      <c r="A104" s="632" t="n"/>
      <c r="B104" s="632" t="n"/>
      <c r="C104" s="632" t="n"/>
      <c r="D104" s="632" t="n"/>
      <c r="E104" s="632" t="n"/>
      <c r="F104" s="632" t="n"/>
      <c r="G104" s="632" t="n"/>
      <c r="H104" s="632" t="n"/>
      <c r="I104" s="632" t="n"/>
      <c r="J104" s="632" t="n"/>
      <c r="K104" s="632" t="n"/>
      <c r="L104" s="632" t="n"/>
      <c r="M104" s="632" t="n"/>
      <c r="N104" s="632" t="n"/>
      <c r="O104" s="632" t="n"/>
      <c r="P104" s="632" t="n"/>
      <c r="Q104" s="632" t="n"/>
      <c r="R104" s="632" t="n"/>
      <c r="S104" s="632" t="n"/>
      <c r="T104" s="632" t="n"/>
      <c r="U104" s="632" t="n"/>
      <c r="V104" s="632" t="n"/>
      <c r="W104" s="632" t="n"/>
      <c r="X104" s="632" t="n"/>
      <c r="Y104" s="632" t="n"/>
      <c r="Z104" s="632" t="n"/>
    </row>
    <row r="105" ht="12.75" customHeight="1" s="673">
      <c r="A105" s="632" t="n"/>
      <c r="B105" s="632" t="n"/>
      <c r="C105" s="632" t="n"/>
      <c r="D105" s="632" t="n"/>
      <c r="E105" s="632" t="n"/>
      <c r="F105" s="632" t="n"/>
      <c r="G105" s="632" t="n"/>
      <c r="H105" s="632" t="n"/>
      <c r="I105" s="632" t="n"/>
      <c r="J105" s="632" t="n"/>
      <c r="K105" s="632" t="n"/>
      <c r="L105" s="632" t="n"/>
      <c r="M105" s="632" t="n"/>
      <c r="N105" s="632" t="n"/>
      <c r="O105" s="632" t="n"/>
      <c r="P105" s="632" t="n"/>
      <c r="Q105" s="632" t="n"/>
      <c r="R105" s="632" t="n"/>
      <c r="S105" s="632" t="n"/>
      <c r="T105" s="632" t="n"/>
      <c r="U105" s="632" t="n"/>
      <c r="V105" s="632" t="n"/>
      <c r="W105" s="632" t="n"/>
      <c r="X105" s="632" t="n"/>
      <c r="Y105" s="632" t="n"/>
      <c r="Z105" s="632" t="n"/>
    </row>
    <row r="106" ht="12.75" customHeight="1" s="673">
      <c r="A106" s="632" t="n"/>
      <c r="B106" s="632" t="n"/>
      <c r="C106" s="632" t="n"/>
      <c r="D106" s="632" t="n"/>
      <c r="E106" s="632" t="n"/>
      <c r="F106" s="632" t="n"/>
      <c r="G106" s="632" t="n"/>
      <c r="H106" s="632" t="n"/>
      <c r="I106" s="632" t="n"/>
      <c r="J106" s="632" t="n"/>
      <c r="K106" s="632" t="n"/>
      <c r="L106" s="632" t="n"/>
      <c r="M106" s="632" t="n"/>
      <c r="N106" s="632" t="n"/>
      <c r="O106" s="632" t="n"/>
      <c r="P106" s="632" t="n"/>
      <c r="Q106" s="632" t="n"/>
      <c r="R106" s="632" t="n"/>
      <c r="S106" s="632" t="n"/>
      <c r="T106" s="632" t="n"/>
      <c r="U106" s="632" t="n"/>
      <c r="V106" s="632" t="n"/>
      <c r="W106" s="632" t="n"/>
      <c r="X106" s="632" t="n"/>
      <c r="Y106" s="632" t="n"/>
      <c r="Z106" s="632" t="n"/>
    </row>
    <row r="107" ht="12.75" customHeight="1" s="673">
      <c r="A107" s="632" t="n"/>
      <c r="B107" s="632" t="n"/>
      <c r="C107" s="632" t="n"/>
      <c r="D107" s="632" t="n"/>
      <c r="E107" s="632" t="n"/>
      <c r="F107" s="632" t="n"/>
      <c r="G107" s="632" t="n"/>
      <c r="H107" s="632" t="n"/>
      <c r="I107" s="632" t="n"/>
      <c r="J107" s="632" t="n"/>
      <c r="K107" s="632" t="n"/>
      <c r="L107" s="632" t="n"/>
      <c r="M107" s="632" t="n"/>
      <c r="N107" s="632" t="n"/>
      <c r="O107" s="632" t="n"/>
      <c r="P107" s="632" t="n"/>
      <c r="Q107" s="632" t="n"/>
      <c r="R107" s="632" t="n"/>
      <c r="S107" s="632" t="n"/>
      <c r="T107" s="632" t="n"/>
      <c r="U107" s="632" t="n"/>
      <c r="V107" s="632" t="n"/>
      <c r="W107" s="632" t="n"/>
      <c r="X107" s="632" t="n"/>
      <c r="Y107" s="632" t="n"/>
      <c r="Z107" s="632" t="n"/>
    </row>
    <row r="108" ht="12.75" customHeight="1" s="673">
      <c r="A108" s="632" t="n"/>
      <c r="B108" s="632" t="n"/>
      <c r="C108" s="632" t="n"/>
      <c r="D108" s="632" t="n"/>
      <c r="E108" s="632" t="n"/>
      <c r="F108" s="632" t="n"/>
      <c r="G108" s="632" t="n"/>
      <c r="H108" s="632" t="n"/>
      <c r="I108" s="632" t="n"/>
      <c r="J108" s="632" t="n"/>
      <c r="K108" s="632" t="n"/>
      <c r="L108" s="632" t="n"/>
      <c r="M108" s="632" t="n"/>
      <c r="N108" s="632" t="n"/>
      <c r="O108" s="632" t="n"/>
      <c r="P108" s="632" t="n"/>
      <c r="Q108" s="632" t="n"/>
      <c r="R108" s="632" t="n"/>
      <c r="S108" s="632" t="n"/>
      <c r="T108" s="632" t="n"/>
      <c r="U108" s="632" t="n"/>
      <c r="V108" s="632" t="n"/>
      <c r="W108" s="632" t="n"/>
      <c r="X108" s="632" t="n"/>
      <c r="Y108" s="632" t="n"/>
      <c r="Z108" s="632" t="n"/>
    </row>
    <row r="109" ht="12.75" customHeight="1" s="673">
      <c r="A109" s="632" t="n"/>
      <c r="B109" s="632" t="n"/>
      <c r="C109" s="632" t="n"/>
      <c r="D109" s="632" t="n"/>
      <c r="E109" s="632" t="n"/>
      <c r="F109" s="632" t="n"/>
      <c r="G109" s="632" t="n"/>
      <c r="H109" s="632" t="n"/>
      <c r="I109" s="632" t="n"/>
      <c r="J109" s="632" t="n"/>
      <c r="K109" s="632" t="n"/>
      <c r="L109" s="632" t="n"/>
      <c r="M109" s="632" t="n"/>
      <c r="N109" s="632" t="n"/>
      <c r="O109" s="632" t="n"/>
      <c r="P109" s="632" t="n"/>
      <c r="Q109" s="632" t="n"/>
      <c r="R109" s="632" t="n"/>
      <c r="S109" s="632" t="n"/>
      <c r="T109" s="632" t="n"/>
      <c r="U109" s="632" t="n"/>
      <c r="V109" s="632" t="n"/>
      <c r="W109" s="632" t="n"/>
      <c r="X109" s="632" t="n"/>
      <c r="Y109" s="632" t="n"/>
      <c r="Z109" s="632" t="n"/>
    </row>
    <row r="110" ht="12.75" customHeight="1" s="673">
      <c r="A110" s="632" t="n"/>
      <c r="B110" s="632" t="n"/>
      <c r="C110" s="632" t="n"/>
      <c r="D110" s="632" t="n"/>
      <c r="E110" s="632" t="n"/>
      <c r="F110" s="632" t="n"/>
      <c r="G110" s="632" t="n"/>
      <c r="H110" s="632" t="n"/>
      <c r="I110" s="632" t="n"/>
      <c r="J110" s="632" t="n"/>
      <c r="K110" s="632" t="n"/>
      <c r="L110" s="632" t="n"/>
      <c r="M110" s="632" t="n"/>
      <c r="N110" s="632" t="n"/>
      <c r="O110" s="632" t="n"/>
      <c r="P110" s="632" t="n"/>
      <c r="Q110" s="632" t="n"/>
      <c r="R110" s="632" t="n"/>
      <c r="S110" s="632" t="n"/>
      <c r="T110" s="632" t="n"/>
      <c r="U110" s="632" t="n"/>
      <c r="V110" s="632" t="n"/>
      <c r="W110" s="632" t="n"/>
      <c r="X110" s="632" t="n"/>
      <c r="Y110" s="632" t="n"/>
      <c r="Z110" s="632" t="n"/>
    </row>
    <row r="111" ht="12.75" customHeight="1" s="673">
      <c r="A111" s="632" t="n"/>
      <c r="B111" s="632" t="n"/>
      <c r="C111" s="632" t="n"/>
      <c r="D111" s="632" t="n"/>
      <c r="E111" s="632" t="n"/>
      <c r="F111" s="632" t="n"/>
      <c r="G111" s="632" t="n"/>
      <c r="H111" s="632" t="n"/>
      <c r="I111" s="632" t="n"/>
      <c r="J111" s="632" t="n"/>
      <c r="K111" s="632" t="n"/>
      <c r="L111" s="632" t="n"/>
      <c r="M111" s="632" t="n"/>
      <c r="N111" s="632" t="n"/>
      <c r="O111" s="632" t="n"/>
      <c r="P111" s="632" t="n"/>
      <c r="Q111" s="632" t="n"/>
      <c r="R111" s="632" t="n"/>
      <c r="S111" s="632" t="n"/>
      <c r="T111" s="632" t="n"/>
      <c r="U111" s="632" t="n"/>
      <c r="V111" s="632" t="n"/>
      <c r="W111" s="632" t="n"/>
      <c r="X111" s="632" t="n"/>
      <c r="Y111" s="632" t="n"/>
      <c r="Z111" s="632" t="n"/>
    </row>
    <row r="112" ht="12.75" customHeight="1" s="673">
      <c r="A112" s="632" t="n"/>
      <c r="B112" s="632" t="n"/>
      <c r="C112" s="632" t="n"/>
      <c r="D112" s="632" t="n"/>
      <c r="E112" s="632" t="n"/>
      <c r="F112" s="632" t="n"/>
      <c r="G112" s="632" t="n"/>
      <c r="H112" s="632" t="n"/>
      <c r="I112" s="632" t="n"/>
      <c r="J112" s="632" t="n"/>
      <c r="K112" s="632" t="n"/>
      <c r="L112" s="632" t="n"/>
      <c r="M112" s="632" t="n"/>
      <c r="N112" s="632" t="n"/>
      <c r="O112" s="632" t="n"/>
      <c r="P112" s="632" t="n"/>
      <c r="Q112" s="632" t="n"/>
      <c r="R112" s="632" t="n"/>
      <c r="S112" s="632" t="n"/>
      <c r="T112" s="632" t="n"/>
      <c r="U112" s="632" t="n"/>
      <c r="V112" s="632" t="n"/>
      <c r="W112" s="632" t="n"/>
      <c r="X112" s="632" t="n"/>
      <c r="Y112" s="632" t="n"/>
      <c r="Z112" s="632" t="n"/>
    </row>
    <row r="113" ht="12.75" customHeight="1" s="673">
      <c r="A113" s="632" t="n"/>
      <c r="B113" s="632" t="n"/>
      <c r="C113" s="632" t="n"/>
      <c r="D113" s="632" t="n"/>
      <c r="E113" s="632" t="n"/>
      <c r="F113" s="632" t="n"/>
      <c r="G113" s="632" t="n"/>
      <c r="H113" s="632" t="n"/>
      <c r="I113" s="632" t="n"/>
      <c r="J113" s="632" t="n"/>
      <c r="K113" s="632" t="n"/>
      <c r="L113" s="632" t="n"/>
      <c r="M113" s="632" t="n"/>
      <c r="N113" s="632" t="n"/>
      <c r="O113" s="632" t="n"/>
      <c r="P113" s="632" t="n"/>
      <c r="Q113" s="632" t="n"/>
      <c r="R113" s="632" t="n"/>
      <c r="S113" s="632" t="n"/>
      <c r="T113" s="632" t="n"/>
      <c r="U113" s="632" t="n"/>
      <c r="V113" s="632" t="n"/>
      <c r="W113" s="632" t="n"/>
      <c r="X113" s="632" t="n"/>
      <c r="Y113" s="632" t="n"/>
      <c r="Z113" s="632" t="n"/>
    </row>
    <row r="114" ht="12.75" customHeight="1" s="673">
      <c r="A114" s="632" t="n"/>
      <c r="B114" s="632" t="n"/>
      <c r="C114" s="632" t="n"/>
      <c r="D114" s="632" t="n"/>
      <c r="E114" s="632" t="n"/>
      <c r="F114" s="632" t="n"/>
      <c r="G114" s="632" t="n"/>
      <c r="H114" s="632" t="n"/>
      <c r="I114" s="632" t="n"/>
      <c r="J114" s="632" t="n"/>
      <c r="K114" s="632" t="n"/>
      <c r="L114" s="632" t="n"/>
      <c r="M114" s="632" t="n"/>
      <c r="N114" s="632" t="n"/>
      <c r="O114" s="632" t="n"/>
      <c r="P114" s="632" t="n"/>
      <c r="Q114" s="632" t="n"/>
      <c r="R114" s="632" t="n"/>
      <c r="S114" s="632" t="n"/>
      <c r="T114" s="632" t="n"/>
      <c r="U114" s="632" t="n"/>
      <c r="V114" s="632" t="n"/>
      <c r="W114" s="632" t="n"/>
      <c r="X114" s="632" t="n"/>
      <c r="Y114" s="632" t="n"/>
      <c r="Z114" s="632" t="n"/>
    </row>
    <row r="115" ht="12.75" customHeight="1" s="673">
      <c r="A115" s="632" t="n"/>
      <c r="B115" s="632" t="n"/>
      <c r="C115" s="632" t="n"/>
      <c r="D115" s="632" t="n"/>
      <c r="E115" s="632" t="n"/>
      <c r="F115" s="632" t="n"/>
      <c r="G115" s="632" t="n"/>
      <c r="H115" s="632" t="n"/>
      <c r="I115" s="632" t="n"/>
      <c r="J115" s="632" t="n"/>
      <c r="K115" s="632" t="n"/>
      <c r="L115" s="632" t="n"/>
      <c r="M115" s="632" t="n"/>
      <c r="N115" s="632" t="n"/>
      <c r="O115" s="632" t="n"/>
      <c r="P115" s="632" t="n"/>
      <c r="Q115" s="632" t="n"/>
      <c r="R115" s="632" t="n"/>
      <c r="S115" s="632" t="n"/>
      <c r="T115" s="632" t="n"/>
      <c r="U115" s="632" t="n"/>
      <c r="V115" s="632" t="n"/>
      <c r="W115" s="632" t="n"/>
      <c r="X115" s="632" t="n"/>
      <c r="Y115" s="632" t="n"/>
      <c r="Z115" s="632" t="n"/>
    </row>
    <row r="116" ht="12.75" customHeight="1" s="673">
      <c r="A116" s="632" t="n"/>
      <c r="B116" s="632" t="n"/>
      <c r="C116" s="632" t="n"/>
      <c r="D116" s="632" t="n"/>
      <c r="E116" s="632" t="n"/>
      <c r="F116" s="632" t="n"/>
      <c r="G116" s="632" t="n"/>
      <c r="H116" s="632" t="n"/>
      <c r="I116" s="632" t="n"/>
      <c r="J116" s="632" t="n"/>
      <c r="K116" s="632" t="n"/>
      <c r="L116" s="632" t="n"/>
      <c r="M116" s="632" t="n"/>
      <c r="N116" s="632" t="n"/>
      <c r="O116" s="632" t="n"/>
      <c r="P116" s="632" t="n"/>
      <c r="Q116" s="632" t="n"/>
      <c r="R116" s="632" t="n"/>
      <c r="S116" s="632" t="n"/>
      <c r="T116" s="632" t="n"/>
      <c r="U116" s="632" t="n"/>
      <c r="V116" s="632" t="n"/>
      <c r="W116" s="632" t="n"/>
      <c r="X116" s="632" t="n"/>
      <c r="Y116" s="632" t="n"/>
      <c r="Z116" s="632" t="n"/>
    </row>
    <row r="117" ht="12.75" customHeight="1" s="673">
      <c r="A117" s="632" t="n"/>
      <c r="B117" s="632" t="n"/>
      <c r="C117" s="632" t="n"/>
      <c r="D117" s="632" t="n"/>
      <c r="E117" s="632" t="n"/>
      <c r="F117" s="632" t="n"/>
      <c r="G117" s="632" t="n"/>
      <c r="H117" s="632" t="n"/>
      <c r="I117" s="632" t="n"/>
      <c r="J117" s="632" t="n"/>
      <c r="K117" s="632" t="n"/>
      <c r="L117" s="632" t="n"/>
      <c r="M117" s="632" t="n"/>
      <c r="N117" s="632" t="n"/>
      <c r="O117" s="632" t="n"/>
      <c r="P117" s="632" t="n"/>
      <c r="Q117" s="632" t="n"/>
      <c r="R117" s="632" t="n"/>
      <c r="S117" s="632" t="n"/>
      <c r="T117" s="632" t="n"/>
      <c r="U117" s="632" t="n"/>
      <c r="V117" s="632" t="n"/>
      <c r="W117" s="632" t="n"/>
      <c r="X117" s="632" t="n"/>
      <c r="Y117" s="632" t="n"/>
      <c r="Z117" s="632" t="n"/>
    </row>
    <row r="118" ht="12.75" customHeight="1" s="673">
      <c r="A118" s="632" t="n"/>
      <c r="B118" s="632" t="n"/>
      <c r="C118" s="632" t="n"/>
      <c r="D118" s="632" t="n"/>
      <c r="E118" s="632" t="n"/>
      <c r="F118" s="632" t="n"/>
      <c r="G118" s="632" t="n"/>
      <c r="H118" s="632" t="n"/>
      <c r="I118" s="632" t="n"/>
      <c r="J118" s="632" t="n"/>
      <c r="K118" s="632" t="n"/>
      <c r="L118" s="632" t="n"/>
      <c r="M118" s="632" t="n"/>
      <c r="N118" s="632" t="n"/>
      <c r="O118" s="632" t="n"/>
      <c r="P118" s="632" t="n"/>
      <c r="Q118" s="632" t="n"/>
      <c r="R118" s="632" t="n"/>
      <c r="S118" s="632" t="n"/>
      <c r="T118" s="632" t="n"/>
      <c r="U118" s="632" t="n"/>
      <c r="V118" s="632" t="n"/>
      <c r="W118" s="632" t="n"/>
      <c r="X118" s="632" t="n"/>
      <c r="Y118" s="632" t="n"/>
      <c r="Z118" s="632" t="n"/>
    </row>
    <row r="119" ht="12.75" customHeight="1" s="673">
      <c r="A119" s="632" t="n"/>
      <c r="B119" s="632" t="n"/>
      <c r="C119" s="632" t="n"/>
      <c r="D119" s="632" t="n"/>
      <c r="E119" s="632" t="n"/>
      <c r="F119" s="632" t="n"/>
      <c r="G119" s="632" t="n"/>
      <c r="H119" s="632" t="n"/>
      <c r="I119" s="632" t="n"/>
      <c r="J119" s="632" t="n"/>
      <c r="K119" s="632" t="n"/>
      <c r="L119" s="632" t="n"/>
      <c r="M119" s="632" t="n"/>
      <c r="N119" s="632" t="n"/>
      <c r="O119" s="632" t="n"/>
      <c r="P119" s="632" t="n"/>
      <c r="Q119" s="632" t="n"/>
      <c r="R119" s="632" t="n"/>
      <c r="S119" s="632" t="n"/>
      <c r="T119" s="632" t="n"/>
      <c r="U119" s="632" t="n"/>
      <c r="V119" s="632" t="n"/>
      <c r="W119" s="632" t="n"/>
      <c r="X119" s="632" t="n"/>
      <c r="Y119" s="632" t="n"/>
      <c r="Z119" s="632" t="n"/>
    </row>
    <row r="120" ht="12.75" customHeight="1" s="673">
      <c r="A120" s="632" t="n"/>
      <c r="B120" s="632" t="n"/>
      <c r="C120" s="632" t="n"/>
      <c r="D120" s="632" t="n"/>
      <c r="E120" s="632" t="n"/>
      <c r="F120" s="632" t="n"/>
      <c r="G120" s="632" t="n"/>
      <c r="H120" s="632" t="n"/>
      <c r="I120" s="632" t="n"/>
      <c r="J120" s="632" t="n"/>
      <c r="K120" s="632" t="n"/>
      <c r="L120" s="632" t="n"/>
      <c r="M120" s="632" t="n"/>
      <c r="N120" s="632" t="n"/>
      <c r="O120" s="632" t="n"/>
      <c r="P120" s="632" t="n"/>
      <c r="Q120" s="632" t="n"/>
      <c r="R120" s="632" t="n"/>
      <c r="S120" s="632" t="n"/>
      <c r="T120" s="632" t="n"/>
      <c r="U120" s="632" t="n"/>
      <c r="V120" s="632" t="n"/>
      <c r="W120" s="632" t="n"/>
      <c r="X120" s="632" t="n"/>
      <c r="Y120" s="632" t="n"/>
      <c r="Z120" s="632" t="n"/>
    </row>
    <row r="121" ht="12.75" customHeight="1" s="673">
      <c r="A121" s="632" t="n"/>
      <c r="B121" s="632" t="n"/>
      <c r="C121" s="632" t="n"/>
      <c r="D121" s="632" t="n"/>
      <c r="E121" s="632" t="n"/>
      <c r="F121" s="632" t="n"/>
      <c r="G121" s="632" t="n"/>
      <c r="H121" s="632" t="n"/>
      <c r="I121" s="632" t="n"/>
      <c r="J121" s="632" t="n"/>
      <c r="K121" s="632" t="n"/>
      <c r="L121" s="632" t="n"/>
      <c r="M121" s="632" t="n"/>
      <c r="N121" s="632" t="n"/>
      <c r="O121" s="632" t="n"/>
      <c r="P121" s="632" t="n"/>
      <c r="Q121" s="632" t="n"/>
      <c r="R121" s="632" t="n"/>
      <c r="S121" s="632" t="n"/>
      <c r="T121" s="632" t="n"/>
      <c r="U121" s="632" t="n"/>
      <c r="V121" s="632" t="n"/>
      <c r="W121" s="632" t="n"/>
      <c r="X121" s="632" t="n"/>
      <c r="Y121" s="632" t="n"/>
      <c r="Z121" s="632" t="n"/>
    </row>
    <row r="122" ht="12.75" customHeight="1" s="673">
      <c r="A122" s="632" t="n"/>
      <c r="B122" s="632" t="n"/>
      <c r="C122" s="632" t="n"/>
      <c r="D122" s="632" t="n"/>
      <c r="E122" s="632" t="n"/>
      <c r="F122" s="632" t="n"/>
      <c r="G122" s="632" t="n"/>
      <c r="H122" s="632" t="n"/>
      <c r="I122" s="632" t="n"/>
      <c r="J122" s="632" t="n"/>
      <c r="K122" s="632" t="n"/>
      <c r="L122" s="632" t="n"/>
      <c r="M122" s="632" t="n"/>
      <c r="N122" s="632" t="n"/>
      <c r="O122" s="632" t="n"/>
      <c r="P122" s="632" t="n"/>
      <c r="Q122" s="632" t="n"/>
      <c r="R122" s="632" t="n"/>
      <c r="S122" s="632" t="n"/>
      <c r="T122" s="632" t="n"/>
      <c r="U122" s="632" t="n"/>
      <c r="V122" s="632" t="n"/>
      <c r="W122" s="632" t="n"/>
      <c r="X122" s="632" t="n"/>
      <c r="Y122" s="632" t="n"/>
      <c r="Z122" s="632" t="n"/>
    </row>
    <row r="123" ht="12.75" customHeight="1" s="673">
      <c r="A123" s="632" t="n"/>
      <c r="B123" s="632" t="n"/>
      <c r="C123" s="632" t="n"/>
      <c r="D123" s="632" t="n"/>
      <c r="E123" s="632" t="n"/>
      <c r="F123" s="632" t="n"/>
      <c r="G123" s="632" t="n"/>
      <c r="H123" s="632" t="n"/>
      <c r="I123" s="632" t="n"/>
      <c r="J123" s="632" t="n"/>
      <c r="K123" s="632" t="n"/>
      <c r="L123" s="632" t="n"/>
      <c r="M123" s="632" t="n"/>
      <c r="N123" s="632" t="n"/>
      <c r="O123" s="632" t="n"/>
      <c r="P123" s="632" t="n"/>
      <c r="Q123" s="632" t="n"/>
      <c r="R123" s="632" t="n"/>
      <c r="S123" s="632" t="n"/>
      <c r="T123" s="632" t="n"/>
      <c r="U123" s="632" t="n"/>
      <c r="V123" s="632" t="n"/>
      <c r="W123" s="632" t="n"/>
      <c r="X123" s="632" t="n"/>
      <c r="Y123" s="632" t="n"/>
      <c r="Z123" s="632" t="n"/>
    </row>
    <row r="124" ht="12.75" customHeight="1" s="673">
      <c r="A124" s="632" t="n"/>
      <c r="B124" s="632" t="n"/>
      <c r="C124" s="632" t="n"/>
      <c r="D124" s="632" t="n"/>
      <c r="E124" s="632" t="n"/>
      <c r="F124" s="632" t="n"/>
      <c r="G124" s="632" t="n"/>
      <c r="H124" s="632" t="n"/>
      <c r="I124" s="632" t="n"/>
      <c r="J124" s="632" t="n"/>
      <c r="K124" s="632" t="n"/>
      <c r="L124" s="632" t="n"/>
      <c r="M124" s="632" t="n"/>
      <c r="N124" s="632" t="n"/>
      <c r="O124" s="632" t="n"/>
      <c r="P124" s="632" t="n"/>
      <c r="Q124" s="632" t="n"/>
      <c r="R124" s="632" t="n"/>
      <c r="S124" s="632" t="n"/>
      <c r="T124" s="632" t="n"/>
      <c r="U124" s="632" t="n"/>
      <c r="V124" s="632" t="n"/>
      <c r="W124" s="632" t="n"/>
      <c r="X124" s="632" t="n"/>
      <c r="Y124" s="632" t="n"/>
      <c r="Z124" s="632" t="n"/>
    </row>
    <row r="125" ht="12.75" customHeight="1" s="673">
      <c r="A125" s="632" t="n"/>
      <c r="B125" s="632" t="n"/>
      <c r="C125" s="632" t="n"/>
      <c r="D125" s="632" t="n"/>
      <c r="E125" s="632" t="n"/>
      <c r="F125" s="632" t="n"/>
      <c r="G125" s="632" t="n"/>
      <c r="H125" s="632" t="n"/>
      <c r="I125" s="632" t="n"/>
      <c r="J125" s="632" t="n"/>
      <c r="K125" s="632" t="n"/>
      <c r="L125" s="632" t="n"/>
      <c r="M125" s="632" t="n"/>
      <c r="N125" s="632" t="n"/>
      <c r="O125" s="632" t="n"/>
      <c r="P125" s="632" t="n"/>
      <c r="Q125" s="632" t="n"/>
      <c r="R125" s="632" t="n"/>
      <c r="S125" s="632" t="n"/>
      <c r="T125" s="632" t="n"/>
      <c r="U125" s="632" t="n"/>
      <c r="V125" s="632" t="n"/>
      <c r="W125" s="632" t="n"/>
      <c r="X125" s="632" t="n"/>
      <c r="Y125" s="632" t="n"/>
      <c r="Z125" s="632" t="n"/>
    </row>
    <row r="126" ht="12.75" customHeight="1" s="673">
      <c r="A126" s="632" t="n"/>
      <c r="B126" s="632" t="n"/>
      <c r="C126" s="632" t="n"/>
      <c r="D126" s="632" t="n"/>
      <c r="E126" s="632" t="n"/>
      <c r="F126" s="632" t="n"/>
      <c r="G126" s="632" t="n"/>
      <c r="H126" s="632" t="n"/>
      <c r="I126" s="632" t="n"/>
      <c r="J126" s="632" t="n"/>
      <c r="K126" s="632" t="n"/>
      <c r="L126" s="632" t="n"/>
      <c r="M126" s="632" t="n"/>
      <c r="N126" s="632" t="n"/>
      <c r="O126" s="632" t="n"/>
      <c r="P126" s="632" t="n"/>
      <c r="Q126" s="632" t="n"/>
      <c r="R126" s="632" t="n"/>
      <c r="S126" s="632" t="n"/>
      <c r="T126" s="632" t="n"/>
      <c r="U126" s="632" t="n"/>
      <c r="V126" s="632" t="n"/>
      <c r="W126" s="632" t="n"/>
      <c r="X126" s="632" t="n"/>
      <c r="Y126" s="632" t="n"/>
      <c r="Z126" s="632" t="n"/>
    </row>
    <row r="127" ht="12.75" customHeight="1" s="673">
      <c r="A127" s="632" t="n"/>
      <c r="B127" s="632" t="n"/>
      <c r="C127" s="632" t="n"/>
      <c r="D127" s="632" t="n"/>
      <c r="E127" s="632" t="n"/>
      <c r="F127" s="632" t="n"/>
      <c r="G127" s="632" t="n"/>
      <c r="H127" s="632" t="n"/>
      <c r="I127" s="632" t="n"/>
      <c r="J127" s="632" t="n"/>
      <c r="K127" s="632" t="n"/>
      <c r="L127" s="632" t="n"/>
      <c r="M127" s="632" t="n"/>
      <c r="N127" s="632" t="n"/>
      <c r="O127" s="632" t="n"/>
      <c r="P127" s="632" t="n"/>
      <c r="Q127" s="632" t="n"/>
      <c r="R127" s="632" t="n"/>
      <c r="S127" s="632" t="n"/>
      <c r="T127" s="632" t="n"/>
      <c r="U127" s="632" t="n"/>
      <c r="V127" s="632" t="n"/>
      <c r="W127" s="632" t="n"/>
      <c r="X127" s="632" t="n"/>
      <c r="Y127" s="632" t="n"/>
      <c r="Z127" s="632" t="n"/>
    </row>
    <row r="128" ht="12.75" customHeight="1" s="673">
      <c r="A128" s="632" t="n"/>
      <c r="B128" s="632" t="n"/>
      <c r="C128" s="632" t="n"/>
      <c r="D128" s="632" t="n"/>
      <c r="E128" s="632" t="n"/>
      <c r="F128" s="632" t="n"/>
      <c r="G128" s="632" t="n"/>
      <c r="H128" s="632" t="n"/>
      <c r="I128" s="632" t="n"/>
      <c r="J128" s="632" t="n"/>
      <c r="K128" s="632" t="n"/>
      <c r="L128" s="632" t="n"/>
      <c r="M128" s="632" t="n"/>
      <c r="N128" s="632" t="n"/>
      <c r="O128" s="632" t="n"/>
      <c r="P128" s="632" t="n"/>
      <c r="Q128" s="632" t="n"/>
      <c r="R128" s="632" t="n"/>
      <c r="S128" s="632" t="n"/>
      <c r="T128" s="632" t="n"/>
      <c r="U128" s="632" t="n"/>
      <c r="V128" s="632" t="n"/>
      <c r="W128" s="632" t="n"/>
      <c r="X128" s="632" t="n"/>
      <c r="Y128" s="632" t="n"/>
      <c r="Z128" s="632" t="n"/>
    </row>
    <row r="129" ht="12.75" customHeight="1" s="673">
      <c r="A129" s="632" t="n"/>
      <c r="B129" s="632" t="n"/>
      <c r="C129" s="632" t="n"/>
      <c r="D129" s="632" t="n"/>
      <c r="E129" s="632" t="n"/>
      <c r="F129" s="632" t="n"/>
      <c r="G129" s="632" t="n"/>
      <c r="H129" s="632" t="n"/>
      <c r="I129" s="632" t="n"/>
      <c r="J129" s="632" t="n"/>
      <c r="K129" s="632" t="n"/>
      <c r="L129" s="632" t="n"/>
      <c r="M129" s="632" t="n"/>
      <c r="N129" s="632" t="n"/>
      <c r="O129" s="632" t="n"/>
      <c r="P129" s="632" t="n"/>
      <c r="Q129" s="632" t="n"/>
      <c r="R129" s="632" t="n"/>
      <c r="S129" s="632" t="n"/>
      <c r="T129" s="632" t="n"/>
      <c r="U129" s="632" t="n"/>
      <c r="V129" s="632" t="n"/>
      <c r="W129" s="632" t="n"/>
      <c r="X129" s="632" t="n"/>
      <c r="Y129" s="632" t="n"/>
      <c r="Z129" s="632" t="n"/>
    </row>
    <row r="130" ht="12.75" customHeight="1" s="673">
      <c r="A130" s="632" t="n"/>
      <c r="B130" s="632" t="n"/>
      <c r="C130" s="632" t="n"/>
      <c r="D130" s="632" t="n"/>
      <c r="E130" s="632" t="n"/>
      <c r="F130" s="632" t="n"/>
      <c r="G130" s="632" t="n"/>
      <c r="H130" s="632" t="n"/>
      <c r="I130" s="632" t="n"/>
      <c r="J130" s="632" t="n"/>
      <c r="K130" s="632" t="n"/>
      <c r="L130" s="632" t="n"/>
      <c r="M130" s="632" t="n"/>
      <c r="N130" s="632" t="n"/>
      <c r="O130" s="632" t="n"/>
      <c r="P130" s="632" t="n"/>
      <c r="Q130" s="632" t="n"/>
      <c r="R130" s="632" t="n"/>
      <c r="S130" s="632" t="n"/>
      <c r="T130" s="632" t="n"/>
      <c r="U130" s="632" t="n"/>
      <c r="V130" s="632" t="n"/>
      <c r="W130" s="632" t="n"/>
      <c r="X130" s="632" t="n"/>
      <c r="Y130" s="632" t="n"/>
      <c r="Z130" s="632" t="n"/>
    </row>
    <row r="131" ht="12.75" customHeight="1" s="673">
      <c r="A131" s="632" t="n"/>
      <c r="B131" s="632" t="n"/>
      <c r="C131" s="632" t="n"/>
      <c r="D131" s="632" t="n"/>
      <c r="E131" s="632" t="n"/>
      <c r="F131" s="632" t="n"/>
      <c r="G131" s="632" t="n"/>
      <c r="H131" s="632" t="n"/>
      <c r="I131" s="632" t="n"/>
      <c r="J131" s="632" t="n"/>
      <c r="K131" s="632" t="n"/>
      <c r="L131" s="632" t="n"/>
      <c r="M131" s="632" t="n"/>
      <c r="N131" s="632" t="n"/>
      <c r="O131" s="632" t="n"/>
      <c r="P131" s="632" t="n"/>
      <c r="Q131" s="632" t="n"/>
      <c r="R131" s="632" t="n"/>
      <c r="S131" s="632" t="n"/>
      <c r="T131" s="632" t="n"/>
      <c r="U131" s="632" t="n"/>
      <c r="V131" s="632" t="n"/>
      <c r="W131" s="632" t="n"/>
      <c r="X131" s="632" t="n"/>
      <c r="Y131" s="632" t="n"/>
      <c r="Z131" s="632" t="n"/>
    </row>
    <row r="132" ht="12.75" customHeight="1" s="673">
      <c r="A132" s="632" t="n"/>
      <c r="B132" s="632" t="n"/>
      <c r="C132" s="632" t="n"/>
      <c r="D132" s="632" t="n"/>
      <c r="E132" s="632" t="n"/>
      <c r="F132" s="632" t="n"/>
      <c r="G132" s="632" t="n"/>
      <c r="H132" s="632" t="n"/>
      <c r="I132" s="632" t="n"/>
      <c r="J132" s="632" t="n"/>
      <c r="K132" s="632" t="n"/>
      <c r="L132" s="632" t="n"/>
      <c r="M132" s="632" t="n"/>
      <c r="N132" s="632" t="n"/>
      <c r="O132" s="632" t="n"/>
      <c r="P132" s="632" t="n"/>
      <c r="Q132" s="632" t="n"/>
      <c r="R132" s="632" t="n"/>
      <c r="S132" s="632" t="n"/>
      <c r="T132" s="632" t="n"/>
      <c r="U132" s="632" t="n"/>
      <c r="V132" s="632" t="n"/>
      <c r="W132" s="632" t="n"/>
      <c r="X132" s="632" t="n"/>
      <c r="Y132" s="632" t="n"/>
      <c r="Z132" s="632" t="n"/>
    </row>
    <row r="133" ht="12.75" customHeight="1" s="673">
      <c r="A133" s="632" t="n"/>
      <c r="B133" s="632" t="n"/>
      <c r="C133" s="632" t="n"/>
      <c r="D133" s="632" t="n"/>
      <c r="E133" s="632" t="n"/>
      <c r="F133" s="632" t="n"/>
      <c r="G133" s="632" t="n"/>
      <c r="H133" s="632" t="n"/>
      <c r="I133" s="632" t="n"/>
      <c r="J133" s="632" t="n"/>
      <c r="K133" s="632" t="n"/>
      <c r="L133" s="632" t="n"/>
      <c r="M133" s="632" t="n"/>
      <c r="N133" s="632" t="n"/>
      <c r="O133" s="632" t="n"/>
      <c r="P133" s="632" t="n"/>
      <c r="Q133" s="632" t="n"/>
      <c r="R133" s="632" t="n"/>
      <c r="S133" s="632" t="n"/>
      <c r="T133" s="632" t="n"/>
      <c r="U133" s="632" t="n"/>
      <c r="V133" s="632" t="n"/>
      <c r="W133" s="632" t="n"/>
      <c r="X133" s="632" t="n"/>
      <c r="Y133" s="632" t="n"/>
      <c r="Z133" s="632" t="n"/>
    </row>
    <row r="134" ht="12.75" customHeight="1" s="673">
      <c r="A134" s="632" t="n"/>
      <c r="B134" s="632" t="n"/>
      <c r="C134" s="632" t="n"/>
      <c r="D134" s="632" t="n"/>
      <c r="E134" s="632" t="n"/>
      <c r="F134" s="632" t="n"/>
      <c r="G134" s="632" t="n"/>
      <c r="H134" s="632" t="n"/>
      <c r="I134" s="632" t="n"/>
      <c r="J134" s="632" t="n"/>
      <c r="K134" s="632" t="n"/>
      <c r="L134" s="632" t="n"/>
      <c r="M134" s="632" t="n"/>
      <c r="N134" s="632" t="n"/>
      <c r="O134" s="632" t="n"/>
      <c r="P134" s="632" t="n"/>
      <c r="Q134" s="632" t="n"/>
      <c r="R134" s="632" t="n"/>
      <c r="S134" s="632" t="n"/>
      <c r="T134" s="632" t="n"/>
      <c r="U134" s="632" t="n"/>
      <c r="V134" s="632" t="n"/>
      <c r="W134" s="632" t="n"/>
      <c r="X134" s="632" t="n"/>
      <c r="Y134" s="632" t="n"/>
      <c r="Z134" s="632" t="n"/>
    </row>
    <row r="135" ht="12.75" customHeight="1" s="673">
      <c r="A135" s="632" t="n"/>
      <c r="B135" s="632" t="n"/>
      <c r="C135" s="632" t="n"/>
      <c r="D135" s="632" t="n"/>
      <c r="E135" s="632" t="n"/>
      <c r="F135" s="632" t="n"/>
      <c r="G135" s="632" t="n"/>
      <c r="H135" s="632" t="n"/>
      <c r="I135" s="632" t="n"/>
      <c r="J135" s="632" t="n"/>
      <c r="K135" s="632" t="n"/>
      <c r="L135" s="632" t="n"/>
      <c r="M135" s="632" t="n"/>
      <c r="N135" s="632" t="n"/>
      <c r="O135" s="632" t="n"/>
      <c r="P135" s="632" t="n"/>
      <c r="Q135" s="632" t="n"/>
      <c r="R135" s="632" t="n"/>
      <c r="S135" s="632" t="n"/>
      <c r="T135" s="632" t="n"/>
      <c r="U135" s="632" t="n"/>
      <c r="V135" s="632" t="n"/>
      <c r="W135" s="632" t="n"/>
      <c r="X135" s="632" t="n"/>
      <c r="Y135" s="632" t="n"/>
      <c r="Z135" s="632" t="n"/>
    </row>
    <row r="136" ht="12.75" customHeight="1" s="673">
      <c r="A136" s="632" t="n"/>
      <c r="B136" s="632" t="n"/>
      <c r="C136" s="632" t="n"/>
      <c r="D136" s="632" t="n"/>
      <c r="E136" s="632" t="n"/>
      <c r="F136" s="632" t="n"/>
      <c r="G136" s="632" t="n"/>
      <c r="H136" s="632" t="n"/>
      <c r="I136" s="632" t="n"/>
      <c r="J136" s="632" t="n"/>
      <c r="K136" s="632" t="n"/>
      <c r="L136" s="632" t="n"/>
      <c r="M136" s="632" t="n"/>
      <c r="N136" s="632" t="n"/>
      <c r="O136" s="632" t="n"/>
      <c r="P136" s="632" t="n"/>
      <c r="Q136" s="632" t="n"/>
      <c r="R136" s="632" t="n"/>
      <c r="S136" s="632" t="n"/>
      <c r="T136" s="632" t="n"/>
      <c r="U136" s="632" t="n"/>
      <c r="V136" s="632" t="n"/>
      <c r="W136" s="632" t="n"/>
      <c r="X136" s="632" t="n"/>
      <c r="Y136" s="632" t="n"/>
      <c r="Z136" s="632" t="n"/>
    </row>
    <row r="137" ht="12.75" customHeight="1" s="673">
      <c r="A137" s="632" t="n"/>
      <c r="B137" s="632" t="n"/>
      <c r="C137" s="632" t="n"/>
      <c r="D137" s="632" t="n"/>
      <c r="E137" s="632" t="n"/>
      <c r="F137" s="632" t="n"/>
      <c r="G137" s="632" t="n"/>
      <c r="H137" s="632" t="n"/>
      <c r="I137" s="632" t="n"/>
      <c r="J137" s="632" t="n"/>
      <c r="K137" s="632" t="n"/>
      <c r="L137" s="632" t="n"/>
      <c r="M137" s="632" t="n"/>
      <c r="N137" s="632" t="n"/>
      <c r="O137" s="632" t="n"/>
      <c r="P137" s="632" t="n"/>
      <c r="Q137" s="632" t="n"/>
      <c r="R137" s="632" t="n"/>
      <c r="S137" s="632" t="n"/>
      <c r="T137" s="632" t="n"/>
      <c r="U137" s="632" t="n"/>
      <c r="V137" s="632" t="n"/>
      <c r="W137" s="632" t="n"/>
      <c r="X137" s="632" t="n"/>
      <c r="Y137" s="632" t="n"/>
      <c r="Z137" s="632" t="n"/>
    </row>
    <row r="138" ht="12.75" customHeight="1" s="673">
      <c r="A138" s="632" t="n"/>
      <c r="B138" s="632" t="n"/>
      <c r="C138" s="632" t="n"/>
      <c r="D138" s="632" t="n"/>
      <c r="E138" s="632" t="n"/>
      <c r="F138" s="632" t="n"/>
      <c r="G138" s="632" t="n"/>
      <c r="H138" s="632" t="n"/>
      <c r="I138" s="632" t="n"/>
      <c r="J138" s="632" t="n"/>
      <c r="K138" s="632" t="n"/>
      <c r="L138" s="632" t="n"/>
      <c r="M138" s="632" t="n"/>
      <c r="N138" s="632" t="n"/>
      <c r="O138" s="632" t="n"/>
      <c r="P138" s="632" t="n"/>
      <c r="Q138" s="632" t="n"/>
      <c r="R138" s="632" t="n"/>
      <c r="S138" s="632" t="n"/>
      <c r="T138" s="632" t="n"/>
      <c r="U138" s="632" t="n"/>
      <c r="V138" s="632" t="n"/>
      <c r="W138" s="632" t="n"/>
      <c r="X138" s="632" t="n"/>
      <c r="Y138" s="632" t="n"/>
      <c r="Z138" s="632" t="n"/>
    </row>
    <row r="139" ht="12.75" customHeight="1" s="673">
      <c r="A139" s="632" t="n"/>
      <c r="B139" s="632" t="n"/>
      <c r="C139" s="632" t="n"/>
      <c r="D139" s="632" t="n"/>
      <c r="E139" s="632" t="n"/>
      <c r="F139" s="632" t="n"/>
      <c r="G139" s="632" t="n"/>
      <c r="H139" s="632" t="n"/>
      <c r="I139" s="632" t="n"/>
      <c r="J139" s="632" t="n"/>
      <c r="K139" s="632" t="n"/>
      <c r="L139" s="632" t="n"/>
      <c r="M139" s="632" t="n"/>
      <c r="N139" s="632" t="n"/>
      <c r="O139" s="632" t="n"/>
      <c r="P139" s="632" t="n"/>
      <c r="Q139" s="632" t="n"/>
      <c r="R139" s="632" t="n"/>
      <c r="S139" s="632" t="n"/>
      <c r="T139" s="632" t="n"/>
      <c r="U139" s="632" t="n"/>
      <c r="V139" s="632" t="n"/>
      <c r="W139" s="632" t="n"/>
      <c r="X139" s="632" t="n"/>
      <c r="Y139" s="632" t="n"/>
      <c r="Z139" s="632" t="n"/>
    </row>
    <row r="140" ht="12.75" customHeight="1" s="673">
      <c r="A140" s="632" t="n"/>
      <c r="B140" s="632" t="n"/>
      <c r="C140" s="632" t="n"/>
      <c r="D140" s="632" t="n"/>
      <c r="E140" s="632" t="n"/>
      <c r="F140" s="632" t="n"/>
      <c r="G140" s="632" t="n"/>
      <c r="H140" s="632" t="n"/>
      <c r="I140" s="632" t="n"/>
      <c r="J140" s="632" t="n"/>
      <c r="K140" s="632" t="n"/>
      <c r="L140" s="632" t="n"/>
      <c r="M140" s="632" t="n"/>
      <c r="N140" s="632" t="n"/>
      <c r="O140" s="632" t="n"/>
      <c r="P140" s="632" t="n"/>
      <c r="Q140" s="632" t="n"/>
      <c r="R140" s="632" t="n"/>
      <c r="S140" s="632" t="n"/>
      <c r="T140" s="632" t="n"/>
      <c r="U140" s="632" t="n"/>
      <c r="V140" s="632" t="n"/>
      <c r="W140" s="632" t="n"/>
      <c r="X140" s="632" t="n"/>
      <c r="Y140" s="632" t="n"/>
      <c r="Z140" s="632" t="n"/>
    </row>
    <row r="141" ht="12.75" customHeight="1" s="673">
      <c r="A141" s="632" t="n"/>
      <c r="B141" s="632" t="n"/>
      <c r="C141" s="632" t="n"/>
      <c r="D141" s="632" t="n"/>
      <c r="E141" s="632" t="n"/>
      <c r="F141" s="632" t="n"/>
      <c r="G141" s="632" t="n"/>
      <c r="H141" s="632" t="n"/>
      <c r="I141" s="632" t="n"/>
      <c r="J141" s="632" t="n"/>
      <c r="K141" s="632" t="n"/>
      <c r="L141" s="632" t="n"/>
      <c r="M141" s="632" t="n"/>
      <c r="N141" s="632" t="n"/>
      <c r="O141" s="632" t="n"/>
      <c r="P141" s="632" t="n"/>
      <c r="Q141" s="632" t="n"/>
      <c r="R141" s="632" t="n"/>
      <c r="S141" s="632" t="n"/>
      <c r="T141" s="632" t="n"/>
      <c r="U141" s="632" t="n"/>
      <c r="V141" s="632" t="n"/>
      <c r="W141" s="632" t="n"/>
      <c r="X141" s="632" t="n"/>
      <c r="Y141" s="632" t="n"/>
      <c r="Z141" s="632" t="n"/>
    </row>
    <row r="142" ht="12.75" customHeight="1" s="673">
      <c r="A142" s="632" t="n"/>
      <c r="B142" s="632" t="n"/>
      <c r="C142" s="632" t="n"/>
      <c r="D142" s="632" t="n"/>
      <c r="E142" s="632" t="n"/>
      <c r="F142" s="632" t="n"/>
      <c r="G142" s="632" t="n"/>
      <c r="H142" s="632" t="n"/>
      <c r="I142" s="632" t="n"/>
      <c r="J142" s="632" t="n"/>
      <c r="K142" s="632" t="n"/>
      <c r="L142" s="632" t="n"/>
      <c r="M142" s="632" t="n"/>
      <c r="N142" s="632" t="n"/>
      <c r="O142" s="632" t="n"/>
      <c r="P142" s="632" t="n"/>
      <c r="Q142" s="632" t="n"/>
      <c r="R142" s="632" t="n"/>
      <c r="S142" s="632" t="n"/>
      <c r="T142" s="632" t="n"/>
      <c r="U142" s="632" t="n"/>
      <c r="V142" s="632" t="n"/>
      <c r="W142" s="632" t="n"/>
      <c r="X142" s="632" t="n"/>
      <c r="Y142" s="632" t="n"/>
      <c r="Z142" s="632" t="n"/>
    </row>
    <row r="143" ht="12.75" customHeight="1" s="673">
      <c r="A143" s="632" t="n"/>
      <c r="B143" s="632" t="n"/>
      <c r="C143" s="632" t="n"/>
      <c r="D143" s="632" t="n"/>
      <c r="E143" s="632" t="n"/>
      <c r="F143" s="632" t="n"/>
      <c r="G143" s="632" t="n"/>
      <c r="H143" s="632" t="n"/>
      <c r="I143" s="632" t="n"/>
      <c r="J143" s="632" t="n"/>
      <c r="K143" s="632" t="n"/>
      <c r="L143" s="632" t="n"/>
      <c r="M143" s="632" t="n"/>
      <c r="N143" s="632" t="n"/>
      <c r="O143" s="632" t="n"/>
      <c r="P143" s="632" t="n"/>
      <c r="Q143" s="632" t="n"/>
      <c r="R143" s="632" t="n"/>
      <c r="S143" s="632" t="n"/>
      <c r="T143" s="632" t="n"/>
      <c r="U143" s="632" t="n"/>
      <c r="V143" s="632" t="n"/>
      <c r="W143" s="632" t="n"/>
      <c r="X143" s="632" t="n"/>
      <c r="Y143" s="632" t="n"/>
      <c r="Z143" s="632" t="n"/>
    </row>
    <row r="144" ht="12.75" customHeight="1" s="673">
      <c r="A144" s="632" t="n"/>
      <c r="B144" s="632" t="n"/>
      <c r="C144" s="632" t="n"/>
      <c r="D144" s="632" t="n"/>
      <c r="E144" s="632" t="n"/>
      <c r="F144" s="632" t="n"/>
      <c r="G144" s="632" t="n"/>
      <c r="H144" s="632" t="n"/>
      <c r="I144" s="632" t="n"/>
      <c r="J144" s="632" t="n"/>
      <c r="K144" s="632" t="n"/>
      <c r="L144" s="632" t="n"/>
      <c r="M144" s="632" t="n"/>
      <c r="N144" s="632" t="n"/>
      <c r="O144" s="632" t="n"/>
      <c r="P144" s="632" t="n"/>
      <c r="Q144" s="632" t="n"/>
      <c r="R144" s="632" t="n"/>
      <c r="S144" s="632" t="n"/>
      <c r="T144" s="632" t="n"/>
      <c r="U144" s="632" t="n"/>
      <c r="V144" s="632" t="n"/>
      <c r="W144" s="632" t="n"/>
      <c r="X144" s="632" t="n"/>
      <c r="Y144" s="632" t="n"/>
      <c r="Z144" s="632" t="n"/>
    </row>
    <row r="145" ht="12.75" customHeight="1" s="673">
      <c r="A145" s="632" t="n"/>
      <c r="B145" s="632" t="n"/>
      <c r="C145" s="632" t="n"/>
      <c r="D145" s="632" t="n"/>
      <c r="E145" s="632" t="n"/>
      <c r="F145" s="632" t="n"/>
      <c r="G145" s="632" t="n"/>
      <c r="H145" s="632" t="n"/>
      <c r="I145" s="632" t="n"/>
      <c r="J145" s="632" t="n"/>
      <c r="K145" s="632" t="n"/>
      <c r="L145" s="632" t="n"/>
      <c r="M145" s="632" t="n"/>
      <c r="N145" s="632" t="n"/>
      <c r="O145" s="632" t="n"/>
      <c r="P145" s="632" t="n"/>
      <c r="Q145" s="632" t="n"/>
      <c r="R145" s="632" t="n"/>
      <c r="S145" s="632" t="n"/>
      <c r="T145" s="632" t="n"/>
      <c r="U145" s="632" t="n"/>
      <c r="V145" s="632" t="n"/>
      <c r="W145" s="632" t="n"/>
      <c r="X145" s="632" t="n"/>
      <c r="Y145" s="632" t="n"/>
      <c r="Z145" s="632" t="n"/>
    </row>
    <row r="146" ht="12.75" customHeight="1" s="673">
      <c r="A146" s="632" t="n"/>
      <c r="B146" s="632" t="n"/>
      <c r="C146" s="632" t="n"/>
      <c r="D146" s="632" t="n"/>
      <c r="E146" s="632" t="n"/>
      <c r="F146" s="632" t="n"/>
      <c r="G146" s="632" t="n"/>
      <c r="H146" s="632" t="n"/>
      <c r="I146" s="632" t="n"/>
      <c r="J146" s="632" t="n"/>
      <c r="K146" s="632" t="n"/>
      <c r="L146" s="632" t="n"/>
      <c r="M146" s="632" t="n"/>
      <c r="N146" s="632" t="n"/>
      <c r="O146" s="632" t="n"/>
      <c r="P146" s="632" t="n"/>
      <c r="Q146" s="632" t="n"/>
      <c r="R146" s="632" t="n"/>
      <c r="S146" s="632" t="n"/>
      <c r="T146" s="632" t="n"/>
      <c r="U146" s="632" t="n"/>
      <c r="V146" s="632" t="n"/>
      <c r="W146" s="632" t="n"/>
      <c r="X146" s="632" t="n"/>
      <c r="Y146" s="632" t="n"/>
      <c r="Z146" s="632" t="n"/>
    </row>
    <row r="147" ht="12.75" customHeight="1" s="673">
      <c r="A147" s="632" t="n"/>
      <c r="B147" s="632" t="n"/>
      <c r="C147" s="632" t="n"/>
      <c r="D147" s="632" t="n"/>
      <c r="E147" s="632" t="n"/>
      <c r="F147" s="632" t="n"/>
      <c r="G147" s="632" t="n"/>
      <c r="H147" s="632" t="n"/>
      <c r="I147" s="632" t="n"/>
      <c r="J147" s="632" t="n"/>
      <c r="K147" s="632" t="n"/>
      <c r="L147" s="632" t="n"/>
      <c r="M147" s="632" t="n"/>
      <c r="N147" s="632" t="n"/>
      <c r="O147" s="632" t="n"/>
      <c r="P147" s="632" t="n"/>
      <c r="Q147" s="632" t="n"/>
      <c r="R147" s="632" t="n"/>
      <c r="S147" s="632" t="n"/>
      <c r="T147" s="632" t="n"/>
      <c r="U147" s="632" t="n"/>
      <c r="V147" s="632" t="n"/>
      <c r="W147" s="632" t="n"/>
      <c r="X147" s="632" t="n"/>
      <c r="Y147" s="632" t="n"/>
      <c r="Z147" s="632" t="n"/>
    </row>
    <row r="148" ht="12.75" customHeight="1" s="673">
      <c r="A148" s="632" t="n"/>
      <c r="B148" s="632" t="n"/>
      <c r="C148" s="632" t="n"/>
      <c r="D148" s="632" t="n"/>
      <c r="E148" s="632" t="n"/>
      <c r="F148" s="632" t="n"/>
      <c r="G148" s="632" t="n"/>
      <c r="H148" s="632" t="n"/>
      <c r="I148" s="632" t="n"/>
      <c r="J148" s="632" t="n"/>
      <c r="K148" s="632" t="n"/>
      <c r="L148" s="632" t="n"/>
      <c r="M148" s="632" t="n"/>
      <c r="N148" s="632" t="n"/>
      <c r="O148" s="632" t="n"/>
      <c r="P148" s="632" t="n"/>
      <c r="Q148" s="632" t="n"/>
      <c r="R148" s="632" t="n"/>
      <c r="S148" s="632" t="n"/>
      <c r="T148" s="632" t="n"/>
      <c r="U148" s="632" t="n"/>
      <c r="V148" s="632" t="n"/>
      <c r="W148" s="632" t="n"/>
      <c r="X148" s="632" t="n"/>
      <c r="Y148" s="632" t="n"/>
      <c r="Z148" s="632" t="n"/>
    </row>
    <row r="149" ht="12.75" customHeight="1" s="673">
      <c r="A149" s="632" t="n"/>
      <c r="B149" s="632" t="n"/>
      <c r="C149" s="632" t="n"/>
      <c r="D149" s="632" t="n"/>
      <c r="E149" s="632" t="n"/>
      <c r="F149" s="632" t="n"/>
      <c r="G149" s="632" t="n"/>
      <c r="H149" s="632" t="n"/>
      <c r="I149" s="632" t="n"/>
      <c r="J149" s="632" t="n"/>
      <c r="K149" s="632" t="n"/>
      <c r="L149" s="632" t="n"/>
      <c r="M149" s="632" t="n"/>
      <c r="N149" s="632" t="n"/>
      <c r="O149" s="632" t="n"/>
      <c r="P149" s="632" t="n"/>
      <c r="Q149" s="632" t="n"/>
      <c r="R149" s="632" t="n"/>
      <c r="S149" s="632" t="n"/>
      <c r="T149" s="632" t="n"/>
      <c r="U149" s="632" t="n"/>
      <c r="V149" s="632" t="n"/>
      <c r="W149" s="632" t="n"/>
      <c r="X149" s="632" t="n"/>
      <c r="Y149" s="632" t="n"/>
      <c r="Z149" s="632" t="n"/>
    </row>
    <row r="150" ht="12.75" customHeight="1" s="673">
      <c r="A150" s="632" t="n"/>
      <c r="B150" s="632" t="n"/>
      <c r="C150" s="632" t="n"/>
      <c r="D150" s="632" t="n"/>
      <c r="E150" s="632" t="n"/>
      <c r="F150" s="632" t="n"/>
      <c r="G150" s="632" t="n"/>
      <c r="H150" s="632" t="n"/>
      <c r="I150" s="632" t="n"/>
      <c r="J150" s="632" t="n"/>
      <c r="K150" s="632" t="n"/>
      <c r="L150" s="632" t="n"/>
      <c r="M150" s="632" t="n"/>
      <c r="N150" s="632" t="n"/>
      <c r="O150" s="632" t="n"/>
      <c r="P150" s="632" t="n"/>
      <c r="Q150" s="632" t="n"/>
      <c r="R150" s="632" t="n"/>
      <c r="S150" s="632" t="n"/>
      <c r="T150" s="632" t="n"/>
      <c r="U150" s="632" t="n"/>
      <c r="V150" s="632" t="n"/>
      <c r="W150" s="632" t="n"/>
      <c r="X150" s="632" t="n"/>
      <c r="Y150" s="632" t="n"/>
      <c r="Z150" s="632" t="n"/>
    </row>
    <row r="151" ht="12.75" customHeight="1" s="673">
      <c r="A151" s="632" t="n"/>
      <c r="B151" s="632" t="n"/>
      <c r="C151" s="632" t="n"/>
      <c r="D151" s="632" t="n"/>
      <c r="E151" s="632" t="n"/>
      <c r="F151" s="632" t="n"/>
      <c r="G151" s="632" t="n"/>
      <c r="H151" s="632" t="n"/>
      <c r="I151" s="632" t="n"/>
      <c r="J151" s="632" t="n"/>
      <c r="K151" s="632" t="n"/>
      <c r="L151" s="632" t="n"/>
      <c r="M151" s="632" t="n"/>
      <c r="N151" s="632" t="n"/>
      <c r="O151" s="632" t="n"/>
      <c r="P151" s="632" t="n"/>
      <c r="Q151" s="632" t="n"/>
      <c r="R151" s="632" t="n"/>
      <c r="S151" s="632" t="n"/>
      <c r="T151" s="632" t="n"/>
      <c r="U151" s="632" t="n"/>
      <c r="V151" s="632" t="n"/>
      <c r="W151" s="632" t="n"/>
      <c r="X151" s="632" t="n"/>
      <c r="Y151" s="632" t="n"/>
      <c r="Z151" s="632" t="n"/>
    </row>
    <row r="152" ht="12.75" customHeight="1" s="673">
      <c r="A152" s="632" t="n"/>
      <c r="B152" s="632" t="n"/>
      <c r="C152" s="632" t="n"/>
      <c r="D152" s="632" t="n"/>
      <c r="E152" s="632" t="n"/>
      <c r="F152" s="632" t="n"/>
      <c r="G152" s="632" t="n"/>
      <c r="H152" s="632" t="n"/>
      <c r="I152" s="632" t="n"/>
      <c r="J152" s="632" t="n"/>
      <c r="K152" s="632" t="n"/>
      <c r="L152" s="632" t="n"/>
      <c r="M152" s="632" t="n"/>
      <c r="N152" s="632" t="n"/>
      <c r="O152" s="632" t="n"/>
      <c r="P152" s="632" t="n"/>
      <c r="Q152" s="632" t="n"/>
      <c r="R152" s="632" t="n"/>
      <c r="S152" s="632" t="n"/>
      <c r="T152" s="632" t="n"/>
      <c r="U152" s="632" t="n"/>
      <c r="V152" s="632" t="n"/>
      <c r="W152" s="632" t="n"/>
      <c r="X152" s="632" t="n"/>
      <c r="Y152" s="632" t="n"/>
      <c r="Z152" s="632" t="n"/>
    </row>
    <row r="153" ht="12.75" customHeight="1" s="673">
      <c r="A153" s="632" t="n"/>
      <c r="B153" s="632" t="n"/>
      <c r="C153" s="632" t="n"/>
      <c r="D153" s="632" t="n"/>
      <c r="E153" s="632" t="n"/>
      <c r="F153" s="632" t="n"/>
      <c r="G153" s="632" t="n"/>
      <c r="H153" s="632" t="n"/>
      <c r="I153" s="632" t="n"/>
      <c r="J153" s="632" t="n"/>
      <c r="K153" s="632" t="n"/>
      <c r="L153" s="632" t="n"/>
      <c r="M153" s="632" t="n"/>
      <c r="N153" s="632" t="n"/>
      <c r="O153" s="632" t="n"/>
      <c r="P153" s="632" t="n"/>
      <c r="Q153" s="632" t="n"/>
      <c r="R153" s="632" t="n"/>
      <c r="S153" s="632" t="n"/>
      <c r="T153" s="632" t="n"/>
      <c r="U153" s="632" t="n"/>
      <c r="V153" s="632" t="n"/>
      <c r="W153" s="632" t="n"/>
      <c r="X153" s="632" t="n"/>
      <c r="Y153" s="632" t="n"/>
      <c r="Z153" s="632" t="n"/>
    </row>
    <row r="154" ht="12.75" customHeight="1" s="673">
      <c r="A154" s="632" t="n"/>
      <c r="B154" s="632" t="n"/>
      <c r="C154" s="632" t="n"/>
      <c r="D154" s="632" t="n"/>
      <c r="E154" s="632" t="n"/>
      <c r="F154" s="632" t="n"/>
      <c r="G154" s="632" t="n"/>
      <c r="H154" s="632" t="n"/>
      <c r="I154" s="632" t="n"/>
      <c r="J154" s="632" t="n"/>
      <c r="K154" s="632" t="n"/>
      <c r="L154" s="632" t="n"/>
      <c r="M154" s="632" t="n"/>
      <c r="N154" s="632" t="n"/>
      <c r="O154" s="632" t="n"/>
      <c r="P154" s="632" t="n"/>
      <c r="Q154" s="632" t="n"/>
      <c r="R154" s="632" t="n"/>
      <c r="S154" s="632" t="n"/>
      <c r="T154" s="632" t="n"/>
      <c r="U154" s="632" t="n"/>
      <c r="V154" s="632" t="n"/>
      <c r="W154" s="632" t="n"/>
      <c r="X154" s="632" t="n"/>
      <c r="Y154" s="632" t="n"/>
      <c r="Z154" s="632" t="n"/>
    </row>
    <row r="155" ht="12.75" customHeight="1" s="673">
      <c r="A155" s="632" t="n"/>
      <c r="B155" s="632" t="n"/>
      <c r="C155" s="632" t="n"/>
      <c r="D155" s="632" t="n"/>
      <c r="E155" s="632" t="n"/>
      <c r="F155" s="632" t="n"/>
      <c r="G155" s="632" t="n"/>
      <c r="H155" s="632" t="n"/>
      <c r="I155" s="632" t="n"/>
      <c r="J155" s="632" t="n"/>
      <c r="K155" s="632" t="n"/>
      <c r="L155" s="632" t="n"/>
      <c r="M155" s="632" t="n"/>
      <c r="N155" s="632" t="n"/>
      <c r="O155" s="632" t="n"/>
      <c r="P155" s="632" t="n"/>
      <c r="Q155" s="632" t="n"/>
      <c r="R155" s="632" t="n"/>
      <c r="S155" s="632" t="n"/>
      <c r="T155" s="632" t="n"/>
      <c r="U155" s="632" t="n"/>
      <c r="V155" s="632" t="n"/>
      <c r="W155" s="632" t="n"/>
      <c r="X155" s="632" t="n"/>
      <c r="Y155" s="632" t="n"/>
      <c r="Z155" s="632" t="n"/>
    </row>
    <row r="156" ht="12.75" customHeight="1" s="673">
      <c r="A156" s="632" t="n"/>
      <c r="B156" s="632" t="n"/>
      <c r="C156" s="632" t="n"/>
      <c r="D156" s="632" t="n"/>
      <c r="E156" s="632" t="n"/>
      <c r="F156" s="632" t="n"/>
      <c r="G156" s="632" t="n"/>
      <c r="H156" s="632" t="n"/>
      <c r="I156" s="632" t="n"/>
      <c r="J156" s="632" t="n"/>
      <c r="K156" s="632" t="n"/>
      <c r="L156" s="632" t="n"/>
      <c r="M156" s="632" t="n"/>
      <c r="N156" s="632" t="n"/>
      <c r="O156" s="632" t="n"/>
      <c r="P156" s="632" t="n"/>
      <c r="Q156" s="632" t="n"/>
      <c r="R156" s="632" t="n"/>
      <c r="S156" s="632" t="n"/>
      <c r="T156" s="632" t="n"/>
      <c r="U156" s="632" t="n"/>
      <c r="V156" s="632" t="n"/>
      <c r="W156" s="632" t="n"/>
      <c r="X156" s="632" t="n"/>
      <c r="Y156" s="632" t="n"/>
      <c r="Z156" s="632" t="n"/>
    </row>
    <row r="157" ht="12.75" customHeight="1" s="673">
      <c r="A157" s="632" t="n"/>
      <c r="B157" s="632" t="n"/>
      <c r="C157" s="632" t="n"/>
      <c r="D157" s="632" t="n"/>
      <c r="E157" s="632" t="n"/>
      <c r="F157" s="632" t="n"/>
      <c r="G157" s="632" t="n"/>
      <c r="H157" s="632" t="n"/>
      <c r="I157" s="632" t="n"/>
      <c r="J157" s="632" t="n"/>
      <c r="K157" s="632" t="n"/>
      <c r="L157" s="632" t="n"/>
      <c r="M157" s="632" t="n"/>
      <c r="N157" s="632" t="n"/>
      <c r="O157" s="632" t="n"/>
      <c r="P157" s="632" t="n"/>
      <c r="Q157" s="632" t="n"/>
      <c r="R157" s="632" t="n"/>
      <c r="S157" s="632" t="n"/>
      <c r="T157" s="632" t="n"/>
      <c r="U157" s="632" t="n"/>
      <c r="V157" s="632" t="n"/>
      <c r="W157" s="632" t="n"/>
      <c r="X157" s="632" t="n"/>
      <c r="Y157" s="632" t="n"/>
      <c r="Z157" s="632" t="n"/>
    </row>
    <row r="158" ht="12.75" customHeight="1" s="673">
      <c r="A158" s="632" t="n"/>
      <c r="B158" s="632" t="n"/>
      <c r="C158" s="632" t="n"/>
      <c r="D158" s="632" t="n"/>
      <c r="E158" s="632" t="n"/>
      <c r="F158" s="632" t="n"/>
      <c r="G158" s="632" t="n"/>
      <c r="H158" s="632" t="n"/>
      <c r="I158" s="632" t="n"/>
      <c r="J158" s="632" t="n"/>
      <c r="K158" s="632" t="n"/>
      <c r="L158" s="632" t="n"/>
      <c r="M158" s="632" t="n"/>
      <c r="N158" s="632" t="n"/>
      <c r="O158" s="632" t="n"/>
      <c r="P158" s="632" t="n"/>
      <c r="Q158" s="632" t="n"/>
      <c r="R158" s="632" t="n"/>
      <c r="S158" s="632" t="n"/>
      <c r="T158" s="632" t="n"/>
      <c r="U158" s="632" t="n"/>
      <c r="V158" s="632" t="n"/>
      <c r="W158" s="632" t="n"/>
      <c r="X158" s="632" t="n"/>
      <c r="Y158" s="632" t="n"/>
      <c r="Z158" s="632" t="n"/>
    </row>
    <row r="159" ht="12.75" customHeight="1" s="673">
      <c r="A159" s="632" t="n"/>
      <c r="B159" s="632" t="n"/>
      <c r="C159" s="632" t="n"/>
      <c r="D159" s="632" t="n"/>
      <c r="E159" s="632" t="n"/>
      <c r="F159" s="632" t="n"/>
      <c r="G159" s="632" t="n"/>
      <c r="H159" s="632" t="n"/>
      <c r="I159" s="632" t="n"/>
      <c r="J159" s="632" t="n"/>
      <c r="K159" s="632" t="n"/>
      <c r="L159" s="632" t="n"/>
      <c r="M159" s="632" t="n"/>
      <c r="N159" s="632" t="n"/>
      <c r="O159" s="632" t="n"/>
      <c r="P159" s="632" t="n"/>
      <c r="Q159" s="632" t="n"/>
      <c r="R159" s="632" t="n"/>
      <c r="S159" s="632" t="n"/>
      <c r="T159" s="632" t="n"/>
      <c r="U159" s="632" t="n"/>
      <c r="V159" s="632" t="n"/>
      <c r="W159" s="632" t="n"/>
      <c r="X159" s="632" t="n"/>
      <c r="Y159" s="632" t="n"/>
      <c r="Z159" s="632" t="n"/>
    </row>
    <row r="160" ht="12.75" customHeight="1" s="673">
      <c r="A160" s="632" t="n"/>
      <c r="B160" s="632" t="n"/>
      <c r="C160" s="632" t="n"/>
      <c r="D160" s="632" t="n"/>
      <c r="E160" s="632" t="n"/>
      <c r="F160" s="632" t="n"/>
      <c r="G160" s="632" t="n"/>
      <c r="H160" s="632" t="n"/>
      <c r="I160" s="632" t="n"/>
      <c r="J160" s="632" t="n"/>
      <c r="K160" s="632" t="n"/>
      <c r="L160" s="632" t="n"/>
      <c r="M160" s="632" t="n"/>
      <c r="N160" s="632" t="n"/>
      <c r="O160" s="632" t="n"/>
      <c r="P160" s="632" t="n"/>
      <c r="Q160" s="632" t="n"/>
      <c r="R160" s="632" t="n"/>
      <c r="S160" s="632" t="n"/>
      <c r="T160" s="632" t="n"/>
      <c r="U160" s="632" t="n"/>
      <c r="V160" s="632" t="n"/>
      <c r="W160" s="632" t="n"/>
      <c r="X160" s="632" t="n"/>
      <c r="Y160" s="632" t="n"/>
      <c r="Z160" s="632" t="n"/>
    </row>
    <row r="161" ht="12.75" customHeight="1" s="673">
      <c r="A161" s="632" t="n"/>
      <c r="B161" s="632" t="n"/>
      <c r="C161" s="632" t="n"/>
      <c r="D161" s="632" t="n"/>
      <c r="E161" s="632" t="n"/>
      <c r="F161" s="632" t="n"/>
      <c r="G161" s="632" t="n"/>
      <c r="H161" s="632" t="n"/>
      <c r="I161" s="632" t="n"/>
      <c r="J161" s="632" t="n"/>
      <c r="K161" s="632" t="n"/>
      <c r="L161" s="632" t="n"/>
      <c r="M161" s="632" t="n"/>
      <c r="N161" s="632" t="n"/>
      <c r="O161" s="632" t="n"/>
      <c r="P161" s="632" t="n"/>
      <c r="Q161" s="632" t="n"/>
      <c r="R161" s="632" t="n"/>
      <c r="S161" s="632" t="n"/>
      <c r="T161" s="632" t="n"/>
      <c r="U161" s="632" t="n"/>
      <c r="V161" s="632" t="n"/>
      <c r="W161" s="632" t="n"/>
      <c r="X161" s="632" t="n"/>
      <c r="Y161" s="632" t="n"/>
      <c r="Z161" s="632" t="n"/>
    </row>
    <row r="162" ht="12.75" customHeight="1" s="673">
      <c r="A162" s="632" t="n"/>
      <c r="B162" s="632" t="n"/>
      <c r="C162" s="632" t="n"/>
      <c r="D162" s="632" t="n"/>
      <c r="E162" s="632" t="n"/>
      <c r="F162" s="632" t="n"/>
      <c r="G162" s="632" t="n"/>
      <c r="H162" s="632" t="n"/>
      <c r="I162" s="632" t="n"/>
      <c r="J162" s="632" t="n"/>
      <c r="K162" s="632" t="n"/>
      <c r="L162" s="632" t="n"/>
      <c r="M162" s="632" t="n"/>
      <c r="N162" s="632" t="n"/>
      <c r="O162" s="632" t="n"/>
      <c r="P162" s="632" t="n"/>
      <c r="Q162" s="632" t="n"/>
      <c r="R162" s="632" t="n"/>
      <c r="S162" s="632" t="n"/>
      <c r="T162" s="632" t="n"/>
      <c r="U162" s="632" t="n"/>
      <c r="V162" s="632" t="n"/>
      <c r="W162" s="632" t="n"/>
      <c r="X162" s="632" t="n"/>
      <c r="Y162" s="632" t="n"/>
      <c r="Z162" s="632" t="n"/>
    </row>
    <row r="163" ht="12.75" customHeight="1" s="673">
      <c r="A163" s="632" t="n"/>
      <c r="B163" s="632" t="n"/>
      <c r="C163" s="632" t="n"/>
      <c r="D163" s="632" t="n"/>
      <c r="E163" s="632" t="n"/>
      <c r="F163" s="632" t="n"/>
      <c r="G163" s="632" t="n"/>
      <c r="H163" s="632" t="n"/>
      <c r="I163" s="632" t="n"/>
      <c r="J163" s="632" t="n"/>
      <c r="K163" s="632" t="n"/>
      <c r="L163" s="632" t="n"/>
      <c r="M163" s="632" t="n"/>
      <c r="N163" s="632" t="n"/>
      <c r="O163" s="632" t="n"/>
      <c r="P163" s="632" t="n"/>
      <c r="Q163" s="632" t="n"/>
      <c r="R163" s="632" t="n"/>
      <c r="S163" s="632" t="n"/>
      <c r="T163" s="632" t="n"/>
      <c r="U163" s="632" t="n"/>
      <c r="V163" s="632" t="n"/>
      <c r="W163" s="632" t="n"/>
      <c r="X163" s="632" t="n"/>
      <c r="Y163" s="632" t="n"/>
      <c r="Z163" s="632" t="n"/>
    </row>
    <row r="164" ht="12.75" customHeight="1" s="673">
      <c r="A164" s="632" t="n"/>
      <c r="B164" s="632" t="n"/>
      <c r="C164" s="632" t="n"/>
      <c r="D164" s="632" t="n"/>
      <c r="E164" s="632" t="n"/>
      <c r="F164" s="632" t="n"/>
      <c r="G164" s="632" t="n"/>
      <c r="H164" s="632" t="n"/>
      <c r="I164" s="632" t="n"/>
      <c r="J164" s="632" t="n"/>
      <c r="K164" s="632" t="n"/>
      <c r="L164" s="632" t="n"/>
      <c r="M164" s="632" t="n"/>
      <c r="N164" s="632" t="n"/>
      <c r="O164" s="632" t="n"/>
      <c r="P164" s="632" t="n"/>
      <c r="Q164" s="632" t="n"/>
      <c r="R164" s="632" t="n"/>
      <c r="S164" s="632" t="n"/>
      <c r="T164" s="632" t="n"/>
      <c r="U164" s="632" t="n"/>
      <c r="V164" s="632" t="n"/>
      <c r="W164" s="632" t="n"/>
      <c r="X164" s="632" t="n"/>
      <c r="Y164" s="632" t="n"/>
      <c r="Z164" s="632" t="n"/>
    </row>
    <row r="165" ht="12.75" customHeight="1" s="673">
      <c r="A165" s="632" t="n"/>
      <c r="B165" s="632" t="n"/>
      <c r="C165" s="632" t="n"/>
      <c r="D165" s="632" t="n"/>
      <c r="E165" s="632" t="n"/>
      <c r="F165" s="632" t="n"/>
      <c r="G165" s="632" t="n"/>
      <c r="H165" s="632" t="n"/>
      <c r="I165" s="632" t="n"/>
      <c r="J165" s="632" t="n"/>
      <c r="K165" s="632" t="n"/>
      <c r="L165" s="632" t="n"/>
      <c r="M165" s="632" t="n"/>
      <c r="N165" s="632" t="n"/>
      <c r="O165" s="632" t="n"/>
      <c r="P165" s="632" t="n"/>
      <c r="Q165" s="632" t="n"/>
      <c r="R165" s="632" t="n"/>
      <c r="S165" s="632" t="n"/>
      <c r="T165" s="632" t="n"/>
      <c r="U165" s="632" t="n"/>
      <c r="V165" s="632" t="n"/>
      <c r="W165" s="632" t="n"/>
      <c r="X165" s="632" t="n"/>
      <c r="Y165" s="632" t="n"/>
      <c r="Z165" s="632" t="n"/>
    </row>
    <row r="166" ht="12.75" customHeight="1" s="673">
      <c r="A166" s="632" t="n"/>
      <c r="B166" s="632" t="n"/>
      <c r="C166" s="632" t="n"/>
      <c r="D166" s="632" t="n"/>
      <c r="E166" s="632" t="n"/>
      <c r="F166" s="632" t="n"/>
      <c r="G166" s="632" t="n"/>
      <c r="H166" s="632" t="n"/>
      <c r="I166" s="632" t="n"/>
      <c r="J166" s="632" t="n"/>
      <c r="K166" s="632" t="n"/>
      <c r="L166" s="632" t="n"/>
      <c r="M166" s="632" t="n"/>
      <c r="N166" s="632" t="n"/>
      <c r="O166" s="632" t="n"/>
      <c r="P166" s="632" t="n"/>
      <c r="Q166" s="632" t="n"/>
      <c r="R166" s="632" t="n"/>
      <c r="S166" s="632" t="n"/>
      <c r="T166" s="632" t="n"/>
      <c r="U166" s="632" t="n"/>
      <c r="V166" s="632" t="n"/>
      <c r="W166" s="632" t="n"/>
      <c r="X166" s="632" t="n"/>
      <c r="Y166" s="632" t="n"/>
      <c r="Z166" s="632" t="n"/>
    </row>
    <row r="167" ht="12.75" customHeight="1" s="673">
      <c r="A167" s="632" t="n"/>
      <c r="B167" s="632" t="n"/>
      <c r="C167" s="632" t="n"/>
      <c r="D167" s="632" t="n"/>
      <c r="E167" s="632" t="n"/>
      <c r="F167" s="632" t="n"/>
      <c r="G167" s="632" t="n"/>
      <c r="H167" s="632" t="n"/>
      <c r="I167" s="632" t="n"/>
      <c r="J167" s="632" t="n"/>
      <c r="K167" s="632" t="n"/>
      <c r="L167" s="632" t="n"/>
      <c r="M167" s="632" t="n"/>
      <c r="N167" s="632" t="n"/>
      <c r="O167" s="632" t="n"/>
      <c r="P167" s="632" t="n"/>
      <c r="Q167" s="632" t="n"/>
      <c r="R167" s="632" t="n"/>
      <c r="S167" s="632" t="n"/>
      <c r="T167" s="632" t="n"/>
      <c r="U167" s="632" t="n"/>
      <c r="V167" s="632" t="n"/>
      <c r="W167" s="632" t="n"/>
      <c r="X167" s="632" t="n"/>
      <c r="Y167" s="632" t="n"/>
      <c r="Z167" s="632" t="n"/>
    </row>
    <row r="168" ht="12.75" customHeight="1" s="673">
      <c r="A168" s="632" t="n"/>
      <c r="B168" s="632" t="n"/>
      <c r="C168" s="632" t="n"/>
      <c r="D168" s="632" t="n"/>
      <c r="E168" s="632" t="n"/>
      <c r="F168" s="632" t="n"/>
      <c r="G168" s="632" t="n"/>
      <c r="H168" s="632" t="n"/>
      <c r="I168" s="632" t="n"/>
      <c r="J168" s="632" t="n"/>
      <c r="K168" s="632" t="n"/>
      <c r="L168" s="632" t="n"/>
      <c r="M168" s="632" t="n"/>
      <c r="N168" s="632" t="n"/>
      <c r="O168" s="632" t="n"/>
      <c r="P168" s="632" t="n"/>
      <c r="Q168" s="632" t="n"/>
      <c r="R168" s="632" t="n"/>
      <c r="S168" s="632" t="n"/>
      <c r="T168" s="632" t="n"/>
      <c r="U168" s="632" t="n"/>
      <c r="V168" s="632" t="n"/>
      <c r="W168" s="632" t="n"/>
      <c r="X168" s="632" t="n"/>
      <c r="Y168" s="632" t="n"/>
      <c r="Z168" s="632" t="n"/>
    </row>
    <row r="169" ht="12.75" customHeight="1" s="673">
      <c r="A169" s="632" t="n"/>
      <c r="B169" s="632" t="n"/>
      <c r="C169" s="632" t="n"/>
      <c r="D169" s="632" t="n"/>
      <c r="E169" s="632" t="n"/>
      <c r="F169" s="632" t="n"/>
      <c r="G169" s="632" t="n"/>
      <c r="H169" s="632" t="n"/>
      <c r="I169" s="632" t="n"/>
      <c r="J169" s="632" t="n"/>
      <c r="K169" s="632" t="n"/>
      <c r="L169" s="632" t="n"/>
      <c r="M169" s="632" t="n"/>
      <c r="N169" s="632" t="n"/>
      <c r="O169" s="632" t="n"/>
      <c r="P169" s="632" t="n"/>
      <c r="Q169" s="632" t="n"/>
      <c r="R169" s="632" t="n"/>
      <c r="S169" s="632" t="n"/>
      <c r="T169" s="632" t="n"/>
      <c r="U169" s="632" t="n"/>
      <c r="V169" s="632" t="n"/>
      <c r="W169" s="632" t="n"/>
      <c r="X169" s="632" t="n"/>
      <c r="Y169" s="632" t="n"/>
      <c r="Z169" s="632" t="n"/>
    </row>
    <row r="170" ht="12.75" customHeight="1" s="673">
      <c r="A170" s="632" t="n"/>
      <c r="B170" s="632" t="n"/>
      <c r="C170" s="632" t="n"/>
      <c r="D170" s="632" t="n"/>
      <c r="E170" s="632" t="n"/>
      <c r="F170" s="632" t="n"/>
      <c r="G170" s="632" t="n"/>
      <c r="H170" s="632" t="n"/>
      <c r="I170" s="632" t="n"/>
      <c r="J170" s="632" t="n"/>
      <c r="K170" s="632" t="n"/>
      <c r="L170" s="632" t="n"/>
      <c r="M170" s="632" t="n"/>
      <c r="N170" s="632" t="n"/>
      <c r="O170" s="632" t="n"/>
      <c r="P170" s="632" t="n"/>
      <c r="Q170" s="632" t="n"/>
      <c r="R170" s="632" t="n"/>
      <c r="S170" s="632" t="n"/>
      <c r="T170" s="632" t="n"/>
      <c r="U170" s="632" t="n"/>
      <c r="V170" s="632" t="n"/>
      <c r="W170" s="632" t="n"/>
      <c r="X170" s="632" t="n"/>
      <c r="Y170" s="632" t="n"/>
      <c r="Z170" s="632" t="n"/>
    </row>
    <row r="171" ht="12.75" customHeight="1" s="673">
      <c r="A171" s="632" t="n"/>
      <c r="B171" s="632" t="n"/>
      <c r="C171" s="632" t="n"/>
      <c r="D171" s="632" t="n"/>
      <c r="E171" s="632" t="n"/>
      <c r="F171" s="632" t="n"/>
      <c r="G171" s="632" t="n"/>
      <c r="H171" s="632" t="n"/>
      <c r="I171" s="632" t="n"/>
      <c r="J171" s="632" t="n"/>
      <c r="K171" s="632" t="n"/>
      <c r="L171" s="632" t="n"/>
      <c r="M171" s="632" t="n"/>
      <c r="N171" s="632" t="n"/>
      <c r="O171" s="632" t="n"/>
      <c r="P171" s="632" t="n"/>
      <c r="Q171" s="632" t="n"/>
      <c r="R171" s="632" t="n"/>
      <c r="S171" s="632" t="n"/>
      <c r="T171" s="632" t="n"/>
      <c r="U171" s="632" t="n"/>
      <c r="V171" s="632" t="n"/>
      <c r="W171" s="632" t="n"/>
      <c r="X171" s="632" t="n"/>
      <c r="Y171" s="632" t="n"/>
      <c r="Z171" s="632" t="n"/>
    </row>
    <row r="172" ht="12.75" customHeight="1" s="673">
      <c r="A172" s="632" t="n"/>
      <c r="B172" s="632" t="n"/>
      <c r="C172" s="632" t="n"/>
      <c r="D172" s="632" t="n"/>
      <c r="E172" s="632" t="n"/>
      <c r="F172" s="632" t="n"/>
      <c r="G172" s="632" t="n"/>
      <c r="H172" s="632" t="n"/>
      <c r="I172" s="632" t="n"/>
      <c r="J172" s="632" t="n"/>
      <c r="K172" s="632" t="n"/>
      <c r="L172" s="632" t="n"/>
      <c r="M172" s="632" t="n"/>
      <c r="N172" s="632" t="n"/>
      <c r="O172" s="632" t="n"/>
      <c r="P172" s="632" t="n"/>
      <c r="Q172" s="632" t="n"/>
      <c r="R172" s="632" t="n"/>
      <c r="S172" s="632" t="n"/>
      <c r="T172" s="632" t="n"/>
      <c r="U172" s="632" t="n"/>
      <c r="V172" s="632" t="n"/>
      <c r="W172" s="632" t="n"/>
      <c r="X172" s="632" t="n"/>
      <c r="Y172" s="632" t="n"/>
      <c r="Z172" s="632" t="n"/>
    </row>
    <row r="173" ht="12.75" customHeight="1" s="673">
      <c r="A173" s="632" t="n"/>
      <c r="B173" s="632" t="n"/>
      <c r="C173" s="632" t="n"/>
      <c r="D173" s="632" t="n"/>
      <c r="E173" s="632" t="n"/>
      <c r="F173" s="632" t="n"/>
      <c r="G173" s="632" t="n"/>
      <c r="H173" s="632" t="n"/>
      <c r="I173" s="632" t="n"/>
      <c r="J173" s="632" t="n"/>
      <c r="K173" s="632" t="n"/>
      <c r="L173" s="632" t="n"/>
      <c r="M173" s="632" t="n"/>
      <c r="N173" s="632" t="n"/>
      <c r="O173" s="632" t="n"/>
      <c r="P173" s="632" t="n"/>
      <c r="Q173" s="632" t="n"/>
      <c r="R173" s="632" t="n"/>
      <c r="S173" s="632" t="n"/>
      <c r="T173" s="632" t="n"/>
      <c r="U173" s="632" t="n"/>
      <c r="V173" s="632" t="n"/>
      <c r="W173" s="632" t="n"/>
      <c r="X173" s="632" t="n"/>
      <c r="Y173" s="632" t="n"/>
      <c r="Z173" s="632" t="n"/>
    </row>
    <row r="174" ht="12.75" customHeight="1" s="673">
      <c r="A174" s="632" t="n"/>
      <c r="B174" s="632" t="n"/>
      <c r="C174" s="632" t="n"/>
      <c r="D174" s="632" t="n"/>
      <c r="E174" s="632" t="n"/>
      <c r="F174" s="632" t="n"/>
      <c r="G174" s="632" t="n"/>
      <c r="H174" s="632" t="n"/>
      <c r="I174" s="632" t="n"/>
      <c r="J174" s="632" t="n"/>
      <c r="K174" s="632" t="n"/>
      <c r="L174" s="632" t="n"/>
      <c r="M174" s="632" t="n"/>
      <c r="N174" s="632" t="n"/>
      <c r="O174" s="632" t="n"/>
      <c r="P174" s="632" t="n"/>
      <c r="Q174" s="632" t="n"/>
      <c r="R174" s="632" t="n"/>
      <c r="S174" s="632" t="n"/>
      <c r="T174" s="632" t="n"/>
      <c r="U174" s="632" t="n"/>
      <c r="V174" s="632" t="n"/>
      <c r="W174" s="632" t="n"/>
      <c r="X174" s="632" t="n"/>
      <c r="Y174" s="632" t="n"/>
      <c r="Z174" s="632" t="n"/>
    </row>
    <row r="175" ht="12.75" customHeight="1" s="673">
      <c r="A175" s="632" t="n"/>
      <c r="B175" s="632" t="n"/>
      <c r="C175" s="632" t="n"/>
      <c r="D175" s="632" t="n"/>
      <c r="E175" s="632" t="n"/>
      <c r="F175" s="632" t="n"/>
      <c r="G175" s="632" t="n"/>
      <c r="H175" s="632" t="n"/>
      <c r="I175" s="632" t="n"/>
      <c r="J175" s="632" t="n"/>
      <c r="K175" s="632" t="n"/>
      <c r="L175" s="632" t="n"/>
      <c r="M175" s="632" t="n"/>
      <c r="N175" s="632" t="n"/>
      <c r="O175" s="632" t="n"/>
      <c r="P175" s="632" t="n"/>
      <c r="Q175" s="632" t="n"/>
      <c r="R175" s="632" t="n"/>
      <c r="S175" s="632" t="n"/>
      <c r="T175" s="632" t="n"/>
      <c r="U175" s="632" t="n"/>
      <c r="V175" s="632" t="n"/>
      <c r="W175" s="632" t="n"/>
      <c r="X175" s="632" t="n"/>
      <c r="Y175" s="632" t="n"/>
      <c r="Z175" s="632" t="n"/>
    </row>
    <row r="176" ht="12.75" customHeight="1" s="673">
      <c r="A176" s="632" t="n"/>
      <c r="B176" s="632" t="n"/>
      <c r="C176" s="632" t="n"/>
      <c r="D176" s="632" t="n"/>
      <c r="E176" s="632" t="n"/>
      <c r="F176" s="632" t="n"/>
      <c r="G176" s="632" t="n"/>
      <c r="H176" s="632" t="n"/>
      <c r="I176" s="632" t="n"/>
      <c r="J176" s="632" t="n"/>
      <c r="K176" s="632" t="n"/>
      <c r="L176" s="632" t="n"/>
      <c r="M176" s="632" t="n"/>
      <c r="N176" s="632" t="n"/>
      <c r="O176" s="632" t="n"/>
      <c r="P176" s="632" t="n"/>
      <c r="Q176" s="632" t="n"/>
      <c r="R176" s="632" t="n"/>
      <c r="S176" s="632" t="n"/>
      <c r="T176" s="632" t="n"/>
      <c r="U176" s="632" t="n"/>
      <c r="V176" s="632" t="n"/>
      <c r="W176" s="632" t="n"/>
      <c r="X176" s="632" t="n"/>
      <c r="Y176" s="632" t="n"/>
      <c r="Z176" s="632" t="n"/>
    </row>
    <row r="177" ht="12.75" customHeight="1" s="673">
      <c r="A177" s="632" t="n"/>
      <c r="B177" s="632" t="n"/>
      <c r="C177" s="632" t="n"/>
      <c r="D177" s="632" t="n"/>
      <c r="E177" s="632" t="n"/>
      <c r="F177" s="632" t="n"/>
      <c r="G177" s="632" t="n"/>
      <c r="H177" s="632" t="n"/>
      <c r="I177" s="632" t="n"/>
      <c r="J177" s="632" t="n"/>
      <c r="K177" s="632" t="n"/>
      <c r="L177" s="632" t="n"/>
      <c r="M177" s="632" t="n"/>
      <c r="N177" s="632" t="n"/>
      <c r="O177" s="632" t="n"/>
      <c r="P177" s="632" t="n"/>
      <c r="Q177" s="632" t="n"/>
      <c r="R177" s="632" t="n"/>
      <c r="S177" s="632" t="n"/>
      <c r="T177" s="632" t="n"/>
      <c r="U177" s="632" t="n"/>
      <c r="V177" s="632" t="n"/>
      <c r="W177" s="632" t="n"/>
      <c r="X177" s="632" t="n"/>
      <c r="Y177" s="632" t="n"/>
      <c r="Z177" s="632" t="n"/>
    </row>
    <row r="178" ht="12.75" customHeight="1" s="673">
      <c r="A178" s="632" t="n"/>
      <c r="B178" s="632" t="n"/>
      <c r="C178" s="632" t="n"/>
      <c r="D178" s="632" t="n"/>
      <c r="E178" s="632" t="n"/>
      <c r="F178" s="632" t="n"/>
      <c r="G178" s="632" t="n"/>
      <c r="H178" s="632" t="n"/>
      <c r="I178" s="632" t="n"/>
      <c r="J178" s="632" t="n"/>
      <c r="K178" s="632" t="n"/>
      <c r="L178" s="632" t="n"/>
      <c r="M178" s="632" t="n"/>
      <c r="N178" s="632" t="n"/>
      <c r="O178" s="632" t="n"/>
      <c r="P178" s="632" t="n"/>
      <c r="Q178" s="632" t="n"/>
      <c r="R178" s="632" t="n"/>
      <c r="S178" s="632" t="n"/>
      <c r="T178" s="632" t="n"/>
      <c r="U178" s="632" t="n"/>
      <c r="V178" s="632" t="n"/>
      <c r="W178" s="632" t="n"/>
      <c r="X178" s="632" t="n"/>
      <c r="Y178" s="632" t="n"/>
      <c r="Z178" s="632" t="n"/>
    </row>
    <row r="179" ht="12.75" customHeight="1" s="673">
      <c r="A179" s="632" t="n"/>
      <c r="B179" s="632" t="n"/>
      <c r="C179" s="632" t="n"/>
      <c r="D179" s="632" t="n"/>
      <c r="E179" s="632" t="n"/>
      <c r="F179" s="632" t="n"/>
      <c r="G179" s="632" t="n"/>
      <c r="H179" s="632" t="n"/>
      <c r="I179" s="632" t="n"/>
      <c r="J179" s="632" t="n"/>
      <c r="K179" s="632" t="n"/>
      <c r="L179" s="632" t="n"/>
      <c r="M179" s="632" t="n"/>
      <c r="N179" s="632" t="n"/>
      <c r="O179" s="632" t="n"/>
      <c r="P179" s="632" t="n"/>
      <c r="Q179" s="632" t="n"/>
      <c r="R179" s="632" t="n"/>
      <c r="S179" s="632" t="n"/>
      <c r="T179" s="632" t="n"/>
      <c r="U179" s="632" t="n"/>
      <c r="V179" s="632" t="n"/>
      <c r="W179" s="632" t="n"/>
      <c r="X179" s="632" t="n"/>
      <c r="Y179" s="632" t="n"/>
      <c r="Z179" s="632" t="n"/>
    </row>
    <row r="180" ht="12.75" customHeight="1" s="673">
      <c r="A180" s="632" t="n"/>
      <c r="B180" s="632" t="n"/>
      <c r="C180" s="632" t="n"/>
      <c r="D180" s="632" t="n"/>
      <c r="E180" s="632" t="n"/>
      <c r="F180" s="632" t="n"/>
      <c r="G180" s="632" t="n"/>
      <c r="H180" s="632" t="n"/>
      <c r="I180" s="632" t="n"/>
      <c r="J180" s="632" t="n"/>
      <c r="K180" s="632" t="n"/>
      <c r="L180" s="632" t="n"/>
      <c r="M180" s="632" t="n"/>
      <c r="N180" s="632" t="n"/>
      <c r="O180" s="632" t="n"/>
      <c r="P180" s="632" t="n"/>
      <c r="Q180" s="632" t="n"/>
      <c r="R180" s="632" t="n"/>
      <c r="S180" s="632" t="n"/>
      <c r="T180" s="632" t="n"/>
      <c r="U180" s="632" t="n"/>
      <c r="V180" s="632" t="n"/>
      <c r="W180" s="632" t="n"/>
      <c r="X180" s="632" t="n"/>
      <c r="Y180" s="632" t="n"/>
      <c r="Z180" s="632" t="n"/>
    </row>
    <row r="181" ht="12.75" customHeight="1" s="673">
      <c r="A181" s="632" t="n"/>
      <c r="B181" s="632" t="n"/>
      <c r="C181" s="632" t="n"/>
      <c r="D181" s="632" t="n"/>
      <c r="E181" s="632" t="n"/>
      <c r="F181" s="632" t="n"/>
      <c r="G181" s="632" t="n"/>
      <c r="H181" s="632" t="n"/>
      <c r="I181" s="632" t="n"/>
      <c r="J181" s="632" t="n"/>
      <c r="K181" s="632" t="n"/>
      <c r="L181" s="632" t="n"/>
      <c r="M181" s="632" t="n"/>
      <c r="N181" s="632" t="n"/>
      <c r="O181" s="632" t="n"/>
      <c r="P181" s="632" t="n"/>
      <c r="Q181" s="632" t="n"/>
      <c r="R181" s="632" t="n"/>
      <c r="S181" s="632" t="n"/>
      <c r="T181" s="632" t="n"/>
      <c r="U181" s="632" t="n"/>
      <c r="V181" s="632" t="n"/>
      <c r="W181" s="632" t="n"/>
      <c r="X181" s="632" t="n"/>
      <c r="Y181" s="632" t="n"/>
      <c r="Z181" s="632" t="n"/>
    </row>
    <row r="182" ht="12.75" customHeight="1" s="673">
      <c r="A182" s="632" t="n"/>
      <c r="B182" s="632" t="n"/>
      <c r="C182" s="632" t="n"/>
      <c r="D182" s="632" t="n"/>
      <c r="E182" s="632" t="n"/>
      <c r="F182" s="632" t="n"/>
      <c r="G182" s="632" t="n"/>
      <c r="H182" s="632" t="n"/>
      <c r="I182" s="632" t="n"/>
      <c r="J182" s="632" t="n"/>
      <c r="K182" s="632" t="n"/>
      <c r="L182" s="632" t="n"/>
      <c r="M182" s="632" t="n"/>
      <c r="N182" s="632" t="n"/>
      <c r="O182" s="632" t="n"/>
      <c r="P182" s="632" t="n"/>
      <c r="Q182" s="632" t="n"/>
      <c r="R182" s="632" t="n"/>
      <c r="S182" s="632" t="n"/>
      <c r="T182" s="632" t="n"/>
      <c r="U182" s="632" t="n"/>
      <c r="V182" s="632" t="n"/>
      <c r="W182" s="632" t="n"/>
      <c r="X182" s="632" t="n"/>
      <c r="Y182" s="632" t="n"/>
      <c r="Z182" s="632" t="n"/>
    </row>
    <row r="183" ht="12.75" customHeight="1" s="673">
      <c r="A183" s="632" t="n"/>
      <c r="B183" s="632" t="n"/>
      <c r="C183" s="632" t="n"/>
      <c r="D183" s="632" t="n"/>
      <c r="E183" s="632" t="n"/>
      <c r="F183" s="632" t="n"/>
      <c r="G183" s="632" t="n"/>
      <c r="H183" s="632" t="n"/>
      <c r="I183" s="632" t="n"/>
      <c r="J183" s="632" t="n"/>
      <c r="K183" s="632" t="n"/>
      <c r="L183" s="632" t="n"/>
      <c r="M183" s="632" t="n"/>
      <c r="N183" s="632" t="n"/>
      <c r="O183" s="632" t="n"/>
      <c r="P183" s="632" t="n"/>
      <c r="Q183" s="632" t="n"/>
      <c r="R183" s="632" t="n"/>
      <c r="S183" s="632" t="n"/>
      <c r="T183" s="632" t="n"/>
      <c r="U183" s="632" t="n"/>
      <c r="V183" s="632" t="n"/>
      <c r="W183" s="632" t="n"/>
      <c r="X183" s="632" t="n"/>
      <c r="Y183" s="632" t="n"/>
      <c r="Z183" s="632" t="n"/>
    </row>
    <row r="184" ht="12.75" customHeight="1" s="673">
      <c r="A184" s="632" t="n"/>
      <c r="B184" s="632" t="n"/>
      <c r="C184" s="632" t="n"/>
      <c r="D184" s="632" t="n"/>
      <c r="E184" s="632" t="n"/>
      <c r="F184" s="632" t="n"/>
      <c r="G184" s="632" t="n"/>
      <c r="H184" s="632" t="n"/>
      <c r="I184" s="632" t="n"/>
      <c r="J184" s="632" t="n"/>
      <c r="K184" s="632" t="n"/>
      <c r="L184" s="632" t="n"/>
      <c r="M184" s="632" t="n"/>
      <c r="N184" s="632" t="n"/>
      <c r="O184" s="632" t="n"/>
      <c r="P184" s="632" t="n"/>
      <c r="Q184" s="632" t="n"/>
      <c r="R184" s="632" t="n"/>
      <c r="S184" s="632" t="n"/>
      <c r="T184" s="632" t="n"/>
      <c r="U184" s="632" t="n"/>
      <c r="V184" s="632" t="n"/>
      <c r="W184" s="632" t="n"/>
      <c r="X184" s="632" t="n"/>
      <c r="Y184" s="632" t="n"/>
      <c r="Z184" s="632" t="n"/>
    </row>
    <row r="185" ht="12.75" customHeight="1" s="673">
      <c r="A185" s="632" t="n"/>
      <c r="B185" s="632" t="n"/>
      <c r="C185" s="632" t="n"/>
      <c r="D185" s="632" t="n"/>
      <c r="E185" s="632" t="n"/>
      <c r="F185" s="632" t="n"/>
      <c r="G185" s="632" t="n"/>
      <c r="H185" s="632" t="n"/>
      <c r="I185" s="632" t="n"/>
      <c r="J185" s="632" t="n"/>
      <c r="K185" s="632" t="n"/>
      <c r="L185" s="632" t="n"/>
      <c r="M185" s="632" t="n"/>
      <c r="N185" s="632" t="n"/>
      <c r="O185" s="632" t="n"/>
      <c r="P185" s="632" t="n"/>
      <c r="Q185" s="632" t="n"/>
      <c r="R185" s="632" t="n"/>
      <c r="S185" s="632" t="n"/>
      <c r="T185" s="632" t="n"/>
      <c r="U185" s="632" t="n"/>
      <c r="V185" s="632" t="n"/>
      <c r="W185" s="632" t="n"/>
      <c r="X185" s="632" t="n"/>
      <c r="Y185" s="632" t="n"/>
      <c r="Z185" s="632" t="n"/>
    </row>
    <row r="186" ht="12.75" customHeight="1" s="673">
      <c r="A186" s="632" t="n"/>
      <c r="B186" s="632" t="n"/>
      <c r="C186" s="632" t="n"/>
      <c r="D186" s="632" t="n"/>
      <c r="E186" s="632" t="n"/>
      <c r="F186" s="632" t="n"/>
      <c r="G186" s="632" t="n"/>
      <c r="H186" s="632" t="n"/>
      <c r="I186" s="632" t="n"/>
      <c r="J186" s="632" t="n"/>
      <c r="K186" s="632" t="n"/>
      <c r="L186" s="632" t="n"/>
      <c r="M186" s="632" t="n"/>
      <c r="N186" s="632" t="n"/>
      <c r="O186" s="632" t="n"/>
      <c r="P186" s="632" t="n"/>
      <c r="Q186" s="632" t="n"/>
      <c r="R186" s="632" t="n"/>
      <c r="S186" s="632" t="n"/>
      <c r="T186" s="632" t="n"/>
      <c r="U186" s="632" t="n"/>
      <c r="V186" s="632" t="n"/>
      <c r="W186" s="632" t="n"/>
      <c r="X186" s="632" t="n"/>
      <c r="Y186" s="632" t="n"/>
      <c r="Z186" s="632" t="n"/>
    </row>
    <row r="187" ht="12.75" customHeight="1" s="673">
      <c r="A187" s="632" t="n"/>
      <c r="B187" s="632" t="n"/>
      <c r="C187" s="632" t="n"/>
      <c r="D187" s="632" t="n"/>
      <c r="E187" s="632" t="n"/>
      <c r="F187" s="632" t="n"/>
      <c r="G187" s="632" t="n"/>
      <c r="H187" s="632" t="n"/>
      <c r="I187" s="632" t="n"/>
      <c r="J187" s="632" t="n"/>
      <c r="K187" s="632" t="n"/>
      <c r="L187" s="632" t="n"/>
      <c r="M187" s="632" t="n"/>
      <c r="N187" s="632" t="n"/>
      <c r="O187" s="632" t="n"/>
      <c r="P187" s="632" t="n"/>
      <c r="Q187" s="632" t="n"/>
      <c r="R187" s="632" t="n"/>
      <c r="S187" s="632" t="n"/>
      <c r="T187" s="632" t="n"/>
      <c r="U187" s="632" t="n"/>
      <c r="V187" s="632" t="n"/>
      <c r="W187" s="632" t="n"/>
      <c r="X187" s="632" t="n"/>
      <c r="Y187" s="632" t="n"/>
      <c r="Z187" s="632" t="n"/>
    </row>
    <row r="188" ht="12.75" customHeight="1" s="673">
      <c r="A188" s="632" t="n"/>
      <c r="B188" s="632" t="n"/>
      <c r="C188" s="632" t="n"/>
      <c r="D188" s="632" t="n"/>
      <c r="E188" s="632" t="n"/>
      <c r="F188" s="632" t="n"/>
      <c r="G188" s="632" t="n"/>
      <c r="H188" s="632" t="n"/>
      <c r="I188" s="632" t="n"/>
      <c r="J188" s="632" t="n"/>
      <c r="K188" s="632" t="n"/>
      <c r="L188" s="632" t="n"/>
      <c r="M188" s="632" t="n"/>
      <c r="N188" s="632" t="n"/>
      <c r="O188" s="632" t="n"/>
      <c r="P188" s="632" t="n"/>
      <c r="Q188" s="632" t="n"/>
      <c r="R188" s="632" t="n"/>
      <c r="S188" s="632" t="n"/>
      <c r="T188" s="632" t="n"/>
      <c r="U188" s="632" t="n"/>
      <c r="V188" s="632" t="n"/>
      <c r="W188" s="632" t="n"/>
      <c r="X188" s="632" t="n"/>
      <c r="Y188" s="632" t="n"/>
      <c r="Z188" s="632" t="n"/>
    </row>
    <row r="189" ht="12.75" customHeight="1" s="673">
      <c r="A189" s="632" t="n"/>
      <c r="B189" s="632" t="n"/>
      <c r="C189" s="632" t="n"/>
      <c r="D189" s="632" t="n"/>
      <c r="E189" s="632" t="n"/>
      <c r="F189" s="632" t="n"/>
      <c r="G189" s="632" t="n"/>
      <c r="H189" s="632" t="n"/>
      <c r="I189" s="632" t="n"/>
      <c r="J189" s="632" t="n"/>
      <c r="K189" s="632" t="n"/>
      <c r="L189" s="632" t="n"/>
      <c r="M189" s="632" t="n"/>
      <c r="N189" s="632" t="n"/>
      <c r="O189" s="632" t="n"/>
      <c r="P189" s="632" t="n"/>
      <c r="Q189" s="632" t="n"/>
      <c r="R189" s="632" t="n"/>
      <c r="S189" s="632" t="n"/>
      <c r="T189" s="632" t="n"/>
      <c r="U189" s="632" t="n"/>
      <c r="V189" s="632" t="n"/>
      <c r="W189" s="632" t="n"/>
      <c r="X189" s="632" t="n"/>
      <c r="Y189" s="632" t="n"/>
      <c r="Z189" s="632" t="n"/>
    </row>
    <row r="190" ht="12.75" customHeight="1" s="673">
      <c r="A190" s="632" t="n"/>
      <c r="B190" s="632" t="n"/>
      <c r="C190" s="632" t="n"/>
      <c r="D190" s="632" t="n"/>
      <c r="E190" s="632" t="n"/>
      <c r="F190" s="632" t="n"/>
      <c r="G190" s="632" t="n"/>
      <c r="H190" s="632" t="n"/>
      <c r="I190" s="632" t="n"/>
      <c r="J190" s="632" t="n"/>
      <c r="K190" s="632" t="n"/>
      <c r="L190" s="632" t="n"/>
      <c r="M190" s="632" t="n"/>
      <c r="N190" s="632" t="n"/>
      <c r="O190" s="632" t="n"/>
      <c r="P190" s="632" t="n"/>
      <c r="Q190" s="632" t="n"/>
      <c r="R190" s="632" t="n"/>
      <c r="S190" s="632" t="n"/>
      <c r="T190" s="632" t="n"/>
      <c r="U190" s="632" t="n"/>
      <c r="V190" s="632" t="n"/>
      <c r="W190" s="632" t="n"/>
      <c r="X190" s="632" t="n"/>
      <c r="Y190" s="632" t="n"/>
      <c r="Z190" s="632" t="n"/>
    </row>
    <row r="191" ht="12.75" customHeight="1" s="673">
      <c r="A191" s="632" t="n"/>
      <c r="B191" s="632" t="n"/>
      <c r="C191" s="632" t="n"/>
      <c r="D191" s="632" t="n"/>
      <c r="E191" s="632" t="n"/>
      <c r="F191" s="632" t="n"/>
      <c r="G191" s="632" t="n"/>
      <c r="H191" s="632" t="n"/>
      <c r="I191" s="632" t="n"/>
      <c r="J191" s="632" t="n"/>
      <c r="K191" s="632" t="n"/>
      <c r="L191" s="632" t="n"/>
      <c r="M191" s="632" t="n"/>
      <c r="N191" s="632" t="n"/>
      <c r="O191" s="632" t="n"/>
      <c r="P191" s="632" t="n"/>
      <c r="Q191" s="632" t="n"/>
      <c r="R191" s="632" t="n"/>
      <c r="S191" s="632" t="n"/>
      <c r="T191" s="632" t="n"/>
      <c r="U191" s="632" t="n"/>
      <c r="V191" s="632" t="n"/>
      <c r="W191" s="632" t="n"/>
      <c r="X191" s="632" t="n"/>
      <c r="Y191" s="632" t="n"/>
      <c r="Z191" s="632" t="n"/>
    </row>
    <row r="192" ht="12.75" customHeight="1" s="673">
      <c r="A192" s="632" t="n"/>
      <c r="B192" s="632" t="n"/>
      <c r="C192" s="632" t="n"/>
      <c r="D192" s="632" t="n"/>
      <c r="E192" s="632" t="n"/>
      <c r="F192" s="632" t="n"/>
      <c r="G192" s="632" t="n"/>
      <c r="H192" s="632" t="n"/>
      <c r="I192" s="632" t="n"/>
      <c r="J192" s="632" t="n"/>
      <c r="K192" s="632" t="n"/>
      <c r="L192" s="632" t="n"/>
      <c r="M192" s="632" t="n"/>
      <c r="N192" s="632" t="n"/>
      <c r="O192" s="632" t="n"/>
      <c r="P192" s="632" t="n"/>
      <c r="Q192" s="632" t="n"/>
      <c r="R192" s="632" t="n"/>
      <c r="S192" s="632" t="n"/>
      <c r="T192" s="632" t="n"/>
      <c r="U192" s="632" t="n"/>
      <c r="V192" s="632" t="n"/>
      <c r="W192" s="632" t="n"/>
      <c r="X192" s="632" t="n"/>
      <c r="Y192" s="632" t="n"/>
      <c r="Z192" s="632" t="n"/>
    </row>
    <row r="193" ht="12.75" customHeight="1" s="673">
      <c r="A193" s="632" t="n"/>
      <c r="B193" s="632" t="n"/>
      <c r="C193" s="632" t="n"/>
      <c r="D193" s="632" t="n"/>
      <c r="E193" s="632" t="n"/>
      <c r="F193" s="632" t="n"/>
      <c r="G193" s="632" t="n"/>
      <c r="H193" s="632" t="n"/>
      <c r="I193" s="632" t="n"/>
      <c r="J193" s="632" t="n"/>
      <c r="K193" s="632" t="n"/>
      <c r="L193" s="632" t="n"/>
      <c r="M193" s="632" t="n"/>
      <c r="N193" s="632" t="n"/>
      <c r="O193" s="632" t="n"/>
      <c r="P193" s="632" t="n"/>
      <c r="Q193" s="632" t="n"/>
      <c r="R193" s="632" t="n"/>
      <c r="S193" s="632" t="n"/>
      <c r="T193" s="632" t="n"/>
      <c r="U193" s="632" t="n"/>
      <c r="V193" s="632" t="n"/>
      <c r="W193" s="632" t="n"/>
      <c r="X193" s="632" t="n"/>
      <c r="Y193" s="632" t="n"/>
      <c r="Z193" s="632" t="n"/>
    </row>
    <row r="194" ht="12.75" customHeight="1" s="673">
      <c r="A194" s="632" t="n"/>
      <c r="B194" s="632" t="n"/>
      <c r="C194" s="632" t="n"/>
      <c r="D194" s="632" t="n"/>
      <c r="E194" s="632" t="n"/>
      <c r="F194" s="632" t="n"/>
      <c r="G194" s="632" t="n"/>
      <c r="H194" s="632" t="n"/>
      <c r="I194" s="632" t="n"/>
      <c r="J194" s="632" t="n"/>
      <c r="K194" s="632" t="n"/>
      <c r="L194" s="632" t="n"/>
      <c r="M194" s="632" t="n"/>
      <c r="N194" s="632" t="n"/>
      <c r="O194" s="632" t="n"/>
      <c r="P194" s="632" t="n"/>
      <c r="Q194" s="632" t="n"/>
      <c r="R194" s="632" t="n"/>
      <c r="S194" s="632" t="n"/>
      <c r="T194" s="632" t="n"/>
      <c r="U194" s="632" t="n"/>
      <c r="V194" s="632" t="n"/>
      <c r="W194" s="632" t="n"/>
      <c r="X194" s="632" t="n"/>
      <c r="Y194" s="632" t="n"/>
      <c r="Z194" s="632" t="n"/>
    </row>
    <row r="195" ht="12.75" customHeight="1" s="673">
      <c r="A195" s="632" t="n"/>
      <c r="B195" s="632" t="n"/>
      <c r="C195" s="632" t="n"/>
      <c r="D195" s="632" t="n"/>
      <c r="E195" s="632" t="n"/>
      <c r="F195" s="632" t="n"/>
      <c r="G195" s="632" t="n"/>
      <c r="H195" s="632" t="n"/>
      <c r="I195" s="632" t="n"/>
      <c r="J195" s="632" t="n"/>
      <c r="K195" s="632" t="n"/>
      <c r="L195" s="632" t="n"/>
      <c r="M195" s="632" t="n"/>
      <c r="N195" s="632" t="n"/>
      <c r="O195" s="632" t="n"/>
      <c r="P195" s="632" t="n"/>
      <c r="Q195" s="632" t="n"/>
      <c r="R195" s="632" t="n"/>
      <c r="S195" s="632" t="n"/>
      <c r="T195" s="632" t="n"/>
      <c r="U195" s="632" t="n"/>
      <c r="V195" s="632" t="n"/>
      <c r="W195" s="632" t="n"/>
      <c r="X195" s="632" t="n"/>
      <c r="Y195" s="632" t="n"/>
      <c r="Z195" s="632" t="n"/>
    </row>
    <row r="196" ht="12.75" customHeight="1" s="673">
      <c r="A196" s="632" t="n"/>
      <c r="B196" s="632" t="n"/>
      <c r="C196" s="632" t="n"/>
      <c r="D196" s="632" t="n"/>
      <c r="E196" s="632" t="n"/>
      <c r="F196" s="632" t="n"/>
      <c r="G196" s="632" t="n"/>
      <c r="H196" s="632" t="n"/>
      <c r="I196" s="632" t="n"/>
      <c r="J196" s="632" t="n"/>
      <c r="K196" s="632" t="n"/>
      <c r="L196" s="632" t="n"/>
      <c r="M196" s="632" t="n"/>
      <c r="N196" s="632" t="n"/>
      <c r="O196" s="632" t="n"/>
      <c r="P196" s="632" t="n"/>
      <c r="Q196" s="632" t="n"/>
      <c r="R196" s="632" t="n"/>
      <c r="S196" s="632" t="n"/>
      <c r="T196" s="632" t="n"/>
      <c r="U196" s="632" t="n"/>
      <c r="V196" s="632" t="n"/>
      <c r="W196" s="632" t="n"/>
      <c r="X196" s="632" t="n"/>
      <c r="Y196" s="632" t="n"/>
      <c r="Z196" s="632" t="n"/>
    </row>
    <row r="197" ht="12.75" customHeight="1" s="673">
      <c r="A197" s="632" t="n"/>
      <c r="B197" s="632" t="n"/>
      <c r="C197" s="632" t="n"/>
      <c r="D197" s="632" t="n"/>
      <c r="E197" s="632" t="n"/>
      <c r="F197" s="632" t="n"/>
      <c r="G197" s="632" t="n"/>
      <c r="H197" s="632" t="n"/>
      <c r="I197" s="632" t="n"/>
      <c r="J197" s="632" t="n"/>
      <c r="K197" s="632" t="n"/>
      <c r="L197" s="632" t="n"/>
      <c r="M197" s="632" t="n"/>
      <c r="N197" s="632" t="n"/>
      <c r="O197" s="632" t="n"/>
      <c r="P197" s="632" t="n"/>
      <c r="Q197" s="632" t="n"/>
      <c r="R197" s="632" t="n"/>
      <c r="S197" s="632" t="n"/>
      <c r="T197" s="632" t="n"/>
      <c r="U197" s="632" t="n"/>
      <c r="V197" s="632" t="n"/>
      <c r="W197" s="632" t="n"/>
      <c r="X197" s="632" t="n"/>
      <c r="Y197" s="632" t="n"/>
      <c r="Z197" s="632" t="n"/>
    </row>
    <row r="198" ht="12.75" customHeight="1" s="673">
      <c r="A198" s="632" t="n"/>
      <c r="B198" s="632" t="n"/>
      <c r="C198" s="632" t="n"/>
      <c r="D198" s="632" t="n"/>
      <c r="E198" s="632" t="n"/>
      <c r="F198" s="632" t="n"/>
      <c r="G198" s="632" t="n"/>
      <c r="H198" s="632" t="n"/>
      <c r="I198" s="632" t="n"/>
      <c r="J198" s="632" t="n"/>
      <c r="K198" s="632" t="n"/>
      <c r="L198" s="632" t="n"/>
      <c r="M198" s="632" t="n"/>
      <c r="N198" s="632" t="n"/>
      <c r="O198" s="632" t="n"/>
      <c r="P198" s="632" t="n"/>
      <c r="Q198" s="632" t="n"/>
      <c r="R198" s="632" t="n"/>
      <c r="S198" s="632" t="n"/>
      <c r="T198" s="632" t="n"/>
      <c r="U198" s="632" t="n"/>
      <c r="V198" s="632" t="n"/>
      <c r="W198" s="632" t="n"/>
      <c r="X198" s="632" t="n"/>
      <c r="Y198" s="632" t="n"/>
      <c r="Z198" s="632" t="n"/>
    </row>
    <row r="199" ht="12.75" customHeight="1" s="673">
      <c r="A199" s="632" t="n"/>
      <c r="B199" s="632" t="n"/>
      <c r="C199" s="632" t="n"/>
      <c r="D199" s="632" t="n"/>
      <c r="E199" s="632" t="n"/>
      <c r="F199" s="632" t="n"/>
      <c r="G199" s="632" t="n"/>
      <c r="H199" s="632" t="n"/>
      <c r="I199" s="632" t="n"/>
      <c r="J199" s="632" t="n"/>
      <c r="K199" s="632" t="n"/>
      <c r="L199" s="632" t="n"/>
      <c r="M199" s="632" t="n"/>
      <c r="N199" s="632" t="n"/>
      <c r="O199" s="632" t="n"/>
      <c r="P199" s="632" t="n"/>
      <c r="Q199" s="632" t="n"/>
      <c r="R199" s="632" t="n"/>
      <c r="S199" s="632" t="n"/>
      <c r="T199" s="632" t="n"/>
      <c r="U199" s="632" t="n"/>
      <c r="V199" s="632" t="n"/>
      <c r="W199" s="632" t="n"/>
      <c r="X199" s="632" t="n"/>
      <c r="Y199" s="632" t="n"/>
      <c r="Z199" s="632" t="n"/>
    </row>
    <row r="200" ht="12.75" customHeight="1" s="673">
      <c r="A200" s="632" t="n"/>
      <c r="B200" s="632" t="n"/>
      <c r="C200" s="632" t="n"/>
      <c r="D200" s="632" t="n"/>
      <c r="E200" s="632" t="n"/>
      <c r="F200" s="632" t="n"/>
      <c r="G200" s="632" t="n"/>
      <c r="H200" s="632" t="n"/>
      <c r="I200" s="632" t="n"/>
      <c r="J200" s="632" t="n"/>
      <c r="K200" s="632" t="n"/>
      <c r="L200" s="632" t="n"/>
      <c r="M200" s="632" t="n"/>
      <c r="N200" s="632" t="n"/>
      <c r="O200" s="632" t="n"/>
      <c r="P200" s="632" t="n"/>
      <c r="Q200" s="632" t="n"/>
      <c r="R200" s="632" t="n"/>
      <c r="S200" s="632" t="n"/>
      <c r="T200" s="632" t="n"/>
      <c r="U200" s="632" t="n"/>
      <c r="V200" s="632" t="n"/>
      <c r="W200" s="632" t="n"/>
      <c r="X200" s="632" t="n"/>
      <c r="Y200" s="632" t="n"/>
      <c r="Z200" s="632" t="n"/>
    </row>
    <row r="201" ht="12.75" customHeight="1" s="673">
      <c r="A201" s="632" t="n"/>
      <c r="B201" s="632" t="n"/>
      <c r="C201" s="632" t="n"/>
      <c r="D201" s="632" t="n"/>
      <c r="E201" s="632" t="n"/>
      <c r="F201" s="632" t="n"/>
      <c r="G201" s="632" t="n"/>
      <c r="H201" s="632" t="n"/>
      <c r="I201" s="632" t="n"/>
      <c r="J201" s="632" t="n"/>
      <c r="K201" s="632" t="n"/>
      <c r="L201" s="632" t="n"/>
      <c r="M201" s="632" t="n"/>
      <c r="N201" s="632" t="n"/>
      <c r="O201" s="632" t="n"/>
      <c r="P201" s="632" t="n"/>
      <c r="Q201" s="632" t="n"/>
      <c r="R201" s="632" t="n"/>
      <c r="S201" s="632" t="n"/>
      <c r="T201" s="632" t="n"/>
      <c r="U201" s="632" t="n"/>
      <c r="V201" s="632" t="n"/>
      <c r="W201" s="632" t="n"/>
      <c r="X201" s="632" t="n"/>
      <c r="Y201" s="632" t="n"/>
      <c r="Z201" s="632" t="n"/>
    </row>
    <row r="202" ht="12.75" customHeight="1" s="673">
      <c r="A202" s="632" t="n"/>
      <c r="B202" s="632" t="n"/>
      <c r="C202" s="632" t="n"/>
      <c r="D202" s="632" t="n"/>
      <c r="E202" s="632" t="n"/>
      <c r="F202" s="632" t="n"/>
      <c r="G202" s="632" t="n"/>
      <c r="H202" s="632" t="n"/>
      <c r="I202" s="632" t="n"/>
      <c r="J202" s="632" t="n"/>
      <c r="K202" s="632" t="n"/>
      <c r="L202" s="632" t="n"/>
      <c r="M202" s="632" t="n"/>
      <c r="N202" s="632" t="n"/>
      <c r="O202" s="632" t="n"/>
      <c r="P202" s="632" t="n"/>
      <c r="Q202" s="632" t="n"/>
      <c r="R202" s="632" t="n"/>
      <c r="S202" s="632" t="n"/>
      <c r="T202" s="632" t="n"/>
      <c r="U202" s="632" t="n"/>
      <c r="V202" s="632" t="n"/>
      <c r="W202" s="632" t="n"/>
      <c r="X202" s="632" t="n"/>
      <c r="Y202" s="632" t="n"/>
      <c r="Z202" s="632" t="n"/>
    </row>
    <row r="203" ht="12.75" customHeight="1" s="673">
      <c r="A203" s="632" t="n"/>
      <c r="B203" s="632" t="n"/>
      <c r="C203" s="632" t="n"/>
      <c r="D203" s="632" t="n"/>
      <c r="E203" s="632" t="n"/>
      <c r="F203" s="632" t="n"/>
      <c r="G203" s="632" t="n"/>
      <c r="H203" s="632" t="n"/>
      <c r="I203" s="632" t="n"/>
      <c r="J203" s="632" t="n"/>
      <c r="K203" s="632" t="n"/>
      <c r="L203" s="632" t="n"/>
      <c r="M203" s="632" t="n"/>
      <c r="N203" s="632" t="n"/>
      <c r="O203" s="632" t="n"/>
      <c r="P203" s="632" t="n"/>
      <c r="Q203" s="632" t="n"/>
      <c r="R203" s="632" t="n"/>
      <c r="S203" s="632" t="n"/>
      <c r="T203" s="632" t="n"/>
      <c r="U203" s="632" t="n"/>
      <c r="V203" s="632" t="n"/>
      <c r="W203" s="632" t="n"/>
      <c r="X203" s="632" t="n"/>
      <c r="Y203" s="632" t="n"/>
      <c r="Z203" s="632" t="n"/>
    </row>
    <row r="204" ht="12.75" customHeight="1" s="673">
      <c r="A204" s="632" t="n"/>
      <c r="B204" s="632" t="n"/>
      <c r="C204" s="632" t="n"/>
      <c r="D204" s="632" t="n"/>
      <c r="E204" s="632" t="n"/>
      <c r="F204" s="632" t="n"/>
      <c r="G204" s="632" t="n"/>
      <c r="H204" s="632" t="n"/>
      <c r="I204" s="632" t="n"/>
      <c r="J204" s="632" t="n"/>
      <c r="K204" s="632" t="n"/>
      <c r="L204" s="632" t="n"/>
      <c r="M204" s="632" t="n"/>
      <c r="N204" s="632" t="n"/>
      <c r="O204" s="632" t="n"/>
      <c r="P204" s="632" t="n"/>
      <c r="Q204" s="632" t="n"/>
      <c r="R204" s="632" t="n"/>
      <c r="S204" s="632" t="n"/>
      <c r="T204" s="632" t="n"/>
      <c r="U204" s="632" t="n"/>
      <c r="V204" s="632" t="n"/>
      <c r="W204" s="632" t="n"/>
      <c r="X204" s="632" t="n"/>
      <c r="Y204" s="632" t="n"/>
      <c r="Z204" s="632" t="n"/>
    </row>
    <row r="205" ht="12.75" customHeight="1" s="673">
      <c r="A205" s="632" t="n"/>
      <c r="B205" s="632" t="n"/>
      <c r="C205" s="632" t="n"/>
      <c r="D205" s="632" t="n"/>
      <c r="E205" s="632" t="n"/>
      <c r="F205" s="632" t="n"/>
      <c r="G205" s="632" t="n"/>
      <c r="H205" s="632" t="n"/>
      <c r="I205" s="632" t="n"/>
      <c r="J205" s="632" t="n"/>
      <c r="K205" s="632" t="n"/>
      <c r="L205" s="632" t="n"/>
      <c r="M205" s="632" t="n"/>
      <c r="N205" s="632" t="n"/>
      <c r="O205" s="632" t="n"/>
      <c r="P205" s="632" t="n"/>
      <c r="Q205" s="632" t="n"/>
      <c r="R205" s="632" t="n"/>
      <c r="S205" s="632" t="n"/>
      <c r="T205" s="632" t="n"/>
      <c r="U205" s="632" t="n"/>
      <c r="V205" s="632" t="n"/>
      <c r="W205" s="632" t="n"/>
      <c r="X205" s="632" t="n"/>
      <c r="Y205" s="632" t="n"/>
      <c r="Z205" s="632" t="n"/>
    </row>
    <row r="206" ht="12.75" customHeight="1" s="673">
      <c r="A206" s="632" t="n"/>
      <c r="B206" s="632" t="n"/>
      <c r="C206" s="632" t="n"/>
      <c r="D206" s="632" t="n"/>
      <c r="E206" s="632" t="n"/>
      <c r="F206" s="632" t="n"/>
      <c r="G206" s="632" t="n"/>
      <c r="H206" s="632" t="n"/>
      <c r="I206" s="632" t="n"/>
      <c r="J206" s="632" t="n"/>
      <c r="K206" s="632" t="n"/>
      <c r="L206" s="632" t="n"/>
      <c r="M206" s="632" t="n"/>
      <c r="N206" s="632" t="n"/>
      <c r="O206" s="632" t="n"/>
      <c r="P206" s="632" t="n"/>
      <c r="Q206" s="632" t="n"/>
      <c r="R206" s="632" t="n"/>
      <c r="S206" s="632" t="n"/>
      <c r="T206" s="632" t="n"/>
      <c r="U206" s="632" t="n"/>
      <c r="V206" s="632" t="n"/>
      <c r="W206" s="632" t="n"/>
      <c r="X206" s="632" t="n"/>
      <c r="Y206" s="632" t="n"/>
      <c r="Z206" s="632" t="n"/>
    </row>
    <row r="207" ht="12.75" customHeight="1" s="673">
      <c r="A207" s="632" t="n"/>
      <c r="B207" s="632" t="n"/>
      <c r="C207" s="632" t="n"/>
      <c r="D207" s="632" t="n"/>
      <c r="E207" s="632" t="n"/>
      <c r="F207" s="632" t="n"/>
      <c r="G207" s="632" t="n"/>
      <c r="H207" s="632" t="n"/>
      <c r="I207" s="632" t="n"/>
      <c r="J207" s="632" t="n"/>
      <c r="K207" s="632" t="n"/>
      <c r="L207" s="632" t="n"/>
      <c r="M207" s="632" t="n"/>
      <c r="N207" s="632" t="n"/>
      <c r="O207" s="632" t="n"/>
      <c r="P207" s="632" t="n"/>
      <c r="Q207" s="632" t="n"/>
      <c r="R207" s="632" t="n"/>
      <c r="S207" s="632" t="n"/>
      <c r="T207" s="632" t="n"/>
      <c r="U207" s="632" t="n"/>
      <c r="V207" s="632" t="n"/>
      <c r="W207" s="632" t="n"/>
      <c r="X207" s="632" t="n"/>
      <c r="Y207" s="632" t="n"/>
      <c r="Z207" s="632" t="n"/>
    </row>
    <row r="208" ht="12.75" customHeight="1" s="673">
      <c r="A208" s="632" t="n"/>
      <c r="B208" s="632" t="n"/>
      <c r="C208" s="632" t="n"/>
      <c r="D208" s="632" t="n"/>
      <c r="E208" s="632" t="n"/>
      <c r="F208" s="632" t="n"/>
      <c r="G208" s="632" t="n"/>
      <c r="H208" s="632" t="n"/>
      <c r="I208" s="632" t="n"/>
      <c r="J208" s="632" t="n"/>
      <c r="K208" s="632" t="n"/>
      <c r="L208" s="632" t="n"/>
      <c r="M208" s="632" t="n"/>
      <c r="N208" s="632" t="n"/>
      <c r="O208" s="632" t="n"/>
      <c r="P208" s="632" t="n"/>
      <c r="Q208" s="632" t="n"/>
      <c r="R208" s="632" t="n"/>
      <c r="S208" s="632" t="n"/>
      <c r="T208" s="632" t="n"/>
      <c r="U208" s="632" t="n"/>
      <c r="V208" s="632" t="n"/>
      <c r="W208" s="632" t="n"/>
      <c r="X208" s="632" t="n"/>
      <c r="Y208" s="632" t="n"/>
      <c r="Z208" s="632" t="n"/>
    </row>
    <row r="209" ht="12.75" customHeight="1" s="673">
      <c r="A209" s="632" t="n"/>
      <c r="B209" s="632" t="n"/>
      <c r="C209" s="632" t="n"/>
      <c r="D209" s="632" t="n"/>
      <c r="E209" s="632" t="n"/>
      <c r="F209" s="632" t="n"/>
      <c r="G209" s="632" t="n"/>
      <c r="H209" s="632" t="n"/>
      <c r="I209" s="632" t="n"/>
      <c r="J209" s="632" t="n"/>
      <c r="K209" s="632" t="n"/>
      <c r="L209" s="632" t="n"/>
      <c r="M209" s="632" t="n"/>
      <c r="N209" s="632" t="n"/>
      <c r="O209" s="632" t="n"/>
      <c r="P209" s="632" t="n"/>
      <c r="Q209" s="632" t="n"/>
      <c r="R209" s="632" t="n"/>
      <c r="S209" s="632" t="n"/>
      <c r="T209" s="632" t="n"/>
      <c r="U209" s="632" t="n"/>
      <c r="V209" s="632" t="n"/>
      <c r="W209" s="632" t="n"/>
      <c r="X209" s="632" t="n"/>
      <c r="Y209" s="632" t="n"/>
      <c r="Z209" s="632" t="n"/>
    </row>
    <row r="210" ht="12.75" customHeight="1" s="673">
      <c r="A210" s="632" t="n"/>
      <c r="B210" s="632" t="n"/>
      <c r="C210" s="632" t="n"/>
      <c r="D210" s="632" t="n"/>
      <c r="E210" s="632" t="n"/>
      <c r="F210" s="632" t="n"/>
      <c r="G210" s="632" t="n"/>
      <c r="H210" s="632" t="n"/>
      <c r="I210" s="632" t="n"/>
      <c r="J210" s="632" t="n"/>
      <c r="K210" s="632" t="n"/>
      <c r="L210" s="632" t="n"/>
      <c r="M210" s="632" t="n"/>
      <c r="N210" s="632" t="n"/>
      <c r="O210" s="632" t="n"/>
      <c r="P210" s="632" t="n"/>
      <c r="Q210" s="632" t="n"/>
      <c r="R210" s="632" t="n"/>
      <c r="S210" s="632" t="n"/>
      <c r="T210" s="632" t="n"/>
      <c r="U210" s="632" t="n"/>
      <c r="V210" s="632" t="n"/>
      <c r="W210" s="632" t="n"/>
      <c r="X210" s="632" t="n"/>
      <c r="Y210" s="632" t="n"/>
      <c r="Z210" s="632" t="n"/>
    </row>
    <row r="211" ht="12.75" customHeight="1" s="673">
      <c r="A211" s="632" t="n"/>
      <c r="B211" s="632" t="n"/>
      <c r="C211" s="632" t="n"/>
      <c r="D211" s="632" t="n"/>
      <c r="E211" s="632" t="n"/>
      <c r="F211" s="632" t="n"/>
      <c r="G211" s="632" t="n"/>
      <c r="H211" s="632" t="n"/>
      <c r="I211" s="632" t="n"/>
      <c r="J211" s="632" t="n"/>
      <c r="K211" s="632" t="n"/>
      <c r="L211" s="632" t="n"/>
      <c r="M211" s="632" t="n"/>
      <c r="N211" s="632" t="n"/>
      <c r="O211" s="632" t="n"/>
      <c r="P211" s="632" t="n"/>
      <c r="Q211" s="632" t="n"/>
      <c r="R211" s="632" t="n"/>
      <c r="S211" s="632" t="n"/>
      <c r="T211" s="632" t="n"/>
      <c r="U211" s="632" t="n"/>
      <c r="V211" s="632" t="n"/>
      <c r="W211" s="632" t="n"/>
      <c r="X211" s="632" t="n"/>
      <c r="Y211" s="632" t="n"/>
      <c r="Z211" s="632" t="n"/>
    </row>
    <row r="212" ht="12.75" customHeight="1" s="673">
      <c r="A212" s="632" t="n"/>
      <c r="B212" s="632" t="n"/>
      <c r="C212" s="632" t="n"/>
      <c r="D212" s="632" t="n"/>
      <c r="E212" s="632" t="n"/>
      <c r="F212" s="632" t="n"/>
      <c r="G212" s="632" t="n"/>
      <c r="H212" s="632" t="n"/>
      <c r="I212" s="632" t="n"/>
      <c r="J212" s="632" t="n"/>
      <c r="K212" s="632" t="n"/>
      <c r="L212" s="632" t="n"/>
      <c r="M212" s="632" t="n"/>
      <c r="N212" s="632" t="n"/>
      <c r="O212" s="632" t="n"/>
      <c r="P212" s="632" t="n"/>
      <c r="Q212" s="632" t="n"/>
      <c r="R212" s="632" t="n"/>
      <c r="S212" s="632" t="n"/>
      <c r="T212" s="632" t="n"/>
      <c r="U212" s="632" t="n"/>
      <c r="V212" s="632" t="n"/>
      <c r="W212" s="632" t="n"/>
      <c r="X212" s="632" t="n"/>
      <c r="Y212" s="632" t="n"/>
      <c r="Z212" s="632" t="n"/>
    </row>
    <row r="213" ht="12.75" customHeight="1" s="673">
      <c r="A213" s="632" t="n"/>
      <c r="B213" s="632" t="n"/>
      <c r="C213" s="632" t="n"/>
      <c r="D213" s="632" t="n"/>
      <c r="E213" s="632" t="n"/>
      <c r="F213" s="632" t="n"/>
      <c r="G213" s="632" t="n"/>
      <c r="H213" s="632" t="n"/>
      <c r="I213" s="632" t="n"/>
      <c r="J213" s="632" t="n"/>
      <c r="K213" s="632" t="n"/>
      <c r="L213" s="632" t="n"/>
      <c r="M213" s="632" t="n"/>
      <c r="N213" s="632" t="n"/>
      <c r="O213" s="632" t="n"/>
      <c r="P213" s="632" t="n"/>
      <c r="Q213" s="632" t="n"/>
      <c r="R213" s="632" t="n"/>
      <c r="S213" s="632" t="n"/>
      <c r="T213" s="632" t="n"/>
      <c r="U213" s="632" t="n"/>
      <c r="V213" s="632" t="n"/>
      <c r="W213" s="632" t="n"/>
      <c r="X213" s="632" t="n"/>
      <c r="Y213" s="632" t="n"/>
      <c r="Z213" s="632" t="n"/>
    </row>
    <row r="214" ht="12.75" customHeight="1" s="673">
      <c r="A214" s="632" t="n"/>
      <c r="B214" s="632" t="n"/>
      <c r="C214" s="632" t="n"/>
      <c r="D214" s="632" t="n"/>
      <c r="E214" s="632" t="n"/>
      <c r="F214" s="632" t="n"/>
      <c r="G214" s="632" t="n"/>
      <c r="H214" s="632" t="n"/>
      <c r="I214" s="632" t="n"/>
      <c r="J214" s="632" t="n"/>
      <c r="K214" s="632" t="n"/>
      <c r="L214" s="632" t="n"/>
      <c r="M214" s="632" t="n"/>
      <c r="N214" s="632" t="n"/>
      <c r="O214" s="632" t="n"/>
      <c r="P214" s="632" t="n"/>
      <c r="Q214" s="632" t="n"/>
      <c r="R214" s="632" t="n"/>
      <c r="S214" s="632" t="n"/>
      <c r="T214" s="632" t="n"/>
      <c r="U214" s="632" t="n"/>
      <c r="V214" s="632" t="n"/>
      <c r="W214" s="632" t="n"/>
      <c r="X214" s="632" t="n"/>
      <c r="Y214" s="632" t="n"/>
      <c r="Z214" s="632" t="n"/>
    </row>
    <row r="215" ht="12.75" customHeight="1" s="673">
      <c r="A215" s="632" t="n"/>
      <c r="B215" s="632" t="n"/>
      <c r="C215" s="632" t="n"/>
      <c r="D215" s="632" t="n"/>
      <c r="E215" s="632" t="n"/>
      <c r="F215" s="632" t="n"/>
      <c r="G215" s="632" t="n"/>
      <c r="H215" s="632" t="n"/>
      <c r="I215" s="632" t="n"/>
      <c r="J215" s="632" t="n"/>
      <c r="K215" s="632" t="n"/>
      <c r="L215" s="632" t="n"/>
      <c r="M215" s="632" t="n"/>
      <c r="N215" s="632" t="n"/>
      <c r="O215" s="632" t="n"/>
      <c r="P215" s="632" t="n"/>
      <c r="Q215" s="632" t="n"/>
      <c r="R215" s="632" t="n"/>
      <c r="S215" s="632" t="n"/>
      <c r="T215" s="632" t="n"/>
      <c r="U215" s="632" t="n"/>
      <c r="V215" s="632" t="n"/>
      <c r="W215" s="632" t="n"/>
      <c r="X215" s="632" t="n"/>
      <c r="Y215" s="632" t="n"/>
      <c r="Z215" s="632" t="n"/>
    </row>
    <row r="216" ht="12.75" customHeight="1" s="673">
      <c r="A216" s="632" t="n"/>
      <c r="B216" s="632" t="n"/>
      <c r="C216" s="632" t="n"/>
      <c r="D216" s="632" t="n"/>
      <c r="E216" s="632" t="n"/>
      <c r="F216" s="632" t="n"/>
      <c r="G216" s="632" t="n"/>
      <c r="H216" s="632" t="n"/>
      <c r="I216" s="632" t="n"/>
      <c r="J216" s="632" t="n"/>
      <c r="K216" s="632" t="n"/>
      <c r="L216" s="632" t="n"/>
      <c r="M216" s="632" t="n"/>
      <c r="N216" s="632" t="n"/>
      <c r="O216" s="632" t="n"/>
      <c r="P216" s="632" t="n"/>
      <c r="Q216" s="632" t="n"/>
      <c r="R216" s="632" t="n"/>
      <c r="S216" s="632" t="n"/>
      <c r="T216" s="632" t="n"/>
      <c r="U216" s="632" t="n"/>
      <c r="V216" s="632" t="n"/>
      <c r="W216" s="632" t="n"/>
      <c r="X216" s="632" t="n"/>
      <c r="Y216" s="632" t="n"/>
      <c r="Z216" s="632" t="n"/>
    </row>
    <row r="217" ht="12.75" customHeight="1" s="673">
      <c r="A217" s="632" t="n"/>
      <c r="B217" s="632" t="n"/>
      <c r="C217" s="632" t="n"/>
      <c r="D217" s="632" t="n"/>
      <c r="E217" s="632" t="n"/>
      <c r="F217" s="632" t="n"/>
      <c r="G217" s="632" t="n"/>
      <c r="H217" s="632" t="n"/>
      <c r="I217" s="632" t="n"/>
      <c r="J217" s="632" t="n"/>
      <c r="K217" s="632" t="n"/>
      <c r="L217" s="632" t="n"/>
      <c r="M217" s="632" t="n"/>
      <c r="N217" s="632" t="n"/>
      <c r="O217" s="632" t="n"/>
      <c r="P217" s="632" t="n"/>
      <c r="Q217" s="632" t="n"/>
      <c r="R217" s="632" t="n"/>
      <c r="S217" s="632" t="n"/>
      <c r="T217" s="632" t="n"/>
      <c r="U217" s="632" t="n"/>
      <c r="V217" s="632" t="n"/>
      <c r="W217" s="632" t="n"/>
      <c r="X217" s="632" t="n"/>
      <c r="Y217" s="632" t="n"/>
      <c r="Z217" s="632" t="n"/>
    </row>
    <row r="218" ht="12.75" customHeight="1" s="673">
      <c r="A218" s="632" t="n"/>
      <c r="B218" s="632" t="n"/>
      <c r="C218" s="632" t="n"/>
      <c r="D218" s="632" t="n"/>
      <c r="E218" s="632" t="n"/>
      <c r="F218" s="632" t="n"/>
      <c r="G218" s="632" t="n"/>
      <c r="H218" s="632" t="n"/>
      <c r="I218" s="632" t="n"/>
      <c r="J218" s="632" t="n"/>
      <c r="K218" s="632" t="n"/>
      <c r="L218" s="632" t="n"/>
      <c r="M218" s="632" t="n"/>
      <c r="N218" s="632" t="n"/>
      <c r="O218" s="632" t="n"/>
      <c r="P218" s="632" t="n"/>
      <c r="Q218" s="632" t="n"/>
      <c r="R218" s="632" t="n"/>
      <c r="S218" s="632" t="n"/>
      <c r="T218" s="632" t="n"/>
      <c r="U218" s="632" t="n"/>
      <c r="V218" s="632" t="n"/>
      <c r="W218" s="632" t="n"/>
      <c r="X218" s="632" t="n"/>
      <c r="Y218" s="632" t="n"/>
      <c r="Z218" s="632" t="n"/>
    </row>
    <row r="219" ht="12.75" customHeight="1" s="673">
      <c r="A219" s="632" t="n"/>
      <c r="B219" s="632" t="n"/>
      <c r="C219" s="632" t="n"/>
      <c r="D219" s="632" t="n"/>
      <c r="E219" s="632" t="n"/>
      <c r="F219" s="632" t="n"/>
      <c r="G219" s="632" t="n"/>
      <c r="H219" s="632" t="n"/>
      <c r="I219" s="632" t="n"/>
      <c r="J219" s="632" t="n"/>
      <c r="K219" s="632" t="n"/>
      <c r="L219" s="632" t="n"/>
      <c r="M219" s="632" t="n"/>
      <c r="N219" s="632" t="n"/>
      <c r="O219" s="632" t="n"/>
      <c r="P219" s="632" t="n"/>
      <c r="Q219" s="632" t="n"/>
      <c r="R219" s="632" t="n"/>
      <c r="S219" s="632" t="n"/>
      <c r="T219" s="632" t="n"/>
      <c r="U219" s="632" t="n"/>
      <c r="V219" s="632" t="n"/>
      <c r="W219" s="632" t="n"/>
      <c r="X219" s="632" t="n"/>
      <c r="Y219" s="632" t="n"/>
      <c r="Z219" s="632" t="n"/>
    </row>
    <row r="220" ht="12.75" customHeight="1" s="673">
      <c r="A220" s="632" t="n"/>
      <c r="B220" s="632" t="n"/>
      <c r="C220" s="632" t="n"/>
      <c r="D220" s="632" t="n"/>
      <c r="E220" s="632" t="n"/>
      <c r="F220" s="632" t="n"/>
      <c r="G220" s="632" t="n"/>
      <c r="H220" s="632" t="n"/>
      <c r="I220" s="632" t="n"/>
      <c r="J220" s="632" t="n"/>
      <c r="K220" s="632" t="n"/>
      <c r="L220" s="632" t="n"/>
      <c r="M220" s="632" t="n"/>
      <c r="N220" s="632" t="n"/>
      <c r="O220" s="632" t="n"/>
      <c r="P220" s="632" t="n"/>
      <c r="Q220" s="632" t="n"/>
      <c r="R220" s="632" t="n"/>
      <c r="S220" s="632" t="n"/>
      <c r="T220" s="632" t="n"/>
      <c r="U220" s="632" t="n"/>
      <c r="V220" s="632" t="n"/>
      <c r="W220" s="632" t="n"/>
      <c r="X220" s="632" t="n"/>
      <c r="Y220" s="632" t="n"/>
      <c r="Z220" s="632" t="n"/>
    </row>
    <row r="221" ht="12.75" customHeight="1" s="673">
      <c r="A221" s="632" t="n"/>
      <c r="B221" s="632" t="n"/>
      <c r="C221" s="632" t="n"/>
      <c r="D221" s="632" t="n"/>
      <c r="E221" s="632" t="n"/>
      <c r="F221" s="632" t="n"/>
      <c r="G221" s="632" t="n"/>
      <c r="H221" s="632" t="n"/>
      <c r="I221" s="632" t="n"/>
      <c r="J221" s="632" t="n"/>
      <c r="K221" s="632" t="n"/>
      <c r="L221" s="632" t="n"/>
      <c r="M221" s="632" t="n"/>
      <c r="N221" s="632" t="n"/>
      <c r="O221" s="632" t="n"/>
      <c r="P221" s="632" t="n"/>
      <c r="Q221" s="632" t="n"/>
      <c r="R221" s="632" t="n"/>
      <c r="S221" s="632" t="n"/>
      <c r="T221" s="632" t="n"/>
      <c r="U221" s="632" t="n"/>
      <c r="V221" s="632" t="n"/>
      <c r="W221" s="632" t="n"/>
      <c r="X221" s="632" t="n"/>
      <c r="Y221" s="632" t="n"/>
      <c r="Z221" s="632" t="n"/>
    </row>
    <row r="222" ht="12.75" customHeight="1" s="673">
      <c r="A222" s="632" t="n"/>
      <c r="B222" s="632" t="n"/>
      <c r="C222" s="632" t="n"/>
      <c r="D222" s="632" t="n"/>
      <c r="E222" s="632" t="n"/>
      <c r="F222" s="632" t="n"/>
      <c r="G222" s="632" t="n"/>
      <c r="H222" s="632" t="n"/>
      <c r="I222" s="632" t="n"/>
      <c r="J222" s="632" t="n"/>
      <c r="K222" s="632" t="n"/>
      <c r="L222" s="632" t="n"/>
      <c r="M222" s="632" t="n"/>
      <c r="N222" s="632" t="n"/>
      <c r="O222" s="632" t="n"/>
      <c r="P222" s="632" t="n"/>
      <c r="Q222" s="632" t="n"/>
      <c r="R222" s="632" t="n"/>
      <c r="S222" s="632" t="n"/>
      <c r="T222" s="632" t="n"/>
      <c r="U222" s="632" t="n"/>
      <c r="V222" s="632" t="n"/>
      <c r="W222" s="632" t="n"/>
      <c r="X222" s="632" t="n"/>
      <c r="Y222" s="632" t="n"/>
      <c r="Z222" s="632" t="n"/>
    </row>
    <row r="223" ht="12.75" customHeight="1" s="673">
      <c r="A223" s="632" t="n"/>
      <c r="B223" s="632" t="n"/>
      <c r="C223" s="632" t="n"/>
      <c r="D223" s="632" t="n"/>
      <c r="E223" s="632" t="n"/>
      <c r="F223" s="632" t="n"/>
      <c r="G223" s="632" t="n"/>
      <c r="H223" s="632" t="n"/>
      <c r="I223" s="632" t="n"/>
      <c r="J223" s="632" t="n"/>
      <c r="K223" s="632" t="n"/>
      <c r="L223" s="632" t="n"/>
      <c r="M223" s="632" t="n"/>
      <c r="N223" s="632" t="n"/>
      <c r="O223" s="632" t="n"/>
      <c r="P223" s="632" t="n"/>
      <c r="Q223" s="632" t="n"/>
      <c r="R223" s="632" t="n"/>
      <c r="S223" s="632" t="n"/>
      <c r="T223" s="632" t="n"/>
      <c r="U223" s="632" t="n"/>
      <c r="V223" s="632" t="n"/>
      <c r="W223" s="632" t="n"/>
      <c r="X223" s="632" t="n"/>
      <c r="Y223" s="632" t="n"/>
      <c r="Z223" s="632" t="n"/>
    </row>
    <row r="224" ht="12.75" customHeight="1" s="673">
      <c r="A224" s="632" t="n"/>
      <c r="B224" s="632" t="n"/>
      <c r="C224" s="632" t="n"/>
      <c r="D224" s="632" t="n"/>
      <c r="E224" s="632" t="n"/>
      <c r="F224" s="632" t="n"/>
      <c r="G224" s="632" t="n"/>
      <c r="H224" s="632" t="n"/>
      <c r="I224" s="632" t="n"/>
      <c r="J224" s="632" t="n"/>
      <c r="K224" s="632" t="n"/>
      <c r="L224" s="632" t="n"/>
      <c r="M224" s="632" t="n"/>
      <c r="N224" s="632" t="n"/>
      <c r="O224" s="632" t="n"/>
      <c r="P224" s="632" t="n"/>
      <c r="Q224" s="632" t="n"/>
      <c r="R224" s="632" t="n"/>
      <c r="S224" s="632" t="n"/>
      <c r="T224" s="632" t="n"/>
      <c r="U224" s="632" t="n"/>
      <c r="V224" s="632" t="n"/>
      <c r="W224" s="632" t="n"/>
      <c r="X224" s="632" t="n"/>
      <c r="Y224" s="632" t="n"/>
      <c r="Z224" s="632" t="n"/>
    </row>
    <row r="225" ht="12.75" customHeight="1" s="673">
      <c r="A225" s="632" t="n"/>
      <c r="B225" s="632" t="n"/>
      <c r="C225" s="632" t="n"/>
      <c r="D225" s="632" t="n"/>
      <c r="E225" s="632" t="n"/>
      <c r="F225" s="632" t="n"/>
      <c r="G225" s="632" t="n"/>
      <c r="H225" s="632" t="n"/>
      <c r="I225" s="632" t="n"/>
      <c r="J225" s="632" t="n"/>
      <c r="K225" s="632" t="n"/>
      <c r="L225" s="632" t="n"/>
      <c r="M225" s="632" t="n"/>
      <c r="N225" s="632" t="n"/>
      <c r="O225" s="632" t="n"/>
      <c r="P225" s="632" t="n"/>
      <c r="Q225" s="632" t="n"/>
      <c r="R225" s="632" t="n"/>
      <c r="S225" s="632" t="n"/>
      <c r="T225" s="632" t="n"/>
      <c r="U225" s="632" t="n"/>
      <c r="V225" s="632" t="n"/>
      <c r="W225" s="632" t="n"/>
      <c r="X225" s="632" t="n"/>
      <c r="Y225" s="632" t="n"/>
      <c r="Z225" s="632" t="n"/>
    </row>
    <row r="226" ht="12.75" customHeight="1" s="673">
      <c r="A226" s="632" t="n"/>
      <c r="B226" s="632" t="n"/>
      <c r="C226" s="632" t="n"/>
      <c r="D226" s="632" t="n"/>
      <c r="E226" s="632" t="n"/>
      <c r="F226" s="632" t="n"/>
      <c r="G226" s="632" t="n"/>
      <c r="H226" s="632" t="n"/>
      <c r="I226" s="632" t="n"/>
      <c r="J226" s="632" t="n"/>
      <c r="K226" s="632" t="n"/>
      <c r="L226" s="632" t="n"/>
      <c r="M226" s="632" t="n"/>
      <c r="N226" s="632" t="n"/>
      <c r="O226" s="632" t="n"/>
      <c r="P226" s="632" t="n"/>
      <c r="Q226" s="632" t="n"/>
      <c r="R226" s="632" t="n"/>
      <c r="S226" s="632" t="n"/>
      <c r="T226" s="632" t="n"/>
      <c r="U226" s="632" t="n"/>
      <c r="V226" s="632" t="n"/>
      <c r="W226" s="632" t="n"/>
      <c r="X226" s="632" t="n"/>
      <c r="Y226" s="632" t="n"/>
      <c r="Z226" s="632" t="n"/>
    </row>
    <row r="227" ht="15.75" customHeight="1" s="673">
      <c r="A227" s="52" t="n"/>
      <c r="B227" s="52" t="n"/>
      <c r="C227" s="52" t="n"/>
      <c r="D227" s="52" t="n"/>
      <c r="E227" s="52" t="n"/>
      <c r="F227" s="52" t="n"/>
      <c r="G227" s="52" t="n"/>
      <c r="H227" s="52" t="n"/>
      <c r="I227" s="52" t="n"/>
      <c r="J227" s="52" t="n"/>
      <c r="K227" s="52" t="n"/>
      <c r="L227" s="52" t="n"/>
      <c r="M227" s="52" t="n"/>
      <c r="N227" s="52" t="n"/>
      <c r="O227" s="52" t="n"/>
      <c r="P227" s="52" t="n"/>
      <c r="Q227" s="52" t="n"/>
      <c r="R227" s="52" t="n"/>
      <c r="S227" s="52" t="n"/>
      <c r="T227" s="52" t="n"/>
      <c r="U227" s="52" t="n"/>
      <c r="V227" s="52" t="n"/>
      <c r="W227" s="52" t="n"/>
      <c r="X227" s="52" t="n"/>
      <c r="Y227" s="52" t="n"/>
      <c r="Z227" s="52" t="n"/>
    </row>
    <row r="228" ht="15.75" customHeight="1" s="673">
      <c r="A228" s="52" t="n"/>
      <c r="B228" s="52" t="n"/>
      <c r="C228" s="52" t="n"/>
      <c r="D228" s="52" t="n"/>
      <c r="E228" s="52" t="n"/>
      <c r="F228" s="52" t="n"/>
      <c r="G228" s="52" t="n"/>
      <c r="H228" s="52" t="n"/>
      <c r="I228" s="52" t="n"/>
      <c r="J228" s="52" t="n"/>
      <c r="K228" s="52" t="n"/>
      <c r="L228" s="52" t="n"/>
      <c r="M228" s="52" t="n"/>
      <c r="N228" s="52" t="n"/>
      <c r="O228" s="52" t="n"/>
      <c r="P228" s="52" t="n"/>
      <c r="Q228" s="52" t="n"/>
      <c r="R228" s="52" t="n"/>
      <c r="S228" s="52" t="n"/>
      <c r="T228" s="52" t="n"/>
      <c r="U228" s="52" t="n"/>
      <c r="V228" s="52" t="n"/>
      <c r="W228" s="52" t="n"/>
      <c r="X228" s="52" t="n"/>
      <c r="Y228" s="52" t="n"/>
      <c r="Z228" s="52" t="n"/>
    </row>
    <row r="229" ht="15.75" customHeight="1" s="673">
      <c r="A229" s="52" t="n"/>
      <c r="B229" s="52" t="n"/>
      <c r="C229" s="52" t="n"/>
      <c r="D229" s="52" t="n"/>
      <c r="E229" s="52" t="n"/>
      <c r="F229" s="52" t="n"/>
      <c r="G229" s="52" t="n"/>
      <c r="H229" s="52" t="n"/>
      <c r="I229" s="52" t="n"/>
      <c r="J229" s="52" t="n"/>
      <c r="K229" s="52" t="n"/>
      <c r="L229" s="52" t="n"/>
      <c r="M229" s="52" t="n"/>
      <c r="N229" s="52" t="n"/>
      <c r="O229" s="52" t="n"/>
      <c r="P229" s="52" t="n"/>
      <c r="Q229" s="52" t="n"/>
      <c r="R229" s="52" t="n"/>
      <c r="S229" s="52" t="n"/>
      <c r="T229" s="52" t="n"/>
      <c r="U229" s="52" t="n"/>
      <c r="V229" s="52" t="n"/>
      <c r="W229" s="52" t="n"/>
      <c r="X229" s="52" t="n"/>
      <c r="Y229" s="52" t="n"/>
      <c r="Z229" s="52" t="n"/>
    </row>
    <row r="230" ht="15.75" customHeight="1" s="673">
      <c r="A230" s="52" t="n"/>
      <c r="B230" s="52" t="n"/>
      <c r="C230" s="52" t="n"/>
      <c r="D230" s="52" t="n"/>
      <c r="E230" s="52" t="n"/>
      <c r="F230" s="52" t="n"/>
      <c r="G230" s="52" t="n"/>
      <c r="H230" s="52" t="n"/>
      <c r="I230" s="52" t="n"/>
      <c r="J230" s="52" t="n"/>
      <c r="K230" s="52" t="n"/>
      <c r="L230" s="52" t="n"/>
      <c r="M230" s="52" t="n"/>
      <c r="N230" s="52" t="n"/>
      <c r="O230" s="52" t="n"/>
      <c r="P230" s="52" t="n"/>
      <c r="Q230" s="52" t="n"/>
      <c r="R230" s="52" t="n"/>
      <c r="S230" s="52" t="n"/>
      <c r="T230" s="52" t="n"/>
      <c r="U230" s="52" t="n"/>
      <c r="V230" s="52" t="n"/>
      <c r="W230" s="52" t="n"/>
      <c r="X230" s="52" t="n"/>
      <c r="Y230" s="52" t="n"/>
      <c r="Z230" s="52" t="n"/>
    </row>
    <row r="231" ht="15.75" customHeight="1" s="673">
      <c r="A231" s="52" t="n"/>
      <c r="B231" s="52" t="n"/>
      <c r="C231" s="52" t="n"/>
      <c r="D231" s="52" t="n"/>
      <c r="E231" s="52" t="n"/>
      <c r="F231" s="52" t="n"/>
      <c r="G231" s="52" t="n"/>
      <c r="H231" s="52" t="n"/>
      <c r="I231" s="52" t="n"/>
      <c r="J231" s="52" t="n"/>
      <c r="K231" s="52" t="n"/>
      <c r="L231" s="52" t="n"/>
      <c r="M231" s="52" t="n"/>
      <c r="N231" s="52" t="n"/>
      <c r="O231" s="52" t="n"/>
      <c r="P231" s="52" t="n"/>
      <c r="Q231" s="52" t="n"/>
      <c r="R231" s="52" t="n"/>
      <c r="S231" s="52" t="n"/>
      <c r="T231" s="52" t="n"/>
      <c r="U231" s="52" t="n"/>
      <c r="V231" s="52" t="n"/>
      <c r="W231" s="52" t="n"/>
      <c r="X231" s="52" t="n"/>
      <c r="Y231" s="52" t="n"/>
      <c r="Z231" s="52" t="n"/>
    </row>
    <row r="232" ht="15.75" customHeight="1" s="673">
      <c r="A232" s="52" t="n"/>
      <c r="B232" s="52" t="n"/>
      <c r="C232" s="52" t="n"/>
      <c r="D232" s="52" t="n"/>
      <c r="E232" s="52" t="n"/>
      <c r="F232" s="52" t="n"/>
      <c r="G232" s="52" t="n"/>
      <c r="H232" s="52" t="n"/>
      <c r="I232" s="52" t="n"/>
      <c r="J232" s="52" t="n"/>
      <c r="K232" s="52" t="n"/>
      <c r="L232" s="52" t="n"/>
      <c r="M232" s="52" t="n"/>
      <c r="N232" s="52" t="n"/>
      <c r="O232" s="52" t="n"/>
      <c r="P232" s="52" t="n"/>
      <c r="Q232" s="52" t="n"/>
      <c r="R232" s="52" t="n"/>
      <c r="S232" s="52" t="n"/>
      <c r="T232" s="52" t="n"/>
      <c r="U232" s="52" t="n"/>
      <c r="V232" s="52" t="n"/>
      <c r="W232" s="52" t="n"/>
      <c r="X232" s="52" t="n"/>
      <c r="Y232" s="52" t="n"/>
      <c r="Z232" s="52" t="n"/>
    </row>
    <row r="233" ht="15.75" customHeight="1" s="673">
      <c r="A233" s="52" t="n"/>
      <c r="B233" s="52" t="n"/>
      <c r="C233" s="52" t="n"/>
      <c r="D233" s="52" t="n"/>
      <c r="E233" s="52" t="n"/>
      <c r="F233" s="52" t="n"/>
      <c r="G233" s="52" t="n"/>
      <c r="H233" s="52" t="n"/>
      <c r="I233" s="52" t="n"/>
      <c r="J233" s="52" t="n"/>
      <c r="K233" s="52" t="n"/>
      <c r="L233" s="52" t="n"/>
      <c r="M233" s="52" t="n"/>
      <c r="N233" s="52" t="n"/>
      <c r="O233" s="52" t="n"/>
      <c r="P233" s="52" t="n"/>
      <c r="Q233" s="52" t="n"/>
      <c r="R233" s="52" t="n"/>
      <c r="S233" s="52" t="n"/>
      <c r="T233" s="52" t="n"/>
      <c r="U233" s="52" t="n"/>
      <c r="V233" s="52" t="n"/>
      <c r="W233" s="52" t="n"/>
      <c r="X233" s="52" t="n"/>
      <c r="Y233" s="52" t="n"/>
      <c r="Z233" s="52" t="n"/>
    </row>
    <row r="234" ht="15.75" customHeight="1" s="673">
      <c r="A234" s="52" t="n"/>
      <c r="B234" s="52" t="n"/>
      <c r="C234" s="52" t="n"/>
      <c r="D234" s="52" t="n"/>
      <c r="E234" s="52" t="n"/>
      <c r="F234" s="52" t="n"/>
      <c r="G234" s="52" t="n"/>
      <c r="H234" s="52" t="n"/>
      <c r="I234" s="52" t="n"/>
      <c r="J234" s="52" t="n"/>
      <c r="K234" s="52" t="n"/>
      <c r="L234" s="52" t="n"/>
      <c r="M234" s="52" t="n"/>
      <c r="N234" s="52" t="n"/>
      <c r="O234" s="52" t="n"/>
      <c r="P234" s="52" t="n"/>
      <c r="Q234" s="52" t="n"/>
      <c r="R234" s="52" t="n"/>
      <c r="S234" s="52" t="n"/>
      <c r="T234" s="52" t="n"/>
      <c r="U234" s="52" t="n"/>
      <c r="V234" s="52" t="n"/>
      <c r="W234" s="52" t="n"/>
      <c r="X234" s="52" t="n"/>
      <c r="Y234" s="52" t="n"/>
      <c r="Z234" s="52" t="n"/>
    </row>
    <row r="235" ht="15.75" customHeight="1" s="673">
      <c r="A235" s="52" t="n"/>
      <c r="B235" s="52" t="n"/>
      <c r="C235" s="52" t="n"/>
      <c r="D235" s="52" t="n"/>
      <c r="E235" s="52" t="n"/>
      <c r="F235" s="52" t="n"/>
      <c r="G235" s="52" t="n"/>
      <c r="H235" s="52" t="n"/>
      <c r="I235" s="52" t="n"/>
      <c r="J235" s="52" t="n"/>
      <c r="K235" s="52" t="n"/>
      <c r="L235" s="52" t="n"/>
      <c r="M235" s="52" t="n"/>
      <c r="N235" s="52" t="n"/>
      <c r="O235" s="52" t="n"/>
      <c r="P235" s="52" t="n"/>
      <c r="Q235" s="52" t="n"/>
      <c r="R235" s="52" t="n"/>
      <c r="S235" s="52" t="n"/>
      <c r="T235" s="52" t="n"/>
      <c r="U235" s="52" t="n"/>
      <c r="V235" s="52" t="n"/>
      <c r="W235" s="52" t="n"/>
      <c r="X235" s="52" t="n"/>
      <c r="Y235" s="52" t="n"/>
      <c r="Z235" s="52" t="n"/>
    </row>
    <row r="236" ht="15.75" customHeight="1" s="673">
      <c r="A236" s="52" t="n"/>
      <c r="B236" s="52" t="n"/>
      <c r="C236" s="52" t="n"/>
      <c r="D236" s="52" t="n"/>
      <c r="E236" s="52" t="n"/>
      <c r="F236" s="52" t="n"/>
      <c r="G236" s="52" t="n"/>
      <c r="H236" s="52" t="n"/>
      <c r="I236" s="52" t="n"/>
      <c r="J236" s="52" t="n"/>
      <c r="K236" s="52" t="n"/>
      <c r="L236" s="52" t="n"/>
      <c r="M236" s="52" t="n"/>
      <c r="N236" s="52" t="n"/>
      <c r="O236" s="52" t="n"/>
      <c r="P236" s="52" t="n"/>
      <c r="Q236" s="52" t="n"/>
      <c r="R236" s="52" t="n"/>
      <c r="S236" s="52" t="n"/>
      <c r="T236" s="52" t="n"/>
      <c r="U236" s="52" t="n"/>
      <c r="V236" s="52" t="n"/>
      <c r="W236" s="52" t="n"/>
      <c r="X236" s="52" t="n"/>
      <c r="Y236" s="52" t="n"/>
      <c r="Z236" s="52" t="n"/>
    </row>
    <row r="237" ht="15.75" customHeight="1" s="673">
      <c r="A237" s="52" t="n"/>
      <c r="B237" s="52" t="n"/>
      <c r="C237" s="52" t="n"/>
      <c r="D237" s="52" t="n"/>
      <c r="E237" s="52" t="n"/>
      <c r="F237" s="52" t="n"/>
      <c r="G237" s="52" t="n"/>
      <c r="H237" s="52" t="n"/>
      <c r="I237" s="52" t="n"/>
      <c r="J237" s="52" t="n"/>
      <c r="K237" s="52" t="n"/>
      <c r="L237" s="52" t="n"/>
      <c r="M237" s="52" t="n"/>
      <c r="N237" s="52" t="n"/>
      <c r="O237" s="52" t="n"/>
      <c r="P237" s="52" t="n"/>
      <c r="Q237" s="52" t="n"/>
      <c r="R237" s="52" t="n"/>
      <c r="S237" s="52" t="n"/>
      <c r="T237" s="52" t="n"/>
      <c r="U237" s="52" t="n"/>
      <c r="V237" s="52" t="n"/>
      <c r="W237" s="52" t="n"/>
      <c r="X237" s="52" t="n"/>
      <c r="Y237" s="52" t="n"/>
      <c r="Z237" s="52" t="n"/>
    </row>
    <row r="238" ht="15.75" customHeight="1" s="673">
      <c r="A238" s="52" t="n"/>
      <c r="B238" s="52" t="n"/>
      <c r="C238" s="52" t="n"/>
      <c r="D238" s="52" t="n"/>
      <c r="E238" s="52" t="n"/>
      <c r="F238" s="52" t="n"/>
      <c r="G238" s="52" t="n"/>
      <c r="H238" s="52" t="n"/>
      <c r="I238" s="52" t="n"/>
      <c r="J238" s="52" t="n"/>
      <c r="K238" s="52" t="n"/>
      <c r="L238" s="52" t="n"/>
      <c r="M238" s="52" t="n"/>
      <c r="N238" s="52" t="n"/>
      <c r="O238" s="52" t="n"/>
      <c r="P238" s="52" t="n"/>
      <c r="Q238" s="52" t="n"/>
      <c r="R238" s="52" t="n"/>
      <c r="S238" s="52" t="n"/>
      <c r="T238" s="52" t="n"/>
      <c r="U238" s="52" t="n"/>
      <c r="V238" s="52" t="n"/>
      <c r="W238" s="52" t="n"/>
      <c r="X238" s="52" t="n"/>
      <c r="Y238" s="52" t="n"/>
      <c r="Z238" s="52" t="n"/>
    </row>
    <row r="239" ht="15.75" customHeight="1" s="673">
      <c r="A239" s="52" t="n"/>
      <c r="B239" s="52" t="n"/>
      <c r="C239" s="52" t="n"/>
      <c r="D239" s="52" t="n"/>
      <c r="E239" s="52" t="n"/>
      <c r="F239" s="52" t="n"/>
      <c r="G239" s="52" t="n"/>
      <c r="H239" s="52" t="n"/>
      <c r="I239" s="52" t="n"/>
      <c r="J239" s="52" t="n"/>
      <c r="K239" s="52" t="n"/>
      <c r="L239" s="52" t="n"/>
      <c r="M239" s="52" t="n"/>
      <c r="N239" s="52" t="n"/>
      <c r="O239" s="52" t="n"/>
      <c r="P239" s="52" t="n"/>
      <c r="Q239" s="52" t="n"/>
      <c r="R239" s="52" t="n"/>
      <c r="S239" s="52" t="n"/>
      <c r="T239" s="52" t="n"/>
      <c r="U239" s="52" t="n"/>
      <c r="V239" s="52" t="n"/>
      <c r="W239" s="52" t="n"/>
      <c r="X239" s="52" t="n"/>
      <c r="Y239" s="52" t="n"/>
      <c r="Z239" s="52" t="n"/>
    </row>
    <row r="240" ht="15.75" customHeight="1" s="673">
      <c r="A240" s="52" t="n"/>
      <c r="B240" s="52" t="n"/>
      <c r="C240" s="52" t="n"/>
      <c r="D240" s="52" t="n"/>
      <c r="E240" s="52" t="n"/>
      <c r="F240" s="52" t="n"/>
      <c r="G240" s="52" t="n"/>
      <c r="H240" s="52" t="n"/>
      <c r="I240" s="52" t="n"/>
      <c r="J240" s="52" t="n"/>
      <c r="K240" s="52" t="n"/>
      <c r="L240" s="52" t="n"/>
      <c r="M240" s="52" t="n"/>
      <c r="N240" s="52" t="n"/>
      <c r="O240" s="52" t="n"/>
      <c r="P240" s="52" t="n"/>
      <c r="Q240" s="52" t="n"/>
      <c r="R240" s="52" t="n"/>
      <c r="S240" s="52" t="n"/>
      <c r="T240" s="52" t="n"/>
      <c r="U240" s="52" t="n"/>
      <c r="V240" s="52" t="n"/>
      <c r="W240" s="52" t="n"/>
      <c r="X240" s="52" t="n"/>
      <c r="Y240" s="52" t="n"/>
      <c r="Z240" s="52" t="n"/>
    </row>
    <row r="241" ht="15.75" customHeight="1" s="673">
      <c r="A241" s="52" t="n"/>
      <c r="B241" s="52" t="n"/>
      <c r="C241" s="52" t="n"/>
      <c r="D241" s="52" t="n"/>
      <c r="E241" s="52" t="n"/>
      <c r="F241" s="52" t="n"/>
      <c r="G241" s="52" t="n"/>
      <c r="H241" s="52" t="n"/>
      <c r="I241" s="52" t="n"/>
      <c r="J241" s="52" t="n"/>
      <c r="K241" s="52" t="n"/>
      <c r="L241" s="52" t="n"/>
      <c r="M241" s="52" t="n"/>
      <c r="N241" s="52" t="n"/>
      <c r="O241" s="52" t="n"/>
      <c r="P241" s="52" t="n"/>
      <c r="Q241" s="52" t="n"/>
      <c r="R241" s="52" t="n"/>
      <c r="S241" s="52" t="n"/>
      <c r="T241" s="52" t="n"/>
      <c r="U241" s="52" t="n"/>
      <c r="V241" s="52" t="n"/>
      <c r="W241" s="52" t="n"/>
      <c r="X241" s="52" t="n"/>
      <c r="Y241" s="52" t="n"/>
      <c r="Z241" s="52" t="n"/>
    </row>
    <row r="242" ht="15.75" customHeight="1" s="673">
      <c r="A242" s="52" t="n"/>
      <c r="B242" s="52" t="n"/>
      <c r="C242" s="52" t="n"/>
      <c r="D242" s="52" t="n"/>
      <c r="E242" s="52" t="n"/>
      <c r="F242" s="52" t="n"/>
      <c r="G242" s="52" t="n"/>
      <c r="H242" s="52" t="n"/>
      <c r="I242" s="52" t="n"/>
      <c r="J242" s="52" t="n"/>
      <c r="K242" s="52" t="n"/>
      <c r="L242" s="52" t="n"/>
      <c r="M242" s="52" t="n"/>
      <c r="N242" s="52" t="n"/>
      <c r="O242" s="52" t="n"/>
      <c r="P242" s="52" t="n"/>
      <c r="Q242" s="52" t="n"/>
      <c r="R242" s="52" t="n"/>
      <c r="S242" s="52" t="n"/>
      <c r="T242" s="52" t="n"/>
      <c r="U242" s="52" t="n"/>
      <c r="V242" s="52" t="n"/>
      <c r="W242" s="52" t="n"/>
      <c r="X242" s="52" t="n"/>
      <c r="Y242" s="52" t="n"/>
      <c r="Z242" s="52" t="n"/>
    </row>
    <row r="243" ht="15.75" customHeight="1" s="673">
      <c r="A243" s="52" t="n"/>
      <c r="B243" s="52" t="n"/>
      <c r="C243" s="52" t="n"/>
      <c r="D243" s="52" t="n"/>
      <c r="E243" s="52" t="n"/>
      <c r="F243" s="52" t="n"/>
      <c r="G243" s="52" t="n"/>
      <c r="H243" s="52" t="n"/>
      <c r="I243" s="52" t="n"/>
      <c r="J243" s="52" t="n"/>
      <c r="K243" s="52" t="n"/>
      <c r="L243" s="52" t="n"/>
      <c r="M243" s="52" t="n"/>
      <c r="N243" s="52" t="n"/>
      <c r="O243" s="52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2" t="n"/>
    </row>
    <row r="244" ht="15.75" customHeight="1" s="673">
      <c r="A244" s="52" t="n"/>
      <c r="B244" s="52" t="n"/>
      <c r="C244" s="52" t="n"/>
      <c r="D244" s="52" t="n"/>
      <c r="E244" s="52" t="n"/>
      <c r="F244" s="52" t="n"/>
      <c r="G244" s="52" t="n"/>
      <c r="H244" s="52" t="n"/>
      <c r="I244" s="52" t="n"/>
      <c r="J244" s="52" t="n"/>
      <c r="K244" s="52" t="n"/>
      <c r="L244" s="52" t="n"/>
      <c r="M244" s="52" t="n"/>
      <c r="N244" s="52" t="n"/>
      <c r="O244" s="52" t="n"/>
      <c r="P244" s="52" t="n"/>
      <c r="Q244" s="52" t="n"/>
      <c r="R244" s="52" t="n"/>
      <c r="S244" s="52" t="n"/>
      <c r="T244" s="52" t="n"/>
      <c r="U244" s="52" t="n"/>
      <c r="V244" s="52" t="n"/>
      <c r="W244" s="52" t="n"/>
      <c r="X244" s="52" t="n"/>
      <c r="Y244" s="52" t="n"/>
      <c r="Z244" s="52" t="n"/>
    </row>
    <row r="245" ht="15.75" customHeight="1" s="673">
      <c r="A245" s="52" t="n"/>
      <c r="B245" s="52" t="n"/>
      <c r="C245" s="52" t="n"/>
      <c r="D245" s="52" t="n"/>
      <c r="E245" s="52" t="n"/>
      <c r="F245" s="52" t="n"/>
      <c r="G245" s="52" t="n"/>
      <c r="H245" s="52" t="n"/>
      <c r="I245" s="52" t="n"/>
      <c r="J245" s="52" t="n"/>
      <c r="K245" s="52" t="n"/>
      <c r="L245" s="52" t="n"/>
      <c r="M245" s="52" t="n"/>
      <c r="N245" s="52" t="n"/>
      <c r="O245" s="52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2" t="n"/>
    </row>
    <row r="246" ht="15.75" customHeight="1" s="673">
      <c r="A246" s="52" t="n"/>
      <c r="B246" s="52" t="n"/>
      <c r="C246" s="52" t="n"/>
      <c r="D246" s="52" t="n"/>
      <c r="E246" s="52" t="n"/>
      <c r="F246" s="52" t="n"/>
      <c r="G246" s="52" t="n"/>
      <c r="H246" s="52" t="n"/>
      <c r="I246" s="52" t="n"/>
      <c r="J246" s="52" t="n"/>
      <c r="K246" s="52" t="n"/>
      <c r="L246" s="52" t="n"/>
      <c r="M246" s="52" t="n"/>
      <c r="N246" s="52" t="n"/>
      <c r="O246" s="52" t="n"/>
      <c r="P246" s="52" t="n"/>
      <c r="Q246" s="52" t="n"/>
      <c r="R246" s="52" t="n"/>
      <c r="S246" s="52" t="n"/>
      <c r="T246" s="52" t="n"/>
      <c r="U246" s="52" t="n"/>
      <c r="V246" s="52" t="n"/>
      <c r="W246" s="52" t="n"/>
      <c r="X246" s="52" t="n"/>
      <c r="Y246" s="52" t="n"/>
      <c r="Z246" s="52" t="n"/>
    </row>
    <row r="247" ht="15.75" customHeight="1" s="673">
      <c r="A247" s="52" t="n"/>
      <c r="B247" s="52" t="n"/>
      <c r="C247" s="52" t="n"/>
      <c r="D247" s="52" t="n"/>
      <c r="E247" s="52" t="n"/>
      <c r="F247" s="52" t="n"/>
      <c r="G247" s="52" t="n"/>
      <c r="H247" s="52" t="n"/>
      <c r="I247" s="52" t="n"/>
      <c r="J247" s="52" t="n"/>
      <c r="K247" s="52" t="n"/>
      <c r="L247" s="52" t="n"/>
      <c r="M247" s="52" t="n"/>
      <c r="N247" s="52" t="n"/>
      <c r="O247" s="52" t="n"/>
      <c r="P247" s="52" t="n"/>
      <c r="Q247" s="52" t="n"/>
      <c r="R247" s="52" t="n"/>
      <c r="S247" s="52" t="n"/>
      <c r="T247" s="52" t="n"/>
      <c r="U247" s="52" t="n"/>
      <c r="V247" s="52" t="n"/>
      <c r="W247" s="52" t="n"/>
      <c r="X247" s="52" t="n"/>
      <c r="Y247" s="52" t="n"/>
      <c r="Z247" s="52" t="n"/>
    </row>
    <row r="248" ht="15.75" customHeight="1" s="673">
      <c r="A248" s="52" t="n"/>
      <c r="B248" s="52" t="n"/>
      <c r="C248" s="52" t="n"/>
      <c r="D248" s="52" t="n"/>
      <c r="E248" s="52" t="n"/>
      <c r="F248" s="52" t="n"/>
      <c r="G248" s="52" t="n"/>
      <c r="H248" s="52" t="n"/>
      <c r="I248" s="52" t="n"/>
      <c r="J248" s="52" t="n"/>
      <c r="K248" s="52" t="n"/>
      <c r="L248" s="52" t="n"/>
      <c r="M248" s="52" t="n"/>
      <c r="N248" s="52" t="n"/>
      <c r="O248" s="52" t="n"/>
      <c r="P248" s="52" t="n"/>
      <c r="Q248" s="52" t="n"/>
      <c r="R248" s="52" t="n"/>
      <c r="S248" s="52" t="n"/>
      <c r="T248" s="52" t="n"/>
      <c r="U248" s="52" t="n"/>
      <c r="V248" s="52" t="n"/>
      <c r="W248" s="52" t="n"/>
      <c r="X248" s="52" t="n"/>
      <c r="Y248" s="52" t="n"/>
      <c r="Z248" s="52" t="n"/>
    </row>
    <row r="249" ht="15.75" customHeight="1" s="673">
      <c r="A249" s="52" t="n"/>
      <c r="B249" s="52" t="n"/>
      <c r="C249" s="52" t="n"/>
      <c r="D249" s="52" t="n"/>
      <c r="E249" s="52" t="n"/>
      <c r="F249" s="52" t="n"/>
      <c r="G249" s="52" t="n"/>
      <c r="H249" s="52" t="n"/>
      <c r="I249" s="52" t="n"/>
      <c r="J249" s="52" t="n"/>
      <c r="K249" s="52" t="n"/>
      <c r="L249" s="52" t="n"/>
      <c r="M249" s="52" t="n"/>
      <c r="N249" s="52" t="n"/>
      <c r="O249" s="52" t="n"/>
      <c r="P249" s="52" t="n"/>
      <c r="Q249" s="52" t="n"/>
      <c r="R249" s="52" t="n"/>
      <c r="S249" s="52" t="n"/>
      <c r="T249" s="52" t="n"/>
      <c r="U249" s="52" t="n"/>
      <c r="V249" s="52" t="n"/>
      <c r="W249" s="52" t="n"/>
      <c r="X249" s="52" t="n"/>
      <c r="Y249" s="52" t="n"/>
      <c r="Z249" s="52" t="n"/>
    </row>
    <row r="250" ht="15.75" customHeight="1" s="673">
      <c r="A250" s="52" t="n"/>
      <c r="B250" s="52" t="n"/>
      <c r="C250" s="52" t="n"/>
      <c r="D250" s="52" t="n"/>
      <c r="E250" s="52" t="n"/>
      <c r="F250" s="52" t="n"/>
      <c r="G250" s="52" t="n"/>
      <c r="H250" s="52" t="n"/>
      <c r="I250" s="52" t="n"/>
      <c r="J250" s="52" t="n"/>
      <c r="K250" s="52" t="n"/>
      <c r="L250" s="52" t="n"/>
      <c r="M250" s="52" t="n"/>
      <c r="N250" s="52" t="n"/>
      <c r="O250" s="52" t="n"/>
      <c r="P250" s="52" t="n"/>
      <c r="Q250" s="52" t="n"/>
      <c r="R250" s="52" t="n"/>
      <c r="S250" s="52" t="n"/>
      <c r="T250" s="52" t="n"/>
      <c r="U250" s="52" t="n"/>
      <c r="V250" s="52" t="n"/>
      <c r="W250" s="52" t="n"/>
      <c r="X250" s="52" t="n"/>
      <c r="Y250" s="52" t="n"/>
      <c r="Z250" s="52" t="n"/>
    </row>
    <row r="251" ht="15.75" customHeight="1" s="673">
      <c r="A251" s="52" t="n"/>
      <c r="B251" s="52" t="n"/>
      <c r="C251" s="52" t="n"/>
      <c r="D251" s="52" t="n"/>
      <c r="E251" s="52" t="n"/>
      <c r="F251" s="52" t="n"/>
      <c r="G251" s="52" t="n"/>
      <c r="H251" s="52" t="n"/>
      <c r="I251" s="52" t="n"/>
      <c r="J251" s="52" t="n"/>
      <c r="K251" s="52" t="n"/>
      <c r="L251" s="52" t="n"/>
      <c r="M251" s="52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  <c r="X251" s="52" t="n"/>
      <c r="Y251" s="52" t="n"/>
      <c r="Z251" s="52" t="n"/>
    </row>
    <row r="252" ht="15.75" customHeight="1" s="673">
      <c r="A252" s="52" t="n"/>
      <c r="B252" s="52" t="n"/>
      <c r="C252" s="52" t="n"/>
      <c r="D252" s="52" t="n"/>
      <c r="E252" s="52" t="n"/>
      <c r="F252" s="52" t="n"/>
      <c r="G252" s="52" t="n"/>
      <c r="H252" s="52" t="n"/>
      <c r="I252" s="52" t="n"/>
      <c r="J252" s="52" t="n"/>
      <c r="K252" s="52" t="n"/>
      <c r="L252" s="52" t="n"/>
      <c r="M252" s="52" t="n"/>
      <c r="N252" s="52" t="n"/>
      <c r="O252" s="52" t="n"/>
      <c r="P252" s="52" t="n"/>
      <c r="Q252" s="52" t="n"/>
      <c r="R252" s="52" t="n"/>
      <c r="S252" s="52" t="n"/>
      <c r="T252" s="52" t="n"/>
      <c r="U252" s="52" t="n"/>
      <c r="V252" s="52" t="n"/>
      <c r="W252" s="52" t="n"/>
      <c r="X252" s="52" t="n"/>
      <c r="Y252" s="52" t="n"/>
      <c r="Z252" s="52" t="n"/>
    </row>
    <row r="253" ht="15.75" customHeight="1" s="673">
      <c r="A253" s="52" t="n"/>
      <c r="B253" s="52" t="n"/>
      <c r="C253" s="52" t="n"/>
      <c r="D253" s="52" t="n"/>
      <c r="E253" s="52" t="n"/>
      <c r="F253" s="52" t="n"/>
      <c r="G253" s="52" t="n"/>
      <c r="H253" s="52" t="n"/>
      <c r="I253" s="52" t="n"/>
      <c r="J253" s="52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  <c r="X253" s="52" t="n"/>
      <c r="Y253" s="52" t="n"/>
      <c r="Z253" s="52" t="n"/>
    </row>
    <row r="254" ht="15.75" customHeight="1" s="673">
      <c r="A254" s="52" t="n"/>
      <c r="B254" s="52" t="n"/>
      <c r="C254" s="52" t="n"/>
      <c r="D254" s="52" t="n"/>
      <c r="E254" s="52" t="n"/>
      <c r="F254" s="52" t="n"/>
      <c r="G254" s="52" t="n"/>
      <c r="H254" s="52" t="n"/>
      <c r="I254" s="52" t="n"/>
      <c r="J254" s="52" t="n"/>
      <c r="K254" s="52" t="n"/>
      <c r="L254" s="52" t="n"/>
      <c r="M254" s="52" t="n"/>
      <c r="N254" s="52" t="n"/>
      <c r="O254" s="52" t="n"/>
      <c r="P254" s="52" t="n"/>
      <c r="Q254" s="52" t="n"/>
      <c r="R254" s="52" t="n"/>
      <c r="S254" s="52" t="n"/>
      <c r="T254" s="52" t="n"/>
      <c r="U254" s="52" t="n"/>
      <c r="V254" s="52" t="n"/>
      <c r="W254" s="52" t="n"/>
      <c r="X254" s="52" t="n"/>
      <c r="Y254" s="52" t="n"/>
      <c r="Z254" s="52" t="n"/>
    </row>
    <row r="255" ht="15.75" customHeight="1" s="673">
      <c r="A255" s="52" t="n"/>
      <c r="B255" s="52" t="n"/>
      <c r="C255" s="52" t="n"/>
      <c r="D255" s="52" t="n"/>
      <c r="E255" s="52" t="n"/>
      <c r="F255" s="52" t="n"/>
      <c r="G255" s="52" t="n"/>
      <c r="H255" s="52" t="n"/>
      <c r="I255" s="52" t="n"/>
      <c r="J255" s="52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52" t="n"/>
      <c r="T255" s="52" t="n"/>
      <c r="U255" s="52" t="n"/>
      <c r="V255" s="52" t="n"/>
      <c r="W255" s="52" t="n"/>
      <c r="X255" s="52" t="n"/>
      <c r="Y255" s="52" t="n"/>
      <c r="Z255" s="52" t="n"/>
    </row>
    <row r="256" ht="15.75" customHeight="1" s="673">
      <c r="A256" s="52" t="n"/>
      <c r="B256" s="52" t="n"/>
      <c r="C256" s="52" t="n"/>
      <c r="D256" s="52" t="n"/>
      <c r="E256" s="52" t="n"/>
      <c r="F256" s="52" t="n"/>
      <c r="G256" s="52" t="n"/>
      <c r="H256" s="52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  <c r="X256" s="52" t="n"/>
      <c r="Y256" s="52" t="n"/>
      <c r="Z256" s="52" t="n"/>
    </row>
    <row r="257" ht="15.75" customHeight="1" s="673">
      <c r="A257" s="52" t="n"/>
      <c r="B257" s="52" t="n"/>
      <c r="C257" s="52" t="n"/>
      <c r="D257" s="52" t="n"/>
      <c r="E257" s="52" t="n"/>
      <c r="F257" s="52" t="n"/>
      <c r="G257" s="52" t="n"/>
      <c r="H257" s="52" t="n"/>
      <c r="I257" s="52" t="n"/>
      <c r="J257" s="52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  <c r="X257" s="52" t="n"/>
      <c r="Y257" s="52" t="n"/>
      <c r="Z257" s="52" t="n"/>
    </row>
    <row r="258" ht="15.75" customHeight="1" s="673">
      <c r="A258" s="52" t="n"/>
      <c r="B258" s="52" t="n"/>
      <c r="C258" s="52" t="n"/>
      <c r="D258" s="52" t="n"/>
      <c r="E258" s="52" t="n"/>
      <c r="F258" s="52" t="n"/>
      <c r="G258" s="52" t="n"/>
      <c r="H258" s="52" t="n"/>
      <c r="I258" s="52" t="n"/>
      <c r="J258" s="52" t="n"/>
      <c r="K258" s="52" t="n"/>
      <c r="L258" s="52" t="n"/>
      <c r="M258" s="52" t="n"/>
      <c r="N258" s="52" t="n"/>
      <c r="O258" s="52" t="n"/>
      <c r="P258" s="52" t="n"/>
      <c r="Q258" s="52" t="n"/>
      <c r="R258" s="52" t="n"/>
      <c r="S258" s="52" t="n"/>
      <c r="T258" s="52" t="n"/>
      <c r="U258" s="52" t="n"/>
      <c r="V258" s="52" t="n"/>
      <c r="W258" s="52" t="n"/>
      <c r="X258" s="52" t="n"/>
      <c r="Y258" s="52" t="n"/>
      <c r="Z258" s="52" t="n"/>
    </row>
    <row r="259" ht="15.75" customHeight="1" s="673">
      <c r="A259" s="52" t="n"/>
      <c r="B259" s="52" t="n"/>
      <c r="C259" s="52" t="n"/>
      <c r="D259" s="52" t="n"/>
      <c r="E259" s="52" t="n"/>
      <c r="F259" s="52" t="n"/>
      <c r="G259" s="52" t="n"/>
      <c r="H259" s="52" t="n"/>
      <c r="I259" s="52" t="n"/>
      <c r="J259" s="52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  <c r="X259" s="52" t="n"/>
      <c r="Y259" s="52" t="n"/>
      <c r="Z259" s="52" t="n"/>
    </row>
    <row r="260" ht="15.75" customHeight="1" s="673">
      <c r="A260" s="52" t="n"/>
      <c r="B260" s="52" t="n"/>
      <c r="C260" s="52" t="n"/>
      <c r="D260" s="52" t="n"/>
      <c r="E260" s="52" t="n"/>
      <c r="F260" s="52" t="n"/>
      <c r="G260" s="52" t="n"/>
      <c r="H260" s="52" t="n"/>
      <c r="I260" s="52" t="n"/>
      <c r="J260" s="52" t="n"/>
      <c r="K260" s="52" t="n"/>
      <c r="L260" s="52" t="n"/>
      <c r="M260" s="52" t="n"/>
      <c r="N260" s="52" t="n"/>
      <c r="O260" s="52" t="n"/>
      <c r="P260" s="52" t="n"/>
      <c r="Q260" s="52" t="n"/>
      <c r="R260" s="52" t="n"/>
      <c r="S260" s="52" t="n"/>
      <c r="T260" s="52" t="n"/>
      <c r="U260" s="52" t="n"/>
      <c r="V260" s="52" t="n"/>
      <c r="W260" s="52" t="n"/>
      <c r="X260" s="52" t="n"/>
      <c r="Y260" s="52" t="n"/>
      <c r="Z260" s="52" t="n"/>
    </row>
    <row r="261" ht="15.75" customHeight="1" s="673">
      <c r="A261" s="52" t="n"/>
      <c r="B261" s="52" t="n"/>
      <c r="C261" s="52" t="n"/>
      <c r="D261" s="52" t="n"/>
      <c r="E261" s="52" t="n"/>
      <c r="F261" s="52" t="n"/>
      <c r="G261" s="52" t="n"/>
      <c r="H261" s="52" t="n"/>
      <c r="I261" s="52" t="n"/>
      <c r="J261" s="52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  <c r="X261" s="52" t="n"/>
      <c r="Y261" s="52" t="n"/>
      <c r="Z261" s="52" t="n"/>
    </row>
    <row r="262" ht="15.75" customHeight="1" s="673">
      <c r="A262" s="52" t="n"/>
      <c r="B262" s="52" t="n"/>
      <c r="C262" s="52" t="n"/>
      <c r="D262" s="52" t="n"/>
      <c r="E262" s="52" t="n"/>
      <c r="F262" s="52" t="n"/>
      <c r="G262" s="52" t="n"/>
      <c r="H262" s="52" t="n"/>
      <c r="I262" s="52" t="n"/>
      <c r="J262" s="52" t="n"/>
      <c r="K262" s="52" t="n"/>
      <c r="L262" s="52" t="n"/>
      <c r="M262" s="52" t="n"/>
      <c r="N262" s="52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  <c r="X262" s="52" t="n"/>
      <c r="Y262" s="52" t="n"/>
      <c r="Z262" s="52" t="n"/>
    </row>
    <row r="263" ht="15.75" customHeight="1" s="673">
      <c r="A263" s="52" t="n"/>
      <c r="B263" s="52" t="n"/>
      <c r="C263" s="52" t="n"/>
      <c r="D263" s="52" t="n"/>
      <c r="E263" s="52" t="n"/>
      <c r="F263" s="52" t="n"/>
      <c r="G263" s="52" t="n"/>
      <c r="H263" s="52" t="n"/>
      <c r="I263" s="52" t="n"/>
      <c r="J263" s="52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  <c r="X263" s="52" t="n"/>
      <c r="Y263" s="52" t="n"/>
      <c r="Z263" s="52" t="n"/>
    </row>
    <row r="264" ht="15.75" customHeight="1" s="673">
      <c r="A264" s="52" t="n"/>
      <c r="B264" s="52" t="n"/>
      <c r="C264" s="52" t="n"/>
      <c r="D264" s="52" t="n"/>
      <c r="E264" s="52" t="n"/>
      <c r="F264" s="52" t="n"/>
      <c r="G264" s="52" t="n"/>
      <c r="H264" s="52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  <c r="X264" s="52" t="n"/>
      <c r="Y264" s="52" t="n"/>
      <c r="Z264" s="52" t="n"/>
    </row>
    <row r="265" ht="15.75" customHeight="1" s="673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  <c r="Z265" s="52" t="n"/>
    </row>
    <row r="266" ht="15.75" customHeight="1" s="673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</row>
    <row r="267" ht="15.75" customHeight="1" s="673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</row>
    <row r="268" ht="15.75" customHeight="1" s="673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</row>
    <row r="269" ht="15.75" customHeight="1" s="673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</row>
    <row r="270" ht="15.75" customHeight="1" s="673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</row>
    <row r="271" ht="15.75" customHeight="1" s="673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</row>
    <row r="272" ht="15.75" customHeight="1" s="673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</row>
    <row r="273" ht="15.75" customHeight="1" s="673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</row>
    <row r="274" ht="15.75" customHeight="1" s="673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</row>
    <row r="275" ht="15.75" customHeight="1" s="673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</row>
    <row r="276" ht="15.75" customHeight="1" s="673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</row>
    <row r="277" ht="15.75" customHeight="1" s="673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</row>
    <row r="278" ht="15.75" customHeight="1" s="673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</row>
    <row r="279" ht="15.75" customHeight="1" s="673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</row>
    <row r="280" ht="15.75" customHeight="1" s="673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</row>
    <row r="281" ht="15.75" customHeight="1" s="673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</row>
    <row r="282" ht="15.75" customHeight="1" s="673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</row>
    <row r="283" ht="15.75" customHeight="1" s="673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</row>
    <row r="284" ht="15.75" customHeight="1" s="673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</row>
    <row r="285" ht="15.75" customHeight="1" s="673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</row>
    <row r="286" ht="15.75" customHeight="1" s="673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</row>
    <row r="287" ht="15.75" customHeight="1" s="673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</row>
    <row r="288" ht="15.75" customHeight="1" s="673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</row>
    <row r="289" ht="15.75" customHeight="1" s="673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</row>
    <row r="290" ht="15.75" customHeight="1" s="673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</row>
    <row r="291" ht="15.75" customHeight="1" s="673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</row>
    <row r="292" ht="15.75" customHeight="1" s="673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</row>
    <row r="293" ht="15.75" customHeight="1" s="673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</row>
    <row r="294" ht="15.75" customHeight="1" s="673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</row>
    <row r="295" ht="15.75" customHeight="1" s="673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</row>
    <row r="296" ht="15.75" customHeight="1" s="673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</row>
    <row r="297" ht="15.75" customHeight="1" s="673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</row>
    <row r="298" ht="15.75" customHeight="1" s="673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</row>
    <row r="299" ht="15.75" customHeight="1" s="673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</row>
    <row r="300" ht="15.75" customHeight="1" s="673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</row>
    <row r="301" ht="15.75" customHeight="1" s="673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</row>
    <row r="302" ht="15.75" customHeight="1" s="673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</row>
    <row r="303" ht="15.75" customHeight="1" s="673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</row>
    <row r="304" ht="15.75" customHeight="1" s="673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</row>
    <row r="305" ht="15.75" customHeight="1" s="673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</row>
    <row r="306" ht="15.75" customHeight="1" s="673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</row>
    <row r="307" ht="15.75" customHeight="1" s="673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</row>
    <row r="308" ht="15.75" customHeight="1" s="673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</row>
    <row r="309" ht="15.75" customHeight="1" s="673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</row>
    <row r="310" ht="15.75" customHeight="1" s="673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</row>
    <row r="311" ht="15.75" customHeight="1" s="673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</row>
    <row r="312" ht="15.75" customHeight="1" s="673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</row>
    <row r="313" ht="15.75" customHeight="1" s="673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t="15.75" customHeight="1" s="673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t="15.75" customHeight="1" s="673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t="15.75" customHeight="1" s="673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t="15.75" customHeight="1" s="673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t="15.75" customHeight="1" s="673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t="15.75" customHeight="1" s="673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t="15.75" customHeight="1" s="673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t="15.75" customHeight="1" s="673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</row>
    <row r="322" ht="15.75" customHeight="1" s="673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673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673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673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673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673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</row>
    <row r="328" ht="15.75" customHeight="1" s="673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</row>
    <row r="329" ht="15.75" customHeight="1" s="673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</row>
    <row r="330" ht="15.75" customHeight="1" s="673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</row>
    <row r="331" ht="15.75" customHeight="1" s="673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</row>
    <row r="332" ht="15.75" customHeight="1" s="673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</row>
    <row r="333" ht="15.75" customHeight="1" s="673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</row>
    <row r="334" ht="15.75" customHeight="1" s="673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</row>
    <row r="335" ht="15.75" customHeight="1" s="673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</row>
    <row r="336" ht="15.75" customHeight="1" s="673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</row>
    <row r="337" ht="15.75" customHeight="1" s="673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</row>
    <row r="338" ht="15.75" customHeight="1" s="673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</row>
    <row r="339" ht="15.75" customHeight="1" s="673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</row>
    <row r="340" ht="15.75" customHeight="1" s="673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</row>
    <row r="341" ht="15.75" customHeight="1" s="673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</row>
    <row r="342" ht="15.75" customHeight="1" s="673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</row>
    <row r="343" ht="15.75" customHeight="1" s="673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</row>
    <row r="344" ht="15.75" customHeight="1" s="673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</row>
    <row r="345" ht="15.75" customHeight="1" s="673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</row>
    <row r="346" ht="15.75" customHeight="1" s="673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</row>
    <row r="347" ht="15.75" customHeight="1" s="673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</row>
    <row r="348" ht="15.75" customHeight="1" s="673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</row>
    <row r="349" ht="15.75" customHeight="1" s="673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</row>
    <row r="350" ht="15.75" customHeight="1" s="673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</row>
    <row r="351" ht="15.75" customHeight="1" s="673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</row>
    <row r="352" ht="15.75" customHeight="1" s="673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</row>
    <row r="353" ht="15.75" customHeight="1" s="673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</row>
    <row r="354" ht="15.75" customHeight="1" s="673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</row>
    <row r="355" ht="15.75" customHeight="1" s="673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</row>
    <row r="356" ht="15.75" customHeight="1" s="673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</row>
    <row r="357" ht="15.75" customHeight="1" s="673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</row>
    <row r="358" ht="15.75" customHeight="1" s="673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</row>
    <row r="359" ht="15.75" customHeight="1" s="673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</row>
    <row r="360" ht="15.75" customHeight="1" s="673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</row>
    <row r="361" ht="15.75" customHeight="1" s="673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</row>
    <row r="362" ht="15.75" customHeight="1" s="673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</row>
    <row r="363" ht="15.75" customHeight="1" s="673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</row>
    <row r="364" ht="15.75" customHeight="1" s="673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</row>
    <row r="365" ht="15.75" customHeight="1" s="673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</row>
    <row r="366" ht="15.75" customHeight="1" s="673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</row>
    <row r="367" ht="15.75" customHeight="1" s="673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</row>
    <row r="368" ht="15.75" customHeight="1" s="673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</row>
    <row r="369" ht="15.75" customHeight="1" s="673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</row>
    <row r="370" ht="15.75" customHeight="1" s="673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</row>
    <row r="371" ht="15.75" customHeight="1" s="673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</row>
    <row r="372" ht="15.75" customHeight="1" s="673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</row>
    <row r="373" ht="15.75" customHeight="1" s="673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</row>
    <row r="374" ht="15.75" customHeight="1" s="673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</row>
    <row r="375" ht="15.75" customHeight="1" s="673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</row>
    <row r="376" ht="15.75" customHeight="1" s="673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</row>
    <row r="377" ht="15.75" customHeight="1" s="673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</row>
    <row r="378" ht="15.75" customHeight="1" s="673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</row>
    <row r="379" ht="15.75" customHeight="1" s="673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</row>
    <row r="380" ht="15.75" customHeight="1" s="673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</row>
    <row r="381" ht="15.75" customHeight="1" s="673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</row>
    <row r="382" ht="15.75" customHeight="1" s="673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</row>
    <row r="383" ht="15.75" customHeight="1" s="673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</row>
    <row r="384" ht="15.75" customHeight="1" s="673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</row>
    <row r="385" ht="15.75" customHeight="1" s="673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</row>
    <row r="386" ht="15.75" customHeight="1" s="673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673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673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673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673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673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673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</row>
    <row r="393" ht="15.75" customHeight="1" s="673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673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673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673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673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673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673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673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673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673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673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673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673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673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673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673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673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673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673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673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 ht="15.75" customHeight="1" s="673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 ht="15.75" customHeight="1" s="673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</row>
    <row r="415" ht="15.75" customHeight="1" s="673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</row>
    <row r="416" ht="15.75" customHeight="1" s="673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</row>
    <row r="417" ht="15.75" customHeight="1" s="673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</row>
    <row r="418" ht="15.75" customHeight="1" s="673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</row>
    <row r="419" ht="15.75" customHeight="1" s="673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673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673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673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673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673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673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673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673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673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673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673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673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</row>
    <row r="432" ht="15.75" customHeight="1" s="673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</row>
    <row r="433" ht="15.75" customHeight="1" s="673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</row>
    <row r="434" ht="15.75" customHeight="1" s="673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</row>
    <row r="435" ht="15.75" customHeight="1" s="673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</row>
    <row r="436" ht="15.75" customHeight="1" s="673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</row>
    <row r="437" ht="15.75" customHeight="1" s="673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</row>
    <row r="438" ht="15.75" customHeight="1" s="673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</row>
    <row r="439" ht="15.75" customHeight="1" s="673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</row>
    <row r="440" ht="15.75" customHeight="1" s="673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</row>
    <row r="441" ht="15.75" customHeight="1" s="673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</row>
    <row r="442" ht="15.75" customHeight="1" s="673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</row>
    <row r="443" ht="15.75" customHeight="1" s="673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</row>
    <row r="444" ht="15.75" customHeight="1" s="673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</row>
    <row r="445" ht="15.75" customHeight="1" s="673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</row>
    <row r="446" ht="15.75" customHeight="1" s="673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</row>
    <row r="447" ht="15.75" customHeight="1" s="673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</row>
    <row r="448" ht="15.75" customHeight="1" s="673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</row>
    <row r="449" ht="15.75" customHeight="1" s="673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</row>
    <row r="450" ht="15.75" customHeight="1" s="673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</row>
    <row r="451" ht="15.75" customHeight="1" s="673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</row>
    <row r="452" ht="15.75" customHeight="1" s="673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</row>
    <row r="453" ht="15.75" customHeight="1" s="673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</row>
    <row r="454" ht="15.75" customHeight="1" s="673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</row>
    <row r="455" ht="15.75" customHeight="1" s="673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</row>
    <row r="456" ht="15.75" customHeight="1" s="673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</row>
    <row r="457" ht="15.75" customHeight="1" s="673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</row>
    <row r="458" ht="15.75" customHeight="1" s="673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</row>
    <row r="459" ht="15.75" customHeight="1" s="673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</row>
    <row r="460" ht="15.75" customHeight="1" s="673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673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</row>
    <row r="462" ht="15.75" customHeight="1" s="673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</row>
    <row r="463" ht="15.75" customHeight="1" s="673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673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</row>
    <row r="465" ht="15.75" customHeight="1" s="673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</row>
    <row r="466" ht="15.75" customHeight="1" s="673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</row>
    <row r="467" ht="15.75" customHeight="1" s="673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</row>
    <row r="468" ht="15.75" customHeight="1" s="673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</row>
    <row r="469" ht="15.75" customHeight="1" s="673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</row>
    <row r="470" ht="15.75" customHeight="1" s="673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</row>
    <row r="471" ht="15.75" customHeight="1" s="673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</row>
    <row r="472" ht="15.75" customHeight="1" s="673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</row>
    <row r="473" ht="15.75" customHeight="1" s="673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</row>
    <row r="474" ht="15.75" customHeight="1" s="673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</row>
    <row r="475" ht="15.75" customHeight="1" s="673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</row>
    <row r="476" ht="15.75" customHeight="1" s="673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</row>
    <row r="477" ht="15.75" customHeight="1" s="673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</row>
    <row r="478" ht="15.75" customHeight="1" s="673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</row>
    <row r="479" ht="15.75" customHeight="1" s="673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673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673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673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</row>
    <row r="483" ht="15.75" customHeight="1" s="673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</row>
    <row r="484" ht="15.75" customHeight="1" s="673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673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</row>
    <row r="486" ht="15.75" customHeight="1" s="673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</row>
    <row r="487" ht="15.75" customHeight="1" s="673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</row>
    <row r="488" ht="15.75" customHeight="1" s="673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</row>
    <row r="489" ht="15.75" customHeight="1" s="673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</row>
    <row r="490" ht="15.75" customHeight="1" s="673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</row>
    <row r="491" ht="15.75" customHeight="1" s="673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</row>
    <row r="492" ht="15.75" customHeight="1" s="673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</row>
    <row r="493" ht="15.75" customHeight="1" s="673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</row>
    <row r="494" ht="15.75" customHeight="1" s="673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</row>
    <row r="495" ht="15.75" customHeight="1" s="673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</row>
    <row r="496" ht="15.75" customHeight="1" s="673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</row>
    <row r="497" ht="15.75" customHeight="1" s="673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</row>
    <row r="498" ht="15.75" customHeight="1" s="673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</row>
    <row r="499" ht="15.75" customHeight="1" s="673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</row>
    <row r="500" ht="15.75" customHeight="1" s="673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</row>
    <row r="501" ht="15.75" customHeight="1" s="673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</row>
    <row r="502" ht="15.75" customHeight="1" s="673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</row>
    <row r="503" ht="15.75" customHeight="1" s="673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</row>
    <row r="504" ht="15.75" customHeight="1" s="673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</row>
    <row r="505" ht="15.75" customHeight="1" s="673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</row>
    <row r="506" ht="15.75" customHeight="1" s="673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</row>
    <row r="507" ht="15.75" customHeight="1" s="673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</row>
    <row r="508" ht="15.75" customHeight="1" s="673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</row>
    <row r="509" ht="15.75" customHeight="1" s="673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673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673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</row>
    <row r="512" ht="15.75" customHeight="1" s="673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</row>
    <row r="513" ht="15.75" customHeight="1" s="673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</row>
    <row r="514" ht="15.75" customHeight="1" s="673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</row>
    <row r="515" ht="15.75" customHeight="1" s="673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</row>
    <row r="516" ht="15.75" customHeight="1" s="673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</row>
    <row r="517" ht="15.75" customHeight="1" s="673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</row>
    <row r="518" ht="15.75" customHeight="1" s="673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</row>
    <row r="519" ht="15.75" customHeight="1" s="673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</row>
    <row r="520" ht="15.75" customHeight="1" s="673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</row>
    <row r="521" ht="15.75" customHeight="1" s="673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</row>
    <row r="522" ht="15.75" customHeight="1" s="673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</row>
    <row r="523" ht="15.75" customHeight="1" s="673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</row>
    <row r="524" ht="15.75" customHeight="1" s="673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</row>
    <row r="525" ht="15.75" customHeight="1" s="673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</row>
    <row r="526" ht="15.75" customHeight="1" s="673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</row>
    <row r="527" ht="15.75" customHeight="1" s="673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</row>
    <row r="528" ht="15.75" customHeight="1" s="673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</row>
    <row r="529" ht="15.75" customHeight="1" s="673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</row>
    <row r="530" ht="15.75" customHeight="1" s="673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</row>
    <row r="531" ht="15.75" customHeight="1" s="673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</row>
    <row r="532" ht="15.75" customHeight="1" s="673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</row>
    <row r="533" ht="15.75" customHeight="1" s="673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</row>
    <row r="534" ht="15.75" customHeight="1" s="673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</row>
    <row r="535" ht="15.75" customHeight="1" s="673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</row>
    <row r="536" ht="15.75" customHeight="1" s="673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673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673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673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</row>
    <row r="540" ht="15.75" customHeight="1" s="673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</row>
    <row r="541" ht="15.75" customHeight="1" s="673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</row>
    <row r="542" ht="15.75" customHeight="1" s="673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</row>
    <row r="543" ht="15.75" customHeight="1" s="673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</row>
    <row r="544" ht="15.75" customHeight="1" s="673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</row>
    <row r="545" ht="15.75" customHeight="1" s="673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</row>
    <row r="546" ht="15.75" customHeight="1" s="673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</row>
    <row r="547" ht="15.75" customHeight="1" s="673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</row>
    <row r="548" ht="15.75" customHeight="1" s="673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</row>
    <row r="549" ht="15.75" customHeight="1" s="673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</row>
    <row r="550" ht="15.75" customHeight="1" s="673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</row>
    <row r="551" ht="15.75" customHeight="1" s="673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</row>
    <row r="552" ht="15.75" customHeight="1" s="673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</row>
    <row r="553" ht="15.75" customHeight="1" s="673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</row>
    <row r="554" ht="15.75" customHeight="1" s="673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</row>
    <row r="555" ht="15.75" customHeight="1" s="673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</row>
    <row r="556" ht="15.75" customHeight="1" s="673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</row>
    <row r="557" ht="15.75" customHeight="1" s="673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673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673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673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673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</row>
    <row r="562" ht="15.75" customHeight="1" s="673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</row>
    <row r="563" ht="15.75" customHeight="1" s="673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</row>
    <row r="564" ht="15.75" customHeight="1" s="673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</row>
    <row r="565" ht="15.75" customHeight="1" s="673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</row>
    <row r="566" ht="15.75" customHeight="1" s="673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</row>
    <row r="567" ht="15.75" customHeight="1" s="673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</row>
    <row r="568" ht="15.75" customHeight="1" s="673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</row>
    <row r="569" ht="15.75" customHeight="1" s="673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</row>
    <row r="570" ht="15.75" customHeight="1" s="673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</row>
    <row r="571" ht="15.75" customHeight="1" s="673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</row>
    <row r="572" ht="15.75" customHeight="1" s="673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</row>
    <row r="573" ht="15.75" customHeight="1" s="673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</row>
    <row r="574" ht="15.75" customHeight="1" s="673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</row>
    <row r="575" ht="15.75" customHeight="1" s="673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</row>
    <row r="576" ht="15.75" customHeight="1" s="673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</row>
    <row r="577" ht="15.75" customHeight="1" s="673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</row>
    <row r="578" ht="15.75" customHeight="1" s="673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</row>
    <row r="579" ht="15.75" customHeight="1" s="673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</row>
    <row r="580" ht="15.75" customHeight="1" s="673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</row>
    <row r="581" ht="15.75" customHeight="1" s="673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</row>
    <row r="582" ht="15.75" customHeight="1" s="673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</row>
    <row r="583" ht="15.75" customHeight="1" s="673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</row>
    <row r="584" ht="15.75" customHeight="1" s="673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</row>
    <row r="585" ht="15.75" customHeight="1" s="673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</row>
    <row r="586" ht="15.75" customHeight="1" s="673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</row>
    <row r="587" ht="15.75" customHeight="1" s="673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</row>
    <row r="588" ht="15.75" customHeight="1" s="673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</row>
    <row r="589" ht="15.75" customHeight="1" s="673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</row>
    <row r="590" ht="15.75" customHeight="1" s="673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</row>
    <row r="591" ht="15.75" customHeight="1" s="673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</row>
    <row r="592" ht="15.75" customHeight="1" s="673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</row>
    <row r="593" ht="15.75" customHeight="1" s="673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</row>
    <row r="594" ht="15.75" customHeight="1" s="673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</row>
    <row r="595" ht="15.75" customHeight="1" s="673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</row>
    <row r="596" ht="15.75" customHeight="1" s="673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</row>
    <row r="597" ht="15.75" customHeight="1" s="673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</row>
    <row r="598" ht="15.75" customHeight="1" s="673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</row>
    <row r="599" ht="15.75" customHeight="1" s="673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</row>
    <row r="600" ht="15.75" customHeight="1" s="673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</row>
    <row r="601" ht="15.75" customHeight="1" s="673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</row>
    <row r="602" ht="15.75" customHeight="1" s="673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</row>
    <row r="603" ht="15.75" customHeight="1" s="673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</row>
    <row r="604" ht="15.75" customHeight="1" s="673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</row>
    <row r="605" ht="15.75" customHeight="1" s="673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</row>
    <row r="606" ht="15.75" customHeight="1" s="673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</row>
    <row r="607" ht="15.75" customHeight="1" s="673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</row>
    <row r="608" ht="15.75" customHeight="1" s="673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</row>
    <row r="609" ht="15.75" customHeight="1" s="673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</row>
    <row r="610" ht="15.75" customHeight="1" s="673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</row>
    <row r="611" ht="15.75" customHeight="1" s="673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</row>
    <row r="612" ht="15.75" customHeight="1" s="673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</row>
    <row r="613" ht="15.75" customHeight="1" s="673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</row>
    <row r="614" ht="15.75" customHeight="1" s="673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</row>
    <row r="615" ht="15.75" customHeight="1" s="673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</row>
    <row r="616" ht="15.75" customHeight="1" s="673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</row>
    <row r="617" ht="15.75" customHeight="1" s="673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</row>
    <row r="618" ht="15.75" customHeight="1" s="673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</row>
    <row r="619" ht="15.75" customHeight="1" s="673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</row>
    <row r="620" ht="15.75" customHeight="1" s="673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</row>
    <row r="621" ht="15.75" customHeight="1" s="673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</row>
    <row r="622" ht="15.75" customHeight="1" s="673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</row>
    <row r="623" ht="15.75" customHeight="1" s="673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</row>
    <row r="624" ht="15.75" customHeight="1" s="673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</row>
    <row r="625" ht="15.75" customHeight="1" s="673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</row>
    <row r="626" ht="15.75" customHeight="1" s="673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</row>
    <row r="627" ht="15.75" customHeight="1" s="673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</row>
    <row r="628" ht="15.75" customHeight="1" s="673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</row>
    <row r="629" ht="15.75" customHeight="1" s="673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</row>
    <row r="630" ht="15.75" customHeight="1" s="673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</row>
    <row r="631" ht="15.75" customHeight="1" s="673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</row>
    <row r="632" ht="15.75" customHeight="1" s="673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</row>
    <row r="633" ht="15.75" customHeight="1" s="673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</row>
    <row r="634" ht="15.75" customHeight="1" s="673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</row>
    <row r="635" ht="15.75" customHeight="1" s="673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</row>
    <row r="636" ht="15.75" customHeight="1" s="673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</row>
    <row r="637" ht="15.75" customHeight="1" s="673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</row>
    <row r="638" ht="15.75" customHeight="1" s="673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</row>
    <row r="639" ht="15.75" customHeight="1" s="673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</row>
    <row r="640" ht="15.75" customHeight="1" s="673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</row>
    <row r="641" ht="15.75" customHeight="1" s="673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</row>
    <row r="642" ht="15.75" customHeight="1" s="673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</row>
    <row r="643" ht="15.75" customHeight="1" s="673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</row>
    <row r="644" ht="15.75" customHeight="1" s="673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</row>
    <row r="645" ht="15.75" customHeight="1" s="673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</row>
    <row r="646" ht="15.75" customHeight="1" s="673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</row>
    <row r="647" ht="15.75" customHeight="1" s="673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</row>
    <row r="648" ht="15.75" customHeight="1" s="673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</row>
    <row r="649" ht="15.75" customHeight="1" s="673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</row>
    <row r="650" ht="15.75" customHeight="1" s="673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</row>
    <row r="651" ht="15.75" customHeight="1" s="673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</row>
    <row r="652" ht="15.75" customHeight="1" s="673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</row>
    <row r="653" ht="15.75" customHeight="1" s="673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</row>
    <row r="654" ht="15.75" customHeight="1" s="673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</row>
    <row r="655" ht="15.75" customHeight="1" s="673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</row>
    <row r="656" ht="15.75" customHeight="1" s="673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</row>
    <row r="657" ht="15.75" customHeight="1" s="673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</row>
    <row r="658" ht="15.75" customHeight="1" s="673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</row>
    <row r="659" ht="15.75" customHeight="1" s="673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</row>
    <row r="660" ht="15.75" customHeight="1" s="673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</row>
    <row r="661" ht="15.75" customHeight="1" s="673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</row>
    <row r="662" ht="15.75" customHeight="1" s="673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</row>
    <row r="663" ht="15.75" customHeight="1" s="673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</row>
    <row r="664" ht="15.75" customHeight="1" s="673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</row>
    <row r="665" ht="15.75" customHeight="1" s="673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</row>
    <row r="666" ht="15.75" customHeight="1" s="673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</row>
    <row r="667" ht="15.75" customHeight="1" s="673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</row>
    <row r="668" ht="15.75" customHeight="1" s="673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</row>
    <row r="669" ht="15.75" customHeight="1" s="673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</row>
    <row r="670" ht="15.75" customHeight="1" s="673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</row>
    <row r="671" ht="15.75" customHeight="1" s="673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</row>
    <row r="672" ht="15.75" customHeight="1" s="673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</row>
    <row r="673" ht="15.75" customHeight="1" s="673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</row>
    <row r="674" ht="15.75" customHeight="1" s="673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</row>
    <row r="675" ht="15.75" customHeight="1" s="673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</row>
    <row r="676" ht="15.75" customHeight="1" s="673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</row>
    <row r="677" ht="15.75" customHeight="1" s="673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</row>
    <row r="678" ht="15.75" customHeight="1" s="673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</row>
    <row r="679" ht="15.75" customHeight="1" s="673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</row>
    <row r="680" ht="15.75" customHeight="1" s="673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</row>
    <row r="681" ht="15.75" customHeight="1" s="673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</row>
    <row r="682" ht="15.75" customHeight="1" s="673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</row>
    <row r="683" ht="15.75" customHeight="1" s="673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</row>
    <row r="684" ht="15.75" customHeight="1" s="673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</row>
    <row r="685" ht="15.75" customHeight="1" s="673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</row>
    <row r="686" ht="15.75" customHeight="1" s="673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</row>
    <row r="687" ht="15.75" customHeight="1" s="673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</row>
    <row r="688" ht="15.75" customHeight="1" s="673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</row>
    <row r="689" ht="15.75" customHeight="1" s="673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</row>
    <row r="690" ht="15.75" customHeight="1" s="673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</row>
    <row r="691" ht="15.75" customHeight="1" s="673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</row>
    <row r="692" ht="15.75" customHeight="1" s="673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</row>
    <row r="693" ht="15.75" customHeight="1" s="673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</row>
    <row r="694" ht="15.75" customHeight="1" s="673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</row>
    <row r="695" ht="15.75" customHeight="1" s="673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</row>
    <row r="696" ht="15.75" customHeight="1" s="673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</row>
    <row r="697" ht="15.75" customHeight="1" s="673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</row>
    <row r="698" ht="15.75" customHeight="1" s="673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</row>
    <row r="699" ht="15.75" customHeight="1" s="673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</row>
    <row r="700" ht="15.75" customHeight="1" s="673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</row>
    <row r="701" ht="15.75" customHeight="1" s="673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</row>
    <row r="702" ht="15.75" customHeight="1" s="673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</row>
    <row r="703" ht="15.75" customHeight="1" s="673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</row>
    <row r="704" ht="15.75" customHeight="1" s="673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</row>
    <row r="705" ht="15.75" customHeight="1" s="673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</row>
    <row r="706" ht="15.75" customHeight="1" s="673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</row>
    <row r="707" ht="15.75" customHeight="1" s="673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</row>
    <row r="708" ht="15.75" customHeight="1" s="673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</row>
    <row r="709" ht="15.75" customHeight="1" s="673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</row>
    <row r="710" ht="15.75" customHeight="1" s="673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</row>
    <row r="711" ht="15.75" customHeight="1" s="673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</row>
    <row r="712" ht="15.75" customHeight="1" s="673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</row>
    <row r="713" ht="15.75" customHeight="1" s="673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</row>
    <row r="714" ht="15.75" customHeight="1" s="673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</row>
    <row r="715" ht="15.75" customHeight="1" s="673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</row>
    <row r="716" ht="15.75" customHeight="1" s="673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</row>
    <row r="717" ht="15.75" customHeight="1" s="673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</row>
    <row r="718" ht="15.75" customHeight="1" s="673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</row>
    <row r="719" ht="15.75" customHeight="1" s="673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</row>
    <row r="720" ht="15.75" customHeight="1" s="673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</row>
    <row r="721" ht="15.75" customHeight="1" s="673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</row>
    <row r="722" ht="15.75" customHeight="1" s="673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</row>
    <row r="723" ht="15.75" customHeight="1" s="673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</row>
    <row r="724" ht="15.75" customHeight="1" s="673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</row>
    <row r="725" ht="15.75" customHeight="1" s="673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</row>
    <row r="726" ht="15.75" customHeight="1" s="673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</row>
    <row r="727" ht="15.75" customHeight="1" s="673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</row>
    <row r="728" ht="15.75" customHeight="1" s="673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</row>
    <row r="729" ht="15.75" customHeight="1" s="673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</row>
    <row r="730" ht="15.75" customHeight="1" s="673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</row>
    <row r="731" ht="15.75" customHeight="1" s="673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</row>
    <row r="732" ht="15.75" customHeight="1" s="673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</row>
    <row r="733" ht="15.75" customHeight="1" s="673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</row>
    <row r="734" ht="15.75" customHeight="1" s="673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</row>
    <row r="735" ht="15.75" customHeight="1" s="673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</row>
    <row r="736" ht="15.75" customHeight="1" s="673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</row>
    <row r="737" ht="15.75" customHeight="1" s="673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</row>
    <row r="738" ht="15.75" customHeight="1" s="673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</row>
    <row r="739" ht="15.75" customHeight="1" s="673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</row>
    <row r="740" ht="15.75" customHeight="1" s="673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</row>
    <row r="741" ht="15.75" customHeight="1" s="673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</row>
    <row r="742" ht="15.75" customHeight="1" s="673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</row>
    <row r="743" ht="15.75" customHeight="1" s="673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</row>
    <row r="744" ht="15.75" customHeight="1" s="673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</row>
    <row r="745" ht="15.75" customHeight="1" s="673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</row>
    <row r="746" ht="15.75" customHeight="1" s="673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</row>
    <row r="747" ht="15.75" customHeight="1" s="673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</row>
    <row r="748" ht="15.75" customHeight="1" s="673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</row>
    <row r="749" ht="15.75" customHeight="1" s="673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</row>
    <row r="750" ht="15.75" customHeight="1" s="673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</row>
    <row r="751" ht="15.75" customHeight="1" s="673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</row>
    <row r="752" ht="15.75" customHeight="1" s="673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</row>
    <row r="753" ht="15.75" customHeight="1" s="673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</row>
    <row r="754" ht="15.75" customHeight="1" s="673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</row>
    <row r="755" ht="15.75" customHeight="1" s="673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</row>
    <row r="756" ht="15.75" customHeight="1" s="673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</row>
    <row r="757" ht="15.75" customHeight="1" s="673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</row>
    <row r="758" ht="15.75" customHeight="1" s="673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</row>
    <row r="759" ht="15.75" customHeight="1" s="673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</row>
    <row r="760" ht="15.75" customHeight="1" s="673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</row>
    <row r="761" ht="15.75" customHeight="1" s="673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</row>
    <row r="762" ht="15.75" customHeight="1" s="673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</row>
    <row r="763" ht="15.75" customHeight="1" s="673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</row>
    <row r="764" ht="15.75" customHeight="1" s="673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</row>
    <row r="765" ht="15.75" customHeight="1" s="673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</row>
    <row r="766" ht="15.75" customHeight="1" s="673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</row>
    <row r="767" ht="15.75" customHeight="1" s="673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</row>
    <row r="768" ht="15.75" customHeight="1" s="673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</row>
    <row r="769" ht="15.75" customHeight="1" s="673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</row>
    <row r="770" ht="15.75" customHeight="1" s="673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</row>
    <row r="771" ht="15.75" customHeight="1" s="673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</row>
    <row r="772" ht="15.75" customHeight="1" s="673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</row>
    <row r="773" ht="15.75" customHeight="1" s="673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</row>
    <row r="774" ht="15.75" customHeight="1" s="673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</row>
    <row r="775" ht="15.75" customHeight="1" s="673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</row>
    <row r="776" ht="15.75" customHeight="1" s="673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</row>
    <row r="777" ht="15.75" customHeight="1" s="673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</row>
    <row r="778" ht="15.75" customHeight="1" s="673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</row>
    <row r="779" ht="15.75" customHeight="1" s="673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</row>
    <row r="780" ht="15.75" customHeight="1" s="673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</row>
    <row r="781" ht="15.75" customHeight="1" s="673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</row>
    <row r="782" ht="15.75" customHeight="1" s="673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</row>
    <row r="783" ht="15.75" customHeight="1" s="673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</row>
    <row r="784" ht="15.75" customHeight="1" s="673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</row>
    <row r="785" ht="15.75" customHeight="1" s="673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</row>
    <row r="786" ht="15.75" customHeight="1" s="673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</row>
    <row r="787" ht="15.75" customHeight="1" s="673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</row>
    <row r="788" ht="15.75" customHeight="1" s="673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</row>
    <row r="789" ht="15.75" customHeight="1" s="673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</row>
    <row r="790" ht="15.75" customHeight="1" s="673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</row>
    <row r="791" ht="15.75" customHeight="1" s="673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</row>
    <row r="792" ht="15.75" customHeight="1" s="673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</row>
    <row r="793" ht="15.75" customHeight="1" s="673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</row>
    <row r="794" ht="15.75" customHeight="1" s="673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</row>
    <row r="795" ht="15.75" customHeight="1" s="673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</row>
    <row r="796" ht="15.75" customHeight="1" s="673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</row>
    <row r="797" ht="15.75" customHeight="1" s="673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</row>
    <row r="798" ht="15.75" customHeight="1" s="673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</row>
    <row r="799" ht="15.75" customHeight="1" s="673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</row>
    <row r="800" ht="15.75" customHeight="1" s="673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</row>
    <row r="801" ht="15.75" customHeight="1" s="673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</row>
    <row r="802" ht="15.75" customHeight="1" s="673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</row>
    <row r="803" ht="15.75" customHeight="1" s="673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</row>
    <row r="804" ht="15.75" customHeight="1" s="673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</row>
    <row r="805" ht="15.75" customHeight="1" s="673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</row>
    <row r="806" ht="15.75" customHeight="1" s="673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</row>
    <row r="807" ht="15.75" customHeight="1" s="673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</row>
    <row r="808" ht="15.75" customHeight="1" s="673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</row>
    <row r="809" ht="15.75" customHeight="1" s="673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</row>
    <row r="810" ht="15.75" customHeight="1" s="673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</row>
    <row r="811" ht="15.75" customHeight="1" s="673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</row>
    <row r="812" ht="15.75" customHeight="1" s="673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</row>
    <row r="813" ht="15.75" customHeight="1" s="673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</row>
    <row r="814" ht="15.75" customHeight="1" s="673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</row>
    <row r="815" ht="15.75" customHeight="1" s="673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</row>
    <row r="816" ht="15.75" customHeight="1" s="673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</row>
    <row r="817" ht="15.75" customHeight="1" s="673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</row>
    <row r="818" ht="15.75" customHeight="1" s="673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</row>
    <row r="819" ht="15.75" customHeight="1" s="673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</row>
    <row r="820" ht="15.75" customHeight="1" s="673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</row>
    <row r="821" ht="15.75" customHeight="1" s="673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</row>
    <row r="822" ht="15.75" customHeight="1" s="673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</row>
    <row r="823" ht="15.75" customHeight="1" s="673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</row>
    <row r="824" ht="15.75" customHeight="1" s="673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</row>
    <row r="825" ht="15.75" customHeight="1" s="673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</row>
    <row r="826" ht="15.75" customHeight="1" s="673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</row>
    <row r="827" ht="15.75" customHeight="1" s="673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</row>
    <row r="828" ht="15.75" customHeight="1" s="673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</row>
    <row r="829" ht="15.75" customHeight="1" s="673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</row>
    <row r="830" ht="15.75" customHeight="1" s="673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</row>
    <row r="831" ht="15.75" customHeight="1" s="673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</row>
    <row r="832" ht="15.75" customHeight="1" s="673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</row>
    <row r="833" ht="15.75" customHeight="1" s="673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</row>
    <row r="834" ht="15.75" customHeight="1" s="673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</row>
    <row r="835" ht="15.75" customHeight="1" s="673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</row>
    <row r="836" ht="15.75" customHeight="1" s="673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</row>
    <row r="837" ht="15.75" customHeight="1" s="673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</row>
    <row r="838" ht="15.75" customHeight="1" s="673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</row>
    <row r="839" ht="15.75" customHeight="1" s="673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</row>
    <row r="840" ht="15.75" customHeight="1" s="673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</row>
    <row r="841" ht="15.75" customHeight="1" s="673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</row>
    <row r="842" ht="15.75" customHeight="1" s="673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</row>
    <row r="843" ht="15.75" customHeight="1" s="673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</row>
    <row r="844" ht="15.75" customHeight="1" s="673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</row>
    <row r="845" ht="15.75" customHeight="1" s="673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</row>
    <row r="846" ht="15.75" customHeight="1" s="673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</row>
    <row r="847" ht="15.75" customHeight="1" s="673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</row>
    <row r="848" ht="15.75" customHeight="1" s="673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</row>
    <row r="849" ht="15.75" customHeight="1" s="673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</row>
    <row r="850" ht="15.75" customHeight="1" s="673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</row>
    <row r="851" ht="15.75" customHeight="1" s="673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</row>
    <row r="852" ht="15.75" customHeight="1" s="673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</row>
    <row r="853" ht="15.75" customHeight="1" s="673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</row>
    <row r="854" ht="15.75" customHeight="1" s="673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</row>
    <row r="855" ht="15.75" customHeight="1" s="673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</row>
    <row r="856" ht="15.75" customHeight="1" s="673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</row>
    <row r="857" ht="15.75" customHeight="1" s="673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</row>
    <row r="858" ht="15.75" customHeight="1" s="673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</row>
    <row r="859" ht="15.75" customHeight="1" s="673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</row>
    <row r="860" ht="15.75" customHeight="1" s="673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</row>
    <row r="861" ht="15.75" customHeight="1" s="673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</row>
    <row r="862" ht="15.75" customHeight="1" s="673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</row>
    <row r="863" ht="15.75" customHeight="1" s="673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</row>
    <row r="864" ht="15.75" customHeight="1" s="673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</row>
    <row r="865" ht="15.75" customHeight="1" s="673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</row>
    <row r="866" ht="15.75" customHeight="1" s="673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</row>
    <row r="867" ht="15.75" customHeight="1" s="673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</row>
    <row r="868" ht="15.75" customHeight="1" s="673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</row>
    <row r="869" ht="15.75" customHeight="1" s="673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</row>
    <row r="870" ht="15.75" customHeight="1" s="673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</row>
    <row r="871" ht="15.75" customHeight="1" s="673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</row>
    <row r="872" ht="15.75" customHeight="1" s="673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</row>
    <row r="873" ht="15.75" customHeight="1" s="673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</row>
    <row r="874" ht="15.75" customHeight="1" s="673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</row>
    <row r="875" ht="15.75" customHeight="1" s="673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</row>
    <row r="876" ht="15.75" customHeight="1" s="673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</row>
    <row r="877" ht="15.75" customHeight="1" s="673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</row>
    <row r="878" ht="15.75" customHeight="1" s="673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</row>
    <row r="879" ht="15.75" customHeight="1" s="673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</row>
    <row r="880" ht="15.75" customHeight="1" s="673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</row>
    <row r="881" ht="15.75" customHeight="1" s="673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</row>
    <row r="882" ht="15.75" customHeight="1" s="673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</row>
    <row r="883" ht="15.75" customHeight="1" s="673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</row>
    <row r="884" ht="15.75" customHeight="1" s="673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</row>
    <row r="885" ht="15.75" customHeight="1" s="673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</row>
    <row r="886" ht="15.75" customHeight="1" s="673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</row>
    <row r="887" ht="15.75" customHeight="1" s="673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</row>
    <row r="888" ht="15.75" customHeight="1" s="673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</row>
    <row r="889" ht="15.75" customHeight="1" s="673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</row>
    <row r="890" ht="15.75" customHeight="1" s="673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</row>
    <row r="891" ht="15.75" customHeight="1" s="673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</row>
    <row r="892" ht="15.75" customHeight="1" s="673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</row>
    <row r="893" ht="15.75" customHeight="1" s="673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</row>
    <row r="894" ht="15.75" customHeight="1" s="673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</row>
    <row r="895" ht="15.75" customHeight="1" s="673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</row>
    <row r="896" ht="15.75" customHeight="1" s="673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</row>
    <row r="897" ht="15.75" customHeight="1" s="673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</row>
    <row r="898" ht="15.75" customHeight="1" s="673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</row>
    <row r="899" ht="15.75" customHeight="1" s="673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</row>
    <row r="900" ht="15.75" customHeight="1" s="673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</row>
    <row r="901" ht="15.75" customHeight="1" s="673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</row>
    <row r="902" ht="15.75" customHeight="1" s="673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</row>
    <row r="903" ht="15.75" customHeight="1" s="673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</row>
    <row r="904" ht="15.75" customHeight="1" s="673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</row>
    <row r="905" ht="15.75" customHeight="1" s="673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</row>
    <row r="906" ht="15.75" customHeight="1" s="673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</row>
    <row r="907" ht="15.75" customHeight="1" s="673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</row>
    <row r="908" ht="15.75" customHeight="1" s="673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</row>
    <row r="909" ht="15.75" customHeight="1" s="673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</row>
    <row r="910" ht="15.75" customHeight="1" s="673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</row>
    <row r="911" ht="15.75" customHeight="1" s="673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</row>
    <row r="912" ht="15.75" customHeight="1" s="673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</row>
    <row r="913" ht="15.75" customHeight="1" s="673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</row>
    <row r="914" ht="15.75" customHeight="1" s="673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</row>
    <row r="915" ht="15.75" customHeight="1" s="673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</row>
    <row r="916" ht="15.75" customHeight="1" s="673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</row>
    <row r="917" ht="15.75" customHeight="1" s="673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</row>
    <row r="918" ht="15.75" customHeight="1" s="673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</row>
    <row r="919" ht="15.75" customHeight="1" s="673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</row>
    <row r="920" ht="15.75" customHeight="1" s="673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</row>
    <row r="921" ht="15.75" customHeight="1" s="673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</row>
    <row r="922" ht="15.75" customHeight="1" s="673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</row>
    <row r="923" ht="15.75" customHeight="1" s="673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</row>
    <row r="924" ht="15.75" customHeight="1" s="673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</row>
    <row r="925" ht="15.75" customHeight="1" s="673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</row>
    <row r="926" ht="15.75" customHeight="1" s="673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</row>
    <row r="927" ht="15.75" customHeight="1" s="673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</row>
    <row r="928" ht="15.75" customHeight="1" s="673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</row>
    <row r="929" ht="15.75" customHeight="1" s="673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</row>
    <row r="930" ht="15.75" customHeight="1" s="673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</row>
    <row r="931" ht="15.75" customHeight="1" s="673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</row>
    <row r="932" ht="15.75" customHeight="1" s="673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</row>
    <row r="933" ht="15.75" customHeight="1" s="673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</row>
    <row r="934" ht="15.75" customHeight="1" s="673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</row>
    <row r="935" ht="15.75" customHeight="1" s="673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</row>
    <row r="936" ht="15.75" customHeight="1" s="673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</row>
    <row r="937" ht="15.75" customHeight="1" s="673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</row>
    <row r="938" ht="15.75" customHeight="1" s="673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</row>
    <row r="939" ht="15.75" customHeight="1" s="673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</row>
    <row r="940" ht="15.75" customHeight="1" s="673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</row>
    <row r="941" ht="15.75" customHeight="1" s="673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</row>
    <row r="942" ht="15.75" customHeight="1" s="673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</row>
    <row r="943" ht="15.75" customHeight="1" s="673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</row>
    <row r="944" ht="15.75" customHeight="1" s="673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</row>
    <row r="945" ht="15.75" customHeight="1" s="673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</row>
    <row r="946" ht="15.75" customHeight="1" s="673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</row>
    <row r="947" ht="15.75" customHeight="1" s="673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</row>
    <row r="948" ht="15.75" customHeight="1" s="673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</row>
    <row r="949" ht="15.75" customHeight="1" s="673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</row>
    <row r="950" ht="15.75" customHeight="1" s="673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</row>
    <row r="951" ht="15.75" customHeight="1" s="673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</row>
    <row r="952" ht="15.75" customHeight="1" s="673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</row>
    <row r="953" ht="15.75" customHeight="1" s="673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</row>
    <row r="954" ht="15.75" customHeight="1" s="673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</row>
    <row r="955" ht="15.75" customHeight="1" s="673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</row>
    <row r="956" ht="15.75" customHeight="1" s="673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</row>
    <row r="957" ht="15.75" customHeight="1" s="673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</row>
    <row r="958" ht="15.75" customHeight="1" s="673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</row>
    <row r="959" ht="15.75" customHeight="1" s="673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</row>
    <row r="960" ht="15.75" customHeight="1" s="673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</row>
    <row r="961" ht="15.75" customHeight="1" s="673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</row>
    <row r="962" ht="15.75" customHeight="1" s="673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</row>
    <row r="963" ht="15.75" customHeight="1" s="673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</row>
    <row r="964" ht="15.75" customHeight="1" s="673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</row>
    <row r="965" ht="15.75" customHeight="1" s="673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</row>
    <row r="966" ht="15.75" customHeight="1" s="673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</row>
    <row r="967" ht="15.75" customHeight="1" s="673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</row>
    <row r="968" ht="15.75" customHeight="1" s="673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</row>
    <row r="969" ht="15.75" customHeight="1" s="673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</row>
    <row r="970" ht="15.75" customHeight="1" s="673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</row>
    <row r="971" ht="15.75" customHeight="1" s="673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</row>
    <row r="972" ht="15.75" customHeight="1" s="673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</row>
    <row r="973" ht="15.75" customHeight="1" s="673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</row>
    <row r="974" ht="15.75" customHeight="1" s="673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</row>
    <row r="975" ht="15.75" customHeight="1" s="673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</row>
    <row r="976" ht="15.75" customHeight="1" s="673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</row>
    <row r="977" ht="15.75" customHeight="1" s="673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</row>
    <row r="978" ht="15.75" customHeight="1" s="673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</row>
    <row r="979" ht="15.75" customHeight="1" s="673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</row>
    <row r="980" ht="15.75" customHeight="1" s="673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</row>
    <row r="981" ht="15.75" customHeight="1" s="673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</row>
    <row r="982" ht="15.75" customHeight="1" s="673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</row>
    <row r="983" ht="15.75" customHeight="1" s="673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</row>
    <row r="984" ht="15.75" customHeight="1" s="673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</row>
    <row r="985" ht="15.75" customHeight="1" s="673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</row>
    <row r="986" ht="15.75" customHeight="1" s="673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</row>
    <row r="987" ht="15.75" customHeight="1" s="673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</row>
    <row r="988" ht="15.75" customHeight="1" s="673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</row>
    <row r="989" ht="15.75" customHeight="1" s="673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</row>
    <row r="990" ht="15.75" customHeight="1" s="673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</row>
    <row r="991" ht="15.75" customHeight="1" s="673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</row>
    <row r="992" ht="15.75" customHeight="1" s="673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</row>
    <row r="993" ht="15.75" customHeight="1" s="673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</row>
    <row r="994" ht="15.75" customHeight="1" s="673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</row>
    <row r="995" ht="15.75" customHeight="1" s="673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</row>
    <row r="996" ht="15.75" customHeight="1" s="673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</row>
    <row r="997" ht="15.75" customHeight="1" s="673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</row>
    <row r="998" ht="15.75" customHeight="1" s="673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</row>
    <row r="999" ht="15.75" customHeight="1" s="673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</row>
    <row r="1000" ht="15.75" customHeight="1" s="673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</row>
  </sheetData>
  <mergeCells count="2">
    <mergeCell ref="B6:C6"/>
    <mergeCell ref="B4:C4"/>
  </mergeCells>
  <conditionalFormatting sqref="D18 D28 D37 D46 D55 F18 F28 F37 F46 F55">
    <cfRule type="cellIs" priority="1" operator="equal" dxfId="5" stopIfTrue="1">
      <formula>0</formula>
    </cfRule>
  </conditionalFormatting>
  <conditionalFormatting sqref="H15:I15 H24:I25 H34:I34 H43:I43 H52:I52">
    <cfRule type="cellIs" priority="2" operator="equal" dxfId="1" stopIfTrue="1">
      <formula>"Base de Calculo"</formula>
    </cfRule>
  </conditionalFormatting>
  <conditionalFormatting sqref="B28 B37 B46 B55">
    <cfRule type="cellIs" priority="3" operator="equal" dxfId="4" stopIfTrue="1">
      <formula>"ARBITRAMENTO"</formula>
    </cfRule>
  </conditionalFormatting>
  <conditionalFormatting sqref="B29:C29 B30:D31 B38:C38 B47:C47 B56:C56">
    <cfRule type="cellIs" priority="4" operator="equal" dxfId="9" stopIfTrue="1">
      <formula>"PREJUIZO ACUM."</formula>
    </cfRule>
  </conditionalFormatting>
  <conditionalFormatting sqref="E30:E31">
    <cfRule type="cellIs" priority="5" operator="greaterThan" dxfId="6" stopIfTrue="1">
      <formula>0</formula>
    </cfRule>
  </conditionalFormatting>
  <conditionalFormatting sqref="J18 J28 J37 J46 J55">
    <cfRule type="cellIs" priority="6" operator="lessThan" dxfId="5" stopIfTrue="1">
      <formula>0</formula>
    </cfRule>
  </conditionalFormatting>
  <conditionalFormatting sqref="B19">
    <cfRule type="cellIs" priority="7" operator="equal" dxfId="4" stopIfTrue="1">
      <formula>"ARBITRAMENTO"</formula>
    </cfRule>
  </conditionalFormatting>
  <conditionalFormatting sqref="B20:C20">
    <cfRule type="cellIs" priority="8" operator="equal" dxfId="9" stopIfTrue="1">
      <formula>"PREJUIZO ACUM."</formula>
    </cfRule>
  </conditionalFormatting>
  <dataValidations count="1">
    <dataValidation sqref="E30:E31 E47 E56" showDropDown="0" showInputMessage="1" showErrorMessage="0" allowBlank="1" prompt="ATENÇÃO - NÃO USAR VALORES POSITIVOS" type="decimal" operator="lessThanOrEqual">
      <formula1>-11669.72</formula1>
    </dataValidation>
  </dataValidations>
  <printOptions horizontalCentered="1"/>
  <pageMargins left="0" right="0" top="1.181102362204725" bottom="0.5905511811023623" header="0" footer="0"/>
  <pageSetup orientation="portrait" paperSize="9"/>
  <headerFooter>
    <oddHeader>&amp;L IMPOSTOS PESSOA JURÍDICA&amp;R CALCIR </oddHeader>
    <oddFooter>&amp;CTravessa Leonel de Moura Brizola, 850 - Pelotas - RS - 96075-320 www.safrasecifras.com.br - (53) 3227-1010&amp;R&amp;D &amp;T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2026-03-16T19:21:54Z</dcterms:created>
  <dcterms:modified xsi:type="dcterms:W3CDTF">2026-03-16T19:42:38Z</dcterms:modified>
</cp:coreProperties>
</file>